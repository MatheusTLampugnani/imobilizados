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wanderson.oliveira\Downloads\"/>
    </mc:Choice>
  </mc:AlternateContent>
  <xr:revisionPtr revIDLastSave="0" documentId="13_ncr:1_{25BFBD70-4209-422F-9A27-2432CFA7F94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Sheet1!$A$1:$G$3520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</calcChain>
</file>

<file path=xl/sharedStrings.xml><?xml version="1.0" encoding="utf-8"?>
<sst xmlns="http://schemas.openxmlformats.org/spreadsheetml/2006/main" count="21123" uniqueCount="5892">
  <si>
    <t>Imobilizado</t>
  </si>
  <si>
    <t>Subnº</t>
  </si>
  <si>
    <t>Incorporação em</t>
  </si>
  <si>
    <t>Denominação do imobilizado</t>
  </si>
  <si>
    <t>Nº inventário</t>
  </si>
  <si>
    <t>Nº de série</t>
  </si>
  <si>
    <t>Centro custo</t>
  </si>
  <si>
    <t>Link</t>
  </si>
  <si>
    <t>QRCODE</t>
  </si>
  <si>
    <t>10000002</t>
  </si>
  <si>
    <t>0</t>
  </si>
  <si>
    <t>TERRENO 15.629,63 M2</t>
  </si>
  <si>
    <t/>
  </si>
  <si>
    <t>100005001</t>
  </si>
  <si>
    <t>11000074</t>
  </si>
  <si>
    <t>FRETE TRANSPORTE 4 ARMADILHA ADESIVA LAT LX 90/220</t>
  </si>
  <si>
    <t>100005002</t>
  </si>
  <si>
    <t>11000075</t>
  </si>
  <si>
    <t>ARMADILHA ADESIVA LATERAL LX 90/220</t>
  </si>
  <si>
    <t>11000158</t>
  </si>
  <si>
    <t>AMPLIAÇÃO BARRACÃO 300M2 P/ EXTRUSAO 11000027</t>
  </si>
  <si>
    <t>2</t>
  </si>
  <si>
    <t>COBRANÇA DE MÃO DE OBRA PARA APLICAÇÃO DO BARRACÃO</t>
  </si>
  <si>
    <t>20000076</t>
  </si>
  <si>
    <t>MAQUINA EXTRUSORA CARNEVALLI P. MAGNUM 75 Nº 005</t>
  </si>
  <si>
    <t>10000357</t>
  </si>
  <si>
    <t>1</t>
  </si>
  <si>
    <t>FRETE SOBRE IMOBILIZADO NR 12138</t>
  </si>
  <si>
    <t>FRETE SOBRE IMOBILIZADO NR.12139 TRANSP. PAGNO</t>
  </si>
  <si>
    <t>3</t>
  </si>
  <si>
    <t>FRETE SOBRE IMOBILIZADO NR.12140 TRANSP. PAGNO</t>
  </si>
  <si>
    <t>4</t>
  </si>
  <si>
    <t>FRETE SOBRE IMOBILIZADO NR.12141 TRANSP. PAGNO</t>
  </si>
  <si>
    <t>5</t>
  </si>
  <si>
    <t>SERVICO EM INVERSOR DE FREQUENCIA CWF09 142</t>
  </si>
  <si>
    <t>6</t>
  </si>
  <si>
    <t>SUB CONJUNTO ROSCA FL/FC MAG. 75-FG E BUCHA</t>
  </si>
  <si>
    <t>7</t>
  </si>
  <si>
    <t>CARTAO ELETRONICO UBR/CB-50</t>
  </si>
  <si>
    <t>8</t>
  </si>
  <si>
    <t>DOSADOR GRAVIMETRICO GRAVITEC- G4SL300-AC</t>
  </si>
  <si>
    <t>20000088</t>
  </si>
  <si>
    <t>MAQUINA EXTRUSORA CARNEVALLI P. MAGNUM 75 Nº 006</t>
  </si>
  <si>
    <t>10000358</t>
  </si>
  <si>
    <t>2992</t>
  </si>
  <si>
    <t>FRETE P/TRANSPORTE DE UMA EXTRUSORA</t>
  </si>
  <si>
    <t>FRETE P/TRANSPORTE DE UMA EXTRUSORA CONF CTR</t>
  </si>
  <si>
    <t>CONVERSOR DE FREQUENCIA ESTATICO CFW-11 124A/3AC</t>
  </si>
  <si>
    <t>20000145</t>
  </si>
  <si>
    <t>MAQUINA CARNEVALLI MODELO CL 75 Nº 004</t>
  </si>
  <si>
    <t>10000356</t>
  </si>
  <si>
    <t>KIT ATUADORES P/SAIA DE ROLETES DE ALUMINIO</t>
  </si>
  <si>
    <t>KIT DE REGULAGEM SAIA DE ROLETES</t>
  </si>
  <si>
    <t>CONJUNTO COMPLETO TRIANGULOS SANFONADORES</t>
  </si>
  <si>
    <t>20000154</t>
  </si>
  <si>
    <t>LINHA COMPLETA POLIT BAIXA DENSIDADE LINEAR Nº 002</t>
  </si>
  <si>
    <t>10000354</t>
  </si>
  <si>
    <t>VENTILAÇÃO FORÇADA DZ90-100 VS 230V</t>
  </si>
  <si>
    <t>CONJUNTO CILINDRO E ROSCA COM BUCHA RANHURADA</t>
  </si>
  <si>
    <t>20000256</t>
  </si>
  <si>
    <t>EXTRUSORA BALAO COMPLETA MOD GD/HL-50EZ Nº 012</t>
  </si>
  <si>
    <t>10000003</t>
  </si>
  <si>
    <t>908282</t>
  </si>
  <si>
    <t>FRETE EXTRUSORAS</t>
  </si>
  <si>
    <t>GASTOS COM IMPORTACAO</t>
  </si>
  <si>
    <t>INVERSOR CFW-08</t>
  </si>
  <si>
    <t>ALINHADOR DF 2/165/2000/1700</t>
  </si>
  <si>
    <t>TUBO MECANICO EXT 140</t>
  </si>
  <si>
    <t>CONTROLADOR DIGITAL MICROPROCESSADO</t>
  </si>
  <si>
    <t>TUBO DE ACO</t>
  </si>
  <si>
    <t>TROCADOR DE CALOR REFRISAT TC-30-W/AR</t>
  </si>
  <si>
    <t>20000582</t>
  </si>
  <si>
    <t>MAQUINA EXTRUSORA HOSOKAWA ALPINE 3 CAM Nº 015</t>
  </si>
  <si>
    <t>10000864</t>
  </si>
  <si>
    <t>FRETES E SERVIÇOS INSTALAÇAO MAQUINA 20000450</t>
  </si>
  <si>
    <t>SERVIÇOS INSTALAÇAO MAQUINA 20000450</t>
  </si>
  <si>
    <t>MOTOR ELETRICO DE PASSO MOVIMENTACAO MEDIDOR DE</t>
  </si>
  <si>
    <t>SIMATIC IPC427E MICROBOX OD WINDOWS 10</t>
  </si>
  <si>
    <t>MEDIDOR DE ESPESSURA E-1250 COM MOTOR DE PASSO</t>
  </si>
  <si>
    <t>20000591</t>
  </si>
  <si>
    <t>COEXTRUSORA 5 CAMADAS WINDMOLLER VAREX Nº 014</t>
  </si>
  <si>
    <t>10000858</t>
  </si>
  <si>
    <t>61141</t>
  </si>
  <si>
    <t>ESTRUTURA DA COEXTRUSORA VAREX 5 CAMADA WINDMOLLER</t>
  </si>
  <si>
    <t>FRETES COEXTRUSORA 5 CAMADAS WINDMOLLER VAREX</t>
  </si>
  <si>
    <t>MATERIAS E SERVIÇOS REF MONTAGEM EXTRUSORA VAREX</t>
  </si>
  <si>
    <t>EIXO EXPANSIVO DE 6 POLEGADAS VAREX NEUENHAUSER</t>
  </si>
  <si>
    <t>21000296</t>
  </si>
  <si>
    <t>INVERSOR DE FREQUENCIA WEG CFW 09 105A 380/480V</t>
  </si>
  <si>
    <t>21000297</t>
  </si>
  <si>
    <t>RECUPERADORES DE REFILE P/ACOPLAR NAS EXTRUSORAS</t>
  </si>
  <si>
    <t>GASTOS P/CONSTRUCAO DE 1 RECUPERADORES DE REFILE</t>
  </si>
  <si>
    <t>21000298</t>
  </si>
  <si>
    <t>21000299</t>
  </si>
  <si>
    <t>21000302</t>
  </si>
  <si>
    <t>CONJUNTO DE ANEL DE AR EXTRUSORA 350MM</t>
  </si>
  <si>
    <t>21000303</t>
  </si>
  <si>
    <t>LONGARINA P/CONSTRUCAO DE PRATELEIRAS</t>
  </si>
  <si>
    <t>CANTONEIRA 3/16X2A-36 6MT,136, 83M FERRO</t>
  </si>
  <si>
    <t>21000307</t>
  </si>
  <si>
    <t>170 KG DE CANTONEIRA1/4X1/2 A36 P/REFORCO DE</t>
  </si>
  <si>
    <t>13 KG DE PERFIL ENRIJ 100X50X15 P/REFORCO DE</t>
  </si>
  <si>
    <t>22,33 KG DE FERRO CHATO 1/AX1.1/2 A36 P/REFORCO</t>
  </si>
  <si>
    <t>21000311</t>
  </si>
  <si>
    <t>N1200 C/ RS485+3 RELE, 02 AIRGATE-MODBUS</t>
  </si>
  <si>
    <t>21000312</t>
  </si>
  <si>
    <t>CHICOTE 2M X 1/2 TRIFASICO ME1.5 C-B</t>
  </si>
  <si>
    <t>21000314</t>
  </si>
  <si>
    <t>DUROMETRO P/ BORRACHA SHORE - A/1 RESOLUCAO</t>
  </si>
  <si>
    <t>21000315</t>
  </si>
  <si>
    <t>APLICADOR PARA FITA GOMADA THR 2010</t>
  </si>
  <si>
    <t>21000320</t>
  </si>
  <si>
    <t>36 MT DE TUBO GALV A FOGO 2, 30 MT DE TUBO GALV A</t>
  </si>
  <si>
    <t>21000324</t>
  </si>
  <si>
    <t>ROSCA POLARIS 75 BIMETALICA</t>
  </si>
  <si>
    <t>21000332</t>
  </si>
  <si>
    <t>MOTOR SIEMENS TRIF 75CV 4P 4T A REND CAR 225M</t>
  </si>
  <si>
    <t>21000333</t>
  </si>
  <si>
    <t>INVERSOR CFW-09 105A 3AC 380V</t>
  </si>
  <si>
    <t>21000334</t>
  </si>
  <si>
    <t>ROSCA BIMETALICA 063,5X2039 LD</t>
  </si>
  <si>
    <t>21000337</t>
  </si>
  <si>
    <t>EMPILHADEIRA MANUAL LM 510N</t>
  </si>
  <si>
    <t>3 TRANSPALETE MANUAL 680X1150 TM 3020, P/O SETOR</t>
  </si>
  <si>
    <t>21000353</t>
  </si>
  <si>
    <t>INVERSOR CFW-11 7A/3AC 380V</t>
  </si>
  <si>
    <t>9</t>
  </si>
  <si>
    <t>10</t>
  </si>
  <si>
    <t>11</t>
  </si>
  <si>
    <t>21000356</t>
  </si>
  <si>
    <t>IMPRESSOR TERMICOS ZEBRAGC 420 203 DPI COM PEEL OF</t>
  </si>
  <si>
    <t>5637</t>
  </si>
  <si>
    <t>21000369</t>
  </si>
  <si>
    <t>CARRO HIDRAULICO PALETRANS</t>
  </si>
  <si>
    <t>7447</t>
  </si>
  <si>
    <t>7448</t>
  </si>
  <si>
    <t>7449</t>
  </si>
  <si>
    <t>21000371</t>
  </si>
  <si>
    <t>CONJUNTO CANHAO RULLI 075X0135X1909MM</t>
  </si>
  <si>
    <t>21000372</t>
  </si>
  <si>
    <t>ROSCA 075X2631 BIMETALICO 81MM RULLI</t>
  </si>
  <si>
    <t>21000373</t>
  </si>
  <si>
    <t>EMPILHADEIRA HYSTER H50 CT</t>
  </si>
  <si>
    <t>7453 - 10000463</t>
  </si>
  <si>
    <t>A297Y01968M</t>
  </si>
  <si>
    <t>21000380</t>
  </si>
  <si>
    <t>ALINHADOR ELETROMECANICO DF</t>
  </si>
  <si>
    <t>21000387</t>
  </si>
  <si>
    <t>CARRO HIDRAULICO TM 2220 680X1150 SIMPLES NYLON</t>
  </si>
  <si>
    <t>21000393</t>
  </si>
  <si>
    <t>INVERSOR CFW11 142A/3AC</t>
  </si>
  <si>
    <t>MOTOR TRIFASICO AR 100CV 4PT 4T</t>
  </si>
  <si>
    <t>21000394</t>
  </si>
  <si>
    <t>MOTOR ELETRICO WEG TRIFASICO 100 CV 02 225S/M 380</t>
  </si>
  <si>
    <t>21000395</t>
  </si>
  <si>
    <t>TROCADOR DE CALOR TC 060 W/AR</t>
  </si>
  <si>
    <t>21000398</t>
  </si>
  <si>
    <t>3 VENTILADOR 20CV HGR</t>
  </si>
  <si>
    <t>21000402</t>
  </si>
  <si>
    <t>SLIT SEALER CARNEVALLI 500 KVA 220V</t>
  </si>
  <si>
    <t>7500</t>
  </si>
  <si>
    <t>7501</t>
  </si>
  <si>
    <t>21000403</t>
  </si>
  <si>
    <t>CABECOTE DE EXTRUSORA MONOCAMADA HGR 24</t>
  </si>
  <si>
    <t>21000408</t>
  </si>
  <si>
    <t>EQUIPAMENTO TRATAMENTO CORONA ESTAÇAO CSS 2200X5</t>
  </si>
  <si>
    <t>21000411</t>
  </si>
  <si>
    <t>ELETROCALHA PERF. GALV PARA EXTRUSAO</t>
  </si>
  <si>
    <t>21000413</t>
  </si>
  <si>
    <t>PAINEL MONTADO COM INVERSOR</t>
  </si>
  <si>
    <t>21000414</t>
  </si>
  <si>
    <t>4 CACAMBA PALLETIZADA  CONFORME</t>
  </si>
  <si>
    <t>21000427</t>
  </si>
  <si>
    <t>MISTURADOR VERTICAL PEROZIN MP 502</t>
  </si>
  <si>
    <t>21000437</t>
  </si>
  <si>
    <t>4 CACAMBA PALETIZADA</t>
  </si>
  <si>
    <t>21000438</t>
  </si>
  <si>
    <t>CABOS E ACESSORIOS P/ INSTALACAO EXTRUSORA POLARIS</t>
  </si>
  <si>
    <t>21000461</t>
  </si>
  <si>
    <t>SERVICOS ELETRICOS P/O SETOR DE EXTRUSAO CONF</t>
  </si>
  <si>
    <t>21000465</t>
  </si>
  <si>
    <t>MOTOR TRIFASICO WEG 15CV 2P 220V</t>
  </si>
  <si>
    <t>INVERSOR DE FREQUENCIA WEG CFW080240T3848P SZ</t>
  </si>
  <si>
    <t>21000466</t>
  </si>
  <si>
    <t>4 ALIMENTADORES AW 600</t>
  </si>
  <si>
    <t>21000473</t>
  </si>
  <si>
    <t>SERVICOS EM LIGACAO DA EXTRUSORA 9</t>
  </si>
  <si>
    <t>21000477</t>
  </si>
  <si>
    <t>MATERIAIS PARA MONTAGEM DA EXTRUSORA Nº 9</t>
  </si>
  <si>
    <t>21000483</t>
  </si>
  <si>
    <t>SERVICOS ELETRICOS INSTALACAO EXTRUSORA Nº 9</t>
  </si>
  <si>
    <t>21000498</t>
  </si>
  <si>
    <t>PALETEIRA HIDRAULICA LINDE M25 2500KG</t>
  </si>
  <si>
    <t>10204</t>
  </si>
  <si>
    <t>FRETE REF TRANSPALETEIRAS</t>
  </si>
  <si>
    <t>21000500</t>
  </si>
  <si>
    <t>8 CACAMBA PALLETIZADA 600 LITROS</t>
  </si>
  <si>
    <t>FRETE P/CACAMBA PALETIZADA</t>
  </si>
  <si>
    <t>21000505</t>
  </si>
  <si>
    <t>CACAMBA PALETIZADA 600 L QUADRADA</t>
  </si>
  <si>
    <t>21000507</t>
  </si>
  <si>
    <t>DE 450 MTS DE CABO 0,6/1KV P/O SETOR DE EXTRUSAO</t>
  </si>
  <si>
    <t>21000508</t>
  </si>
  <si>
    <t>DE 75 MTS CABO REI 1X50, 75 MTS CABO REI 1X70 E</t>
  </si>
  <si>
    <t>21000515</t>
  </si>
  <si>
    <t>MISTURADOR DE RACAO VERTICAL MP-502</t>
  </si>
  <si>
    <t>N0023/07</t>
  </si>
  <si>
    <t>21000518</t>
  </si>
  <si>
    <t>SISTEMA DE RECUPERACAO DE REFILE MEGA ESTEEL</t>
  </si>
  <si>
    <t>21000524</t>
  </si>
  <si>
    <t>4 EIXO PNEUMATICO</t>
  </si>
  <si>
    <t>FRETE PARA TRANSPORTE DE 4 EIXO</t>
  </si>
  <si>
    <t>21000528</t>
  </si>
  <si>
    <t>EMPILHADEIRA HIDRAULICA MANUAL PALETRANS LM 510</t>
  </si>
  <si>
    <t>21000530</t>
  </si>
  <si>
    <t>PINHAO RULLI STAN P/O SETOR DE EXTRUSAO DA FABRICA</t>
  </si>
  <si>
    <t>FRETE PARA TRANSPORTE DE PINHAO</t>
  </si>
  <si>
    <t>21000536</t>
  </si>
  <si>
    <t>PALETEIRA MANUAL LINDEMOD M25</t>
  </si>
  <si>
    <t>FRETE PARA TRANSPORTE DA PALETEIRA</t>
  </si>
  <si>
    <t>21000547</t>
  </si>
  <si>
    <t>VENTILADOR SIROCO COMPACTO VSC P/ EXTRUSAO</t>
  </si>
  <si>
    <t>FRETE PARA TRANSPORTE DE 9 VENTILADORES</t>
  </si>
  <si>
    <t>21000548</t>
  </si>
  <si>
    <t>DE SERVICO DE FRETE P/TRANSPORTE DE 1 ANEL DE AR</t>
  </si>
  <si>
    <t>21000549</t>
  </si>
  <si>
    <t>ANEL DE AR CP56 E JOGO DE REDUCAO</t>
  </si>
  <si>
    <t>21000554</t>
  </si>
  <si>
    <t>MANIPULADOR DE BOBINAS UM BRACO BI ARTICULADO</t>
  </si>
  <si>
    <t>FRETE MANIPULADOR DE BOB SENDO UM BC BI ARTIC</t>
  </si>
  <si>
    <t>21000565</t>
  </si>
  <si>
    <t>TROCADOR DE CALOR REFRISAT TC 30</t>
  </si>
  <si>
    <t>21000567</t>
  </si>
  <si>
    <t>BALANCA TRENTIN BT 0007 150KG 75,5X60,5</t>
  </si>
  <si>
    <t>21000577</t>
  </si>
  <si>
    <t>MAQUINA APLICADORA DE FITA GOMADA LYKLOP UNI-99-2</t>
  </si>
  <si>
    <t>21000580</t>
  </si>
  <si>
    <t>ROLO BANANA P/O SETOR DE EXTRUSAO DA FABRICA</t>
  </si>
  <si>
    <t>FRETE P/ TRANSPORTE DE 2 ROLO BANANA</t>
  </si>
  <si>
    <t>21000581</t>
  </si>
  <si>
    <t>VENTILADOR DE EXTRUSAO</t>
  </si>
  <si>
    <t>21000582</t>
  </si>
  <si>
    <t>AGLUTINADOR MOTOR 75CV COM QUADRO DE COMANDO</t>
  </si>
  <si>
    <t>21000583</t>
  </si>
  <si>
    <t>2 CAIXA ELETRICA TAUNUS COD EE482 X800X400 MM</t>
  </si>
  <si>
    <t>21000587</t>
  </si>
  <si>
    <t>INVERSOR DE FREQUENCIA</t>
  </si>
  <si>
    <t>21000600</t>
  </si>
  <si>
    <t>INVERSOR CFW</t>
  </si>
  <si>
    <t>21000603</t>
  </si>
  <si>
    <t>MOTOR SIEMENS TRIFASICO 75 CV 4 P. AUTO RENDIMENTO</t>
  </si>
  <si>
    <t>21000610</t>
  </si>
  <si>
    <t>IMPRESSOR TERMICO TP-80 B</t>
  </si>
  <si>
    <t>21000616</t>
  </si>
  <si>
    <t>ALONGADOR DE GARFO P/ EMPILHADEIRA</t>
  </si>
  <si>
    <t>FRETE REFEERENTE DO ALONGADOR DE GARFO</t>
  </si>
  <si>
    <t>MATERIAIS P/REVISAO DE EMPILHADEIRA</t>
  </si>
  <si>
    <t>SERVICOS REF REVISAO E MANUTENCAO DA EMPILHADEIRA</t>
  </si>
  <si>
    <t>21000630</t>
  </si>
  <si>
    <t>EQUIP. TRATAMENTO CORONA EM SUPERFICIE PLASTICA</t>
  </si>
  <si>
    <t>21000631</t>
  </si>
  <si>
    <t>21000641</t>
  </si>
  <si>
    <t>DE UM PAINEL DESMONTAVEL, UMA PLACA DE MONTAGEM,</t>
  </si>
  <si>
    <t>21000643</t>
  </si>
  <si>
    <t>LONGARINAS 2500MM LARANJA ESTRUTURA PORTAPALLET</t>
  </si>
  <si>
    <t>21000669</t>
  </si>
  <si>
    <t>TORRE DE RESFRIAMENTO DE AGUA HA 15/9</t>
  </si>
  <si>
    <t>21000670</t>
  </si>
  <si>
    <t>EMPILHADEIRA MANUAL TRANSLIFT 400 KG</t>
  </si>
  <si>
    <t>21000679</t>
  </si>
  <si>
    <t>CILINDRO EXTRUSOR CARNEVALLI</t>
  </si>
  <si>
    <t>21000680</t>
  </si>
  <si>
    <t>MATRIZ D 250 COM ACOPLAMENTO CRUZETA 100MM</t>
  </si>
  <si>
    <t>21000681</t>
  </si>
  <si>
    <t>ROSCA D.2.1/2 PEAD</t>
  </si>
  <si>
    <t>21000682</t>
  </si>
  <si>
    <t>ROLO BANANA 2100 RULLI STANDARD</t>
  </si>
  <si>
    <t>21000683</t>
  </si>
  <si>
    <t>ROSCA COLMONOY PEAD 75 MM</t>
  </si>
  <si>
    <t>21000685</t>
  </si>
  <si>
    <t>21000690</t>
  </si>
  <si>
    <t>CABO BLINDADO AF-D PARA BALANCA</t>
  </si>
  <si>
    <t>21000693</t>
  </si>
  <si>
    <t>ELEVADOR AB 200</t>
  </si>
  <si>
    <t>21002155</t>
  </si>
  <si>
    <t>CONJUNTO EXTRUSORA HGR 90MM</t>
  </si>
  <si>
    <t>21002323</t>
  </si>
  <si>
    <t>BOBINADOR PARA EXTRUSÃO CONF NF DE TRANSF 1701</t>
  </si>
  <si>
    <t>21002957</t>
  </si>
  <si>
    <t>RECUPERADOR DE REFILE HGR</t>
  </si>
  <si>
    <t>21003275</t>
  </si>
  <si>
    <t>CARRO HIDRAULICO PALETRANS P/ PALLET TM 3020 RTN68</t>
  </si>
  <si>
    <t>21003276</t>
  </si>
  <si>
    <t>21003618</t>
  </si>
  <si>
    <t>PONTE ROLANTE/TALHA P/ CARREGAR BOBINAS</t>
  </si>
  <si>
    <t>21004072</t>
  </si>
  <si>
    <t>BALANCA ACO CARBONO BT 0011 1000 KG</t>
  </si>
  <si>
    <t>21004096</t>
  </si>
  <si>
    <t>BALANCA TRENTIN BT-006 CAP 100KG</t>
  </si>
  <si>
    <t>21004145</t>
  </si>
  <si>
    <t>CONVERSOR MODELO MP-80 8.0KW 16KWA + TRAFO A.T</t>
  </si>
  <si>
    <t>21004273</t>
  </si>
  <si>
    <t>RACK DESMON 19"X28U 600X800MM PT</t>
  </si>
  <si>
    <t>21005091</t>
  </si>
  <si>
    <t>INVERSOR FREQUENCIA WEG CFW-11 142A/3AC 380V</t>
  </si>
  <si>
    <t>21005125</t>
  </si>
  <si>
    <t>CARRO HIDRAULICO CATARINENSE CAP 3000 KG</t>
  </si>
  <si>
    <t>21005128</t>
  </si>
  <si>
    <t>EIXO EXPANSIVO CORPO EM AÇO 3"</t>
  </si>
  <si>
    <t>21005129</t>
  </si>
  <si>
    <t>21005130</t>
  </si>
  <si>
    <t>21005131</t>
  </si>
  <si>
    <t>21005682</t>
  </si>
  <si>
    <t>ROLO CURVO REVESTIDO EM BORRACHA REFORCADA Ø100</t>
  </si>
  <si>
    <t>21005683</t>
  </si>
  <si>
    <t>21005691</t>
  </si>
  <si>
    <t>AUTOTRANSFORADOR TRIFASICO 400KVA EC 60HZ</t>
  </si>
  <si>
    <t>21005773</t>
  </si>
  <si>
    <t>CONJUNTO CANHAO 70 LD:1 S/ DEGASAGEM</t>
  </si>
  <si>
    <t>21005774</t>
  </si>
  <si>
    <t>TROCADOR DE CALOR TC 30W/ AR</t>
  </si>
  <si>
    <t>21005775</t>
  </si>
  <si>
    <t>TROCADOR DE CALOR TC30W/AR</t>
  </si>
  <si>
    <t>21005776</t>
  </si>
  <si>
    <t>21005777</t>
  </si>
  <si>
    <t>CANHAO 75MM BIMETALICA  CARNEVALLI</t>
  </si>
  <si>
    <t>21005778</t>
  </si>
  <si>
    <t>ROSCA 75MM BIMETALICA CARNEVALLI 135M TOOL STEEL</t>
  </si>
  <si>
    <t>21005779</t>
  </si>
  <si>
    <t>CANHAO 75MM BIMETALICO  CARNEVALLI</t>
  </si>
  <si>
    <t>21005780</t>
  </si>
  <si>
    <t>ROSCA 75 MM BIMETALICA CARNEVALLI</t>
  </si>
  <si>
    <t>21005781</t>
  </si>
  <si>
    <t>CANHAO 80MM BIMETALICO XALOY</t>
  </si>
  <si>
    <t>21005782</t>
  </si>
  <si>
    <t>ROSCA 80MM BIMETALICA XALOY</t>
  </si>
  <si>
    <t>21005783</t>
  </si>
  <si>
    <t>21005784</t>
  </si>
  <si>
    <t>21005801</t>
  </si>
  <si>
    <t>CABEÇOTE DE EXTRUSÃO MONO BI FLUXO 216</t>
  </si>
  <si>
    <t>21005802</t>
  </si>
  <si>
    <t>CANHAO 75MM BIMETALICO XALOY</t>
  </si>
  <si>
    <t>21005803</t>
  </si>
  <si>
    <t>CANHAO 75 MM BIMETALICO XALOY</t>
  </si>
  <si>
    <t>21005804</t>
  </si>
  <si>
    <t>ROSCA 2. 1/2 LINEAR P/EXTRUSORA  MARCA RULLI</t>
  </si>
  <si>
    <t>21005814</t>
  </si>
  <si>
    <t>EQUIPAMETO PARA RESFRIAMENTO DE AGUA DA EXTRUSÃO</t>
  </si>
  <si>
    <t>21005878</t>
  </si>
  <si>
    <t>ALIMENTADOR TSW MODELO AUTOMATICO 250KG/HR</t>
  </si>
  <si>
    <t>SERVIÇO DE FRETE</t>
  </si>
  <si>
    <t>21006107</t>
  </si>
  <si>
    <t>PALETEIRA MANUAL 2500 KG M25</t>
  </si>
  <si>
    <t>10231</t>
  </si>
  <si>
    <t>21006111</t>
  </si>
  <si>
    <t>21006112</t>
  </si>
  <si>
    <t>21006114</t>
  </si>
  <si>
    <t>PALETEIRA MANUAL 3.0T GARFOS LONGOS 3000 KG</t>
  </si>
  <si>
    <t>FRETE PALETEIRA MANUAL</t>
  </si>
  <si>
    <t>21006119</t>
  </si>
  <si>
    <t>21006120</t>
  </si>
  <si>
    <t>21006225</t>
  </si>
  <si>
    <t>CONJUNTO ROSCA E CANHÃO 80MM PARA EXTRUSORAS</t>
  </si>
  <si>
    <t>21006270</t>
  </si>
  <si>
    <t>CACAMBA PALETIZADA FUNDO CONICO 1000X1000X600MM</t>
  </si>
  <si>
    <t>21006271</t>
  </si>
  <si>
    <t>21006292</t>
  </si>
  <si>
    <t>21006293</t>
  </si>
  <si>
    <t>21006294</t>
  </si>
  <si>
    <t>21006295</t>
  </si>
  <si>
    <t>21006296</t>
  </si>
  <si>
    <t>21006305</t>
  </si>
  <si>
    <t>21006306</t>
  </si>
  <si>
    <t>21006307</t>
  </si>
  <si>
    <t>21006308</t>
  </si>
  <si>
    <t>21006309</t>
  </si>
  <si>
    <t>21006310</t>
  </si>
  <si>
    <t>21006311</t>
  </si>
  <si>
    <t>21006320</t>
  </si>
  <si>
    <t>TROCADOR DE CALOR REFRISAT TC-60-W AR - MAQ. 10</t>
  </si>
  <si>
    <t>21006322</t>
  </si>
  <si>
    <t>FRETE</t>
  </si>
  <si>
    <t>21006323</t>
  </si>
  <si>
    <t>21006324</t>
  </si>
  <si>
    <t>21006325</t>
  </si>
  <si>
    <t>21006326</t>
  </si>
  <si>
    <t>21006327</t>
  </si>
  <si>
    <t>21006446</t>
  </si>
  <si>
    <t>ESTAÇÃO DE TRATAMENTO CORONA MODELO CSS</t>
  </si>
  <si>
    <t>21006459</t>
  </si>
  <si>
    <t>PALETEIRA ELÉTRICA EMBARCADA REQ0472A</t>
  </si>
  <si>
    <t>10001543</t>
  </si>
  <si>
    <t>342062N00151</t>
  </si>
  <si>
    <t>21006576</t>
  </si>
  <si>
    <t>DOSADOR DE ADITIVO LIQUIDO DXL 700</t>
  </si>
  <si>
    <t>21006577</t>
  </si>
  <si>
    <t>21006578</t>
  </si>
  <si>
    <t>21006617</t>
  </si>
  <si>
    <t>21006622</t>
  </si>
  <si>
    <t>21006835</t>
  </si>
  <si>
    <t>ROSCA 75MM BIMETALICA XALOY</t>
  </si>
  <si>
    <t>22003133</t>
  </si>
  <si>
    <t>CAMISA CARBOLOX BL 121,074 X 149,606 X 890MM</t>
  </si>
  <si>
    <t>30000109</t>
  </si>
  <si>
    <t>BEBEDOUROBRX 80 INOX 220V</t>
  </si>
  <si>
    <t>30000122</t>
  </si>
  <si>
    <t>BEBEDOURO ACQUA GELATA PAG-100 COM 3 TORNEIRAS</t>
  </si>
  <si>
    <t>30000144</t>
  </si>
  <si>
    <t>AR CONDICIONADO SPRINGER ACJ 7500 BTU</t>
  </si>
  <si>
    <t>7554</t>
  </si>
  <si>
    <t>30000155</t>
  </si>
  <si>
    <t>BEBEDOURO ELETRICO</t>
  </si>
  <si>
    <t>30000158</t>
  </si>
  <si>
    <t>4 CACAMBAS PALLETIZADAS</t>
  </si>
  <si>
    <t>30000187</t>
  </si>
  <si>
    <t>ARQUIVO DE ACO 4 GAVETAS</t>
  </si>
  <si>
    <t>30000202</t>
  </si>
  <si>
    <t>BEBEDOURO DE PRESSAO</t>
  </si>
  <si>
    <t>30000228</t>
  </si>
  <si>
    <t>AR CONDICIONADO CONSUL 220V CCF07D 7500 BTU</t>
  </si>
  <si>
    <t>30001379</t>
  </si>
  <si>
    <t>EXAUSTOR VCI-350 220/380V 60HZ TRIFASICO</t>
  </si>
  <si>
    <t>30001380</t>
  </si>
  <si>
    <t>30001381</t>
  </si>
  <si>
    <t>30001382</t>
  </si>
  <si>
    <t>30001383</t>
  </si>
  <si>
    <t>30001384</t>
  </si>
  <si>
    <t>30001645</t>
  </si>
  <si>
    <t>CADEIRA SECRETARIA GIRATORIA SEM BRAÇOS REVESTIDA</t>
  </si>
  <si>
    <t>30001646</t>
  </si>
  <si>
    <t>30001749</t>
  </si>
  <si>
    <t>BEBEDOURO IBBL CAPACIDADE 5 LITROS 220V 60 HZ INOX</t>
  </si>
  <si>
    <t>4801</t>
  </si>
  <si>
    <t>30001766</t>
  </si>
  <si>
    <t>AR CONDICIONADO HW INVERTER FUJITSU 12000 BTU</t>
  </si>
  <si>
    <t>30002245</t>
  </si>
  <si>
    <t>DISPENSER DUPLO PORTA RACAO 10UN 40L</t>
  </si>
  <si>
    <t>30002329</t>
  </si>
  <si>
    <t>AR CONDICIONADO FUJITSU SPLIT HW 18000 BTU</t>
  </si>
  <si>
    <t>AOBG18JFCBE006557</t>
  </si>
  <si>
    <t>30002343</t>
  </si>
  <si>
    <t>30002567</t>
  </si>
  <si>
    <t>GAVETEIRO FIXO C/ 2 GAVETAS</t>
  </si>
  <si>
    <t>30002568</t>
  </si>
  <si>
    <t>30002569</t>
  </si>
  <si>
    <t>30002570</t>
  </si>
  <si>
    <t>30003419</t>
  </si>
  <si>
    <t>RACK METAL 16UX570MM</t>
  </si>
  <si>
    <t>30003429</t>
  </si>
  <si>
    <t>30003432</t>
  </si>
  <si>
    <t>AR CONDICIONADO INT/EXT FRIO FUJITSU 12000 BTU</t>
  </si>
  <si>
    <t>30003473</t>
  </si>
  <si>
    <t>ARMARIO DE AÇO</t>
  </si>
  <si>
    <t>30003562</t>
  </si>
  <si>
    <t>BEBEDOURO INDUSTRIAL ACQUA GELATA PRE50 ACO INOX</t>
  </si>
  <si>
    <t>8898</t>
  </si>
  <si>
    <t>30003695</t>
  </si>
  <si>
    <t>ARMARIO DE ACO CINZA COM 50 PORTAS 1140X1030X280MM</t>
  </si>
  <si>
    <t>8826</t>
  </si>
  <si>
    <t>30003696</t>
  </si>
  <si>
    <t>8861</t>
  </si>
  <si>
    <t>30003943</t>
  </si>
  <si>
    <t>CLIMATIZADOR ROTOPLAST ROTO46 PORTATIL</t>
  </si>
  <si>
    <t>133665</t>
  </si>
  <si>
    <t>30003944</t>
  </si>
  <si>
    <t>133670</t>
  </si>
  <si>
    <t>30004157</t>
  </si>
  <si>
    <t>CADEIRA CAVALETTI GIRATORIA PRESIDENTE 4001</t>
  </si>
  <si>
    <t>9887</t>
  </si>
  <si>
    <t>30004158</t>
  </si>
  <si>
    <t>9888</t>
  </si>
  <si>
    <t>30004301</t>
  </si>
  <si>
    <t>30004426</t>
  </si>
  <si>
    <t>ARMARIO DE ACO</t>
  </si>
  <si>
    <t>9822</t>
  </si>
  <si>
    <t>30004427</t>
  </si>
  <si>
    <t>ARMARIO EM MDF</t>
  </si>
  <si>
    <t>9823</t>
  </si>
  <si>
    <t>31000240</t>
  </si>
  <si>
    <t>EMPILHADEIRA COMB - HYSTER - H50XT GLP</t>
  </si>
  <si>
    <t>10001024</t>
  </si>
  <si>
    <t>A386Y03367U</t>
  </si>
  <si>
    <t>31000281</t>
  </si>
  <si>
    <t>TRANSPALETEIRA ELETRICA STILL ECH15 1.500KG</t>
  </si>
  <si>
    <t>CT2063M00416</t>
  </si>
  <si>
    <t>32000043</t>
  </si>
  <si>
    <t>THIN CLIENT SP2716S-PLUS2 MEM 2 GB FLASH 4GB</t>
  </si>
  <si>
    <t>8335</t>
  </si>
  <si>
    <t>32000060</t>
  </si>
  <si>
    <t>MONITOR 15,6 POL LCD AOC LED 1670/1619/E1621</t>
  </si>
  <si>
    <t>7516</t>
  </si>
  <si>
    <t>32000086</t>
  </si>
  <si>
    <t>MONITOR 19 LCD SAMSUNG B1940W</t>
  </si>
  <si>
    <t>32000140</t>
  </si>
  <si>
    <t>COMPUTADOR PC NEO CELERON</t>
  </si>
  <si>
    <t>32000200</t>
  </si>
  <si>
    <t>RETROPROJETOR MULTIMIDIA EPSON S6+</t>
  </si>
  <si>
    <t>32000220</t>
  </si>
  <si>
    <t>COMPUTADOR MONTADO + MONITOR 18,5" LED SAMSUNG</t>
  </si>
  <si>
    <t>5645</t>
  </si>
  <si>
    <t>32001008</t>
  </si>
  <si>
    <t>COMPUTADOR DELL OPT 3040M I3 8GB 500GB 3.7GHZ W10</t>
  </si>
  <si>
    <t>G281QK2</t>
  </si>
  <si>
    <t>32001011</t>
  </si>
  <si>
    <t>MONITOR LED AOC 18,5 WIDESCREEN E970SWNL</t>
  </si>
  <si>
    <t>32001084</t>
  </si>
  <si>
    <t>IMPRESSOR TERMICO ZEBRA GC 420</t>
  </si>
  <si>
    <t>32001085</t>
  </si>
  <si>
    <t>32001104</t>
  </si>
  <si>
    <t>32001111</t>
  </si>
  <si>
    <t>NOTEBOOK DELL VOSTRO 3468 I5-7200U WIN 10 PRO 8GB</t>
  </si>
  <si>
    <t>32001211</t>
  </si>
  <si>
    <t>COMPUTADOR DELL VOSTRO I3 8100 4C 3.6GHZ 4GB RAM</t>
  </si>
  <si>
    <t>3VKNBS2</t>
  </si>
  <si>
    <t>32001215</t>
  </si>
  <si>
    <t>MONITOR LED 18,5" DELL E1916H</t>
  </si>
  <si>
    <t>7MKB1M2</t>
  </si>
  <si>
    <t>32001226</t>
  </si>
  <si>
    <t>FMX49T2</t>
  </si>
  <si>
    <t>32001229</t>
  </si>
  <si>
    <t>4NBB1M2</t>
  </si>
  <si>
    <t>32001306</t>
  </si>
  <si>
    <t>RELOGIO PONTO TOPDATA INNER 373 LFD BIO BARRAS</t>
  </si>
  <si>
    <t>32002049</t>
  </si>
  <si>
    <t>THINPC SUPERA SPMJ18TPSSD</t>
  </si>
  <si>
    <t>31628</t>
  </si>
  <si>
    <t>32002054</t>
  </si>
  <si>
    <t>31627</t>
  </si>
  <si>
    <t>32002135</t>
  </si>
  <si>
    <t>SWITCH ARUBA 2930F 48G POE 4SFP</t>
  </si>
  <si>
    <t>TW00HKX0Q4</t>
  </si>
  <si>
    <t>32002258</t>
  </si>
  <si>
    <t>COMPUTADOR THINPC SUPERA POPI J1800 WINDOWS 10 IOT</t>
  </si>
  <si>
    <t>32989</t>
  </si>
  <si>
    <t>32002371</t>
  </si>
  <si>
    <t>COMPUTADOR DELL OPTIPLEX/VASTRO I3 4GB SSD256 W10P</t>
  </si>
  <si>
    <t>8818</t>
  </si>
  <si>
    <t>948QPP3</t>
  </si>
  <si>
    <t>32002372</t>
  </si>
  <si>
    <t>8816</t>
  </si>
  <si>
    <t>B38QPP3</t>
  </si>
  <si>
    <t>32002411</t>
  </si>
  <si>
    <t>TERMINAL DE BALANÇA THINPC SUPERA IZEI TINY W10P</t>
  </si>
  <si>
    <t>8888</t>
  </si>
  <si>
    <t>32002412</t>
  </si>
  <si>
    <t>8879</t>
  </si>
  <si>
    <t>32002427</t>
  </si>
  <si>
    <t>THINPC SUPERA B2316 IZEI TINY WINDOWS 10 IOT</t>
  </si>
  <si>
    <t>8850</t>
  </si>
  <si>
    <t>32002574</t>
  </si>
  <si>
    <t>MONITOR DELL 21.5" P2219H</t>
  </si>
  <si>
    <t>10343</t>
  </si>
  <si>
    <t>32002579</t>
  </si>
  <si>
    <t>NOTEBOOK DELL 15,6" I5 4GB MEMÓRIA 1TB</t>
  </si>
  <si>
    <t>10348</t>
  </si>
  <si>
    <t>5WYCZT3</t>
  </si>
  <si>
    <t>32002580</t>
  </si>
  <si>
    <t>NOBREAK APC SRV 1KVA RACK 230V</t>
  </si>
  <si>
    <t>8873</t>
  </si>
  <si>
    <t>32002706</t>
  </si>
  <si>
    <t>CAMERA DE SEGURANCA INTELBRAS IP67 DOME 4MP DG2</t>
  </si>
  <si>
    <t>32002707</t>
  </si>
  <si>
    <t>32002708</t>
  </si>
  <si>
    <t>32002709</t>
  </si>
  <si>
    <t>32002710</t>
  </si>
  <si>
    <t>32002711</t>
  </si>
  <si>
    <t>32002712</t>
  </si>
  <si>
    <t>32002713</t>
  </si>
  <si>
    <t>CAMERA DE SEGURANCA INTELBRAS IP67 BULLET 4MP BG2</t>
  </si>
  <si>
    <t>32002714</t>
  </si>
  <si>
    <t>32002715</t>
  </si>
  <si>
    <t>32002716</t>
  </si>
  <si>
    <t>32002717</t>
  </si>
  <si>
    <t>32002718</t>
  </si>
  <si>
    <t>32002719</t>
  </si>
  <si>
    <t>32002720</t>
  </si>
  <si>
    <t>32002786</t>
  </si>
  <si>
    <t>NOTEBOOK DELL 14 i3 4GB HD SSD256GB WINDOWS 10 PRO</t>
  </si>
  <si>
    <t>3QGH6Z3</t>
  </si>
  <si>
    <t>SUPORTE TECNICO EM INFORMATICA</t>
  </si>
  <si>
    <t>32002816</t>
  </si>
  <si>
    <t>32002977</t>
  </si>
  <si>
    <t>40000346</t>
  </si>
  <si>
    <t>SERVIÇO LAPIDAÇÃO DE CONCRETO 2.191,23M2</t>
  </si>
  <si>
    <t>11000006</t>
  </si>
  <si>
    <t>ISOTELHA 418,10M 50MM COBERTURA SETOR DE IMPRESSAO</t>
  </si>
  <si>
    <t>100005003</t>
  </si>
  <si>
    <t>AQUISICAO DE 15 CT AP 12-14X4 E 16 CT DE PA SX</t>
  </si>
  <si>
    <t>11000009</t>
  </si>
  <si>
    <t>THINER 9800 EUCATEX, 20 GL TINTA BRANCO</t>
  </si>
  <si>
    <t>11000010</t>
  </si>
  <si>
    <t>CONSTRUÇÃO BASE TANQUE P/ SOLVENTE 30.000 LTS</t>
  </si>
  <si>
    <t>11000098</t>
  </si>
  <si>
    <t>CONSTRUCAO DE UMA SALA DE SOLVENTE  E ACESSORIOS</t>
  </si>
  <si>
    <t>11000142</t>
  </si>
  <si>
    <t>CONSTRUÇÃO BARRACAO DA IMPRESSÃO</t>
  </si>
  <si>
    <t>BARREIRA SANITARIA IMPRESSAO</t>
  </si>
  <si>
    <t>COBERTURA TANQUES SOLVENTE</t>
  </si>
  <si>
    <t>CONCLUSÃO DO PROJETO ADEQUAÇÃO A NR 12</t>
  </si>
  <si>
    <t>11000147</t>
  </si>
  <si>
    <t>ALAMBRADO / PONTO ALIMENTAÇÃO INSUMOS IMPRESSAO</t>
  </si>
  <si>
    <t>12000019</t>
  </si>
  <si>
    <t>CONSTRUÇÃO DA BASE P/ TANQUES DE SOLVENTE</t>
  </si>
  <si>
    <t>PROJETO DOS TANQUES E PARA RAIOS</t>
  </si>
  <si>
    <t>12000061</t>
  </si>
  <si>
    <t>PISTA DE ABASTECIMENTO SOLVENTE</t>
  </si>
  <si>
    <t>20000087</t>
  </si>
  <si>
    <t>IMPRESSORA FLEXOG 6 CORES MOD.SOLUTTION 1200 Nº107</t>
  </si>
  <si>
    <t>10000366</t>
  </si>
  <si>
    <t>129 OF: 6837/2005</t>
  </si>
  <si>
    <t>FRETE DA IMPRESSORA FELXOGRAFICA</t>
  </si>
  <si>
    <t>FRETE DA IMPRESSORA FELXOGRAFICA BETA</t>
  </si>
  <si>
    <t>FRETE REF. TRANSPORTE DA IMPRESSORA BETA 08 CORES</t>
  </si>
  <si>
    <t>20000130</t>
  </si>
  <si>
    <t>IMPRESSORA FLEXO 8C ACCESS GOLD GL 800 Nº 111</t>
  </si>
  <si>
    <t>10000370</t>
  </si>
  <si>
    <t>326</t>
  </si>
  <si>
    <t>FRETE REF. COMPRA IMPRESSORA FLEXO 8C</t>
  </si>
  <si>
    <t>LOCACAO DE MUNK P/DESCARREGAMENTO DA IMPRESSORA</t>
  </si>
  <si>
    <t>BARRA DE VIGA I 5 127 X 5,43 A-36</t>
  </si>
  <si>
    <t>DISJUNTOR 630A 36KA S/ DISPARADOR 3VT3763</t>
  </si>
  <si>
    <t>MATERIAIS ELETRICOS DIVERSOS</t>
  </si>
  <si>
    <t>CHAPA INOX 304 1,2X125X200</t>
  </si>
  <si>
    <t>12</t>
  </si>
  <si>
    <t>40 CAMISAS PORTA CLICHE CARBOFLEX MANDRIL 121,074</t>
  </si>
  <si>
    <t>13</t>
  </si>
  <si>
    <t>MONITOR LCD 15 POLEGADAS TOUCH SCREEN TYCO</t>
  </si>
  <si>
    <t>17</t>
  </si>
  <si>
    <t>DISPARADOR 630A 3VT9363-6AB00 SIEMENS</t>
  </si>
  <si>
    <t>19</t>
  </si>
  <si>
    <t>ROLO CURVO RCA NITRI 30X80X0854X1040 MM</t>
  </si>
  <si>
    <t>21</t>
  </si>
  <si>
    <t>MAO DE OBRA P/INSTACAO DA MAQ.IMPRESSORA ACCESS</t>
  </si>
  <si>
    <t>22</t>
  </si>
  <si>
    <t>PAINEL DE COMANDO REXROTH , CABOS ,FIRMWARE FWA</t>
  </si>
  <si>
    <t>23</t>
  </si>
  <si>
    <t>FRETE PELA COMPRA DE EQUIPAMENTOS DA FLEXO TECH</t>
  </si>
  <si>
    <t>10000370 3922</t>
  </si>
  <si>
    <t>24</t>
  </si>
  <si>
    <t>20000587</t>
  </si>
  <si>
    <t>IMPRESSORA WINDMOLLER 61140 MIRAFLEX AM 8C Nº 116</t>
  </si>
  <si>
    <t>10000824</t>
  </si>
  <si>
    <t>61140</t>
  </si>
  <si>
    <t>FRETE IMPRESSORA WINDMOLLER 61140 MIRAFLEX AM8</t>
  </si>
  <si>
    <t>SERVIÇOS DE INSTALAÇÃO MAQUINA WINDMOLLER</t>
  </si>
  <si>
    <t>CONVERSOR DE FREQUENCIA 16KW WINDMOLLER 35041995</t>
  </si>
  <si>
    <t>CONTROLADOR SERVO COMANDO ACOPOS 8V1010.00-2 1A</t>
  </si>
  <si>
    <t>SERVO MOTOR BMH1002 S0015 1,35KW WINDMOLLER</t>
  </si>
  <si>
    <t>PLACA DE CONTROLE I902S TMS WINDMOLLER</t>
  </si>
  <si>
    <t>FRETE REF SERVO MOTOR E PLACA DE CONTROLE</t>
  </si>
  <si>
    <t>ANALISADOR DE SOLVENTE WINDMOLLER OF: 58658</t>
  </si>
  <si>
    <t>MONITOR TOUCH SCREEN GT TM 2702C CTW HD 27" GREE N</t>
  </si>
  <si>
    <t>20000618</t>
  </si>
  <si>
    <t>IMPRESSORA FLEXOGRAFICA 8C MOD BETA 1200 Nº 109</t>
  </si>
  <si>
    <t>10000368</t>
  </si>
  <si>
    <t>146</t>
  </si>
  <si>
    <t>3 BATERIA P/ DRIVE E 1 DRIVE DE ACIONAMENTO SERVO</t>
  </si>
  <si>
    <t>CILINDRO EMBORRACHADO IMP. FLEXOGRAFICA Nº 109</t>
  </si>
  <si>
    <t>SUPER HANDYSCAN DIGITAL 4000 BST LATINA</t>
  </si>
  <si>
    <t>TAMBOR CENTRAL</t>
  </si>
  <si>
    <t>FRETE REF A TAMBOR</t>
  </si>
  <si>
    <t>MANUTENÇÃO IMPRESSORA FLEXOPOWER BETA</t>
  </si>
  <si>
    <t>MATERIAIS P/ MONTAGEM DA IMPRESSORA BETA 8 CORES</t>
  </si>
  <si>
    <t>20000698</t>
  </si>
  <si>
    <t>IMPRESSORA FLEXOGRAFICA MIRAFLEX WINDMOLLER 8 COR</t>
  </si>
  <si>
    <t>10001500</t>
  </si>
  <si>
    <t>FRETE IMPRESSORA FLEXOGRAFICA MIRAFLEX WINDMOLLER</t>
  </si>
  <si>
    <t>DESPESA REF VISTORIA DO PERITO PARA IMPRESSORA</t>
  </si>
  <si>
    <t>DESPESAS COMPLEMENTARES IMPRESSORA FLEXOGRAFICA</t>
  </si>
  <si>
    <t>DESPESAS COM PERICIA E INSTALACAO IMPRESSORA FLEXO</t>
  </si>
  <si>
    <t>20000712</t>
  </si>
  <si>
    <t>IMPRESSORA FLEXOGRAFICA 8C FISCHER E KRECKE Nº 115</t>
  </si>
  <si>
    <t>10000372</t>
  </si>
  <si>
    <t>08AI342801</t>
  </si>
  <si>
    <t>BARRA DE TUDO RED. IND. 1.1/4 CH 1,20 6 MT FP15S</t>
  </si>
  <si>
    <t>BARRA DE VIGA U 4 POL. 101,6 X 4,67MM A-36</t>
  </si>
  <si>
    <t>CHAPA EXPANDIDA 3/16 MALHA 50X100 3X1 MT</t>
  </si>
  <si>
    <t>CABO 3X6,5 ELETRICO PVC 3/4,55 MT DE CABO</t>
  </si>
  <si>
    <t>MAO DE OBRA NA INSTALACAO ELETRICA DA MAQUINA</t>
  </si>
  <si>
    <t>GALVANIZADO UNIAO ASSENTO FF3/4 P/CONFECCAO DA</t>
  </si>
  <si>
    <t>VALVULA DOCOL ESFERA 2 P/CONFECCAO DA TUBULACAO</t>
  </si>
  <si>
    <t>14</t>
  </si>
  <si>
    <t>NIPEL GALVANIZADO 2 P/CONFECCAO DA TUBULACAO DA</t>
  </si>
  <si>
    <t>15</t>
  </si>
  <si>
    <t>COTOVELO GALVANIZADO FF 90X2 P/CONFECCAO DA</t>
  </si>
  <si>
    <t>16</t>
  </si>
  <si>
    <t>TUBO GALVANIZADO A FOGO 550L 3/4 P/CONFECCAO DA</t>
  </si>
  <si>
    <t>TE GALVANIZADO FFF 90X3/4 P/CONFECCAO DA</t>
  </si>
  <si>
    <t>18</t>
  </si>
  <si>
    <t>VALVULA ESFERA DOCOL 0,3/4 P/CONFECCAO DA</t>
  </si>
  <si>
    <t>LUVA FF2 GALVANIZADO P/CONFECCAO DA TUBULACAO DA</t>
  </si>
  <si>
    <t>20</t>
  </si>
  <si>
    <t>UNIAO ASSENTO FF2 GALVANIZADO P/CONFECCAO DA</t>
  </si>
  <si>
    <t>TUBO GALVANIZADO A FOGO 5580L 2X76,10 P/CONFECCAO</t>
  </si>
  <si>
    <t>BUCHA RED, GALVANIZADO 2X1,1/4 P/CONFECCAO DA</t>
  </si>
  <si>
    <t>CURVA 90X2FF GALVANIZADO P/CONFECCAO DA TUBULACAO</t>
  </si>
  <si>
    <t>ADAPTADOR GALVANIZADO 1.1/4 P/CONFECCAO DA</t>
  </si>
  <si>
    <t>25</t>
  </si>
  <si>
    <t>BUCHA RED, GALVANIZADO 2.1/2X2 P/CONFECCAO DA</t>
  </si>
  <si>
    <t>26</t>
  </si>
  <si>
    <t>AT CORDOALHA DE ACO 1-4HS P/CONFECCAO DA</t>
  </si>
  <si>
    <t>27</t>
  </si>
  <si>
    <t>SERVICO DE GUINDASTE ARTILADO P/ MAQ. ADQUIRIDA</t>
  </si>
  <si>
    <t>28</t>
  </si>
  <si>
    <t>PERFIL DOBRADO</t>
  </si>
  <si>
    <t>29</t>
  </si>
  <si>
    <t>CABO COBRE NU 70,00MM NORMATIZADO</t>
  </si>
  <si>
    <t>30</t>
  </si>
  <si>
    <t>SOLOGEL 12KG C1000</t>
  </si>
  <si>
    <t>31</t>
  </si>
  <si>
    <t>ELETRODUTO PVC 1 ELECON</t>
  </si>
  <si>
    <t>32</t>
  </si>
  <si>
    <t>ABRACADEIRA 1TP D COM PARAFUSO GE</t>
  </si>
  <si>
    <t>33</t>
  </si>
  <si>
    <t>CONECTOR PARA ATERRAMENTO ASGG</t>
  </si>
  <si>
    <t>34</t>
  </si>
  <si>
    <t>CABO 70,00MM 0,6/1KV 90 FLEX VD</t>
  </si>
  <si>
    <t>35</t>
  </si>
  <si>
    <t>HASTE ATERRAMENTO 5/8 2,40</t>
  </si>
  <si>
    <t>36</t>
  </si>
  <si>
    <t>ABRACADEIRA NAT NYLON 200X4,8,</t>
  </si>
  <si>
    <t>37</t>
  </si>
  <si>
    <t>CONECTOR EMENDA/MEDICAO 4 PARAFUSOS,</t>
  </si>
  <si>
    <t>38</t>
  </si>
  <si>
    <t>CAIXA INSPENSAO TERRA SUSPENS,</t>
  </si>
  <si>
    <t>39</t>
  </si>
  <si>
    <t>REATOR ELETRONICO AFP 2X110W 220V</t>
  </si>
  <si>
    <t>40</t>
  </si>
  <si>
    <t>LAMPADA FLUOR 110W 220V,  P/INSTALACAO DE</t>
  </si>
  <si>
    <t>41</t>
  </si>
  <si>
    <t>LUMINARIA 2X110W LABS REFL BR DIF ACRILICO</t>
  </si>
  <si>
    <t>42</t>
  </si>
  <si>
    <t>TUBO IND. RED.3</t>
  </si>
  <si>
    <t>43</t>
  </si>
  <si>
    <t>FUSO DE ESFERA BOBST</t>
  </si>
  <si>
    <t>44</t>
  </si>
  <si>
    <t>DESPESA ADUANEIRA NFE  BOBST BIELEFELD GMBH,. P/O</t>
  </si>
  <si>
    <t>45</t>
  </si>
  <si>
    <t>REESTABELECIMENTO DE FUNCIONAMENTO DO SMARTGPS</t>
  </si>
  <si>
    <t>46</t>
  </si>
  <si>
    <t>SISTEMA DE VIDEO INSPECAO AVT</t>
  </si>
  <si>
    <t>47</t>
  </si>
  <si>
    <t>KIT PARA INSTALACAO DO AVT</t>
  </si>
  <si>
    <t>48</t>
  </si>
  <si>
    <t>EIXO EXPANSIVO EM ALUMINIO 6" GARRAS CONTINUAS</t>
  </si>
  <si>
    <t>49</t>
  </si>
  <si>
    <t>FRETE EIXO EXPANSIVO EM ALUMINIO 6"</t>
  </si>
  <si>
    <t>21000304</t>
  </si>
  <si>
    <t>04 BR DE VIGA U 4 POL 101,6X4,67MM E 09 BR DE</t>
  </si>
  <si>
    <t>04 BR DE VIGA U 4POL  101,6X4,67MM E 09 BR DE</t>
  </si>
  <si>
    <t>21000309</t>
  </si>
  <si>
    <t>AR CONDICIONADO 220V SPLIT/CONSUL 12000 BTUS</t>
  </si>
  <si>
    <t>21000325</t>
  </si>
  <si>
    <t>AR CONDICIONADO 18000 BTUS TIP ACJ</t>
  </si>
  <si>
    <t>21000327</t>
  </si>
  <si>
    <t>CASTANHA PNEUMATICA CPPU 74X150X170</t>
  </si>
  <si>
    <t>21000336</t>
  </si>
  <si>
    <t>PAINEL P/ TALHA CONJUGADA SISTEMA FLEXOTECH COM</t>
  </si>
  <si>
    <t>21000345</t>
  </si>
  <si>
    <t>SERVIDOR POWEREDGE T310 CHASSIS P/ATE 4 DISCOS</t>
  </si>
  <si>
    <t>21000347</t>
  </si>
  <si>
    <t>MONITOR LCD CONVERSOR</t>
  </si>
  <si>
    <t>5601</t>
  </si>
  <si>
    <t>21000348</t>
  </si>
  <si>
    <t>AR CONDICIONADO ACJ 7500 BTUS ELECTROLUX</t>
  </si>
  <si>
    <t>21000350</t>
  </si>
  <si>
    <t>CARRO HIDRAULICO TM 2220 680X1150 SIMPLES NYLON,</t>
  </si>
  <si>
    <t>5327</t>
  </si>
  <si>
    <t>21000351</t>
  </si>
  <si>
    <t>BALANCA ELETRONICA 300 KG</t>
  </si>
  <si>
    <t>5603</t>
  </si>
  <si>
    <t>21000354</t>
  </si>
  <si>
    <t>LAVADORA ALTA PRESSAO KARCHER HD-585 220V 1600 LBS</t>
  </si>
  <si>
    <t>5620</t>
  </si>
  <si>
    <t>21000362</t>
  </si>
  <si>
    <t>IMPRESSORA ZEBRA GC420 203 DPI COM PEEL OFF</t>
  </si>
  <si>
    <t>5717</t>
  </si>
  <si>
    <t>5718</t>
  </si>
  <si>
    <t>21000363</t>
  </si>
  <si>
    <t>CAMISA CARBOLOX 162,340X143,356X1330,00, P/O</t>
  </si>
  <si>
    <t>CAMISA CARBOLOX 162,340X143,356X1330,00</t>
  </si>
  <si>
    <t>21000365</t>
  </si>
  <si>
    <t>TRANSFORMADOR TTR 1000KVA</t>
  </si>
  <si>
    <t>5738</t>
  </si>
  <si>
    <t>21000368</t>
  </si>
  <si>
    <t>CAMISA CARBOLOX  149,621X121,074X1290,00 320 3,8</t>
  </si>
  <si>
    <t>21000375</t>
  </si>
  <si>
    <t>IMPRESSORA FLEXO GIUGNI MINIFLEX 390/200 1 COR</t>
  </si>
  <si>
    <t>776-10-02</t>
  </si>
  <si>
    <t>21000376</t>
  </si>
  <si>
    <t>776-10-01</t>
  </si>
  <si>
    <t>21000381</t>
  </si>
  <si>
    <t>CAMISA CARBOLOX 149,606X121,074X890,00 280 4,8</t>
  </si>
  <si>
    <t>21000382</t>
  </si>
  <si>
    <t>IMPRESSORA GC 420-1005A1-00 ZB</t>
  </si>
  <si>
    <t>7466</t>
  </si>
  <si>
    <t>21000385</t>
  </si>
  <si>
    <t>54J124905436</t>
  </si>
  <si>
    <t>54J134600769</t>
  </si>
  <si>
    <t>54J134600795</t>
  </si>
  <si>
    <t>7478</t>
  </si>
  <si>
    <t>545520</t>
  </si>
  <si>
    <t>7477</t>
  </si>
  <si>
    <t>21000391</t>
  </si>
  <si>
    <t>LAVADORA STIHL RE 143 47680124507</t>
  </si>
  <si>
    <t>7512</t>
  </si>
  <si>
    <t>21000396</t>
  </si>
  <si>
    <t>CHUVEIRO E LAVA-OLHOS DE EMERGENCIA COMBAT</t>
  </si>
  <si>
    <t>21000397</t>
  </si>
  <si>
    <t>CAMARAS DOCTOR BLADE DE TROCA RAPIDA FDBH</t>
  </si>
  <si>
    <t>21000404</t>
  </si>
  <si>
    <t>IMPRESORA ZEBRA GC420 203DPI 104MM</t>
  </si>
  <si>
    <t>7504</t>
  </si>
  <si>
    <t>54J141701704</t>
  </si>
  <si>
    <t>7505</t>
  </si>
  <si>
    <t>54J141701683</t>
  </si>
  <si>
    <t>21000406</t>
  </si>
  <si>
    <t>CHUVEIRO E LAVAOHOS DE EMERGENCIA MODELO COMBAT</t>
  </si>
  <si>
    <t>7493</t>
  </si>
  <si>
    <t>21000412</t>
  </si>
  <si>
    <t>CABO FLEXIVEL 1X50MM2 PARA IMPRESSAO</t>
  </si>
  <si>
    <t>21000430</t>
  </si>
  <si>
    <t>MATERIAIS USADOS NA INSTALACAO DE IMPRESSORA</t>
  </si>
  <si>
    <t>21000431</t>
  </si>
  <si>
    <t>21000432</t>
  </si>
  <si>
    <t>21000433</t>
  </si>
  <si>
    <t>21000434</t>
  </si>
  <si>
    <t>21000435</t>
  </si>
  <si>
    <t>21000451</t>
  </si>
  <si>
    <t>10 CARRINHOS PORTA CLICHES</t>
  </si>
  <si>
    <t>21000462</t>
  </si>
  <si>
    <t>BOMBA DE COMBUSTIVEL</t>
  </si>
  <si>
    <t>21000469</t>
  </si>
  <si>
    <t>56 ENGRENAGENS DURAFLEX Z</t>
  </si>
  <si>
    <t>21000472</t>
  </si>
  <si>
    <t>MAO DE OBRA EM SERVICOS ELETRICOS P/ ATERRAMENTO</t>
  </si>
  <si>
    <t>21000474</t>
  </si>
  <si>
    <t>EMPILHADEIRA MANUAL 500KG</t>
  </si>
  <si>
    <t>21000476</t>
  </si>
  <si>
    <t>FERR CANTONEIRA,FERRO CHATO,ACO TERF E NYLON</t>
  </si>
  <si>
    <t>21000481</t>
  </si>
  <si>
    <t>8 COROAS DENTADAS DURAFLEX</t>
  </si>
  <si>
    <t>21000488</t>
  </si>
  <si>
    <t>CARRINHO FABRICACAO INTERNA</t>
  </si>
  <si>
    <t>METALON 30 X 30 N18 PARA CONFECCAO DO CARRINHO</t>
  </si>
  <si>
    <t>21000491</t>
  </si>
  <si>
    <t>IMPRESSOR TERMICO TP-80-B</t>
  </si>
  <si>
    <t>21000492</t>
  </si>
  <si>
    <t>21000497</t>
  </si>
  <si>
    <t>ENGRENAGEM DURAFLEX</t>
  </si>
  <si>
    <t>21000506</t>
  </si>
  <si>
    <t>165M DE CABO FLEX 1X150,55 MTS DE CABO FLEX 1X70</t>
  </si>
  <si>
    <t>21000509</t>
  </si>
  <si>
    <t>PALETEIRAS M25 COM RODAS DE NYLON</t>
  </si>
  <si>
    <t>10205</t>
  </si>
  <si>
    <t>21000510</t>
  </si>
  <si>
    <t>DISJUNTOR TRIPOLAR</t>
  </si>
  <si>
    <t>21000516</t>
  </si>
  <si>
    <t>ENGRENAGEM</t>
  </si>
  <si>
    <t>21000517</t>
  </si>
  <si>
    <t>MATERIAIS PARA FABRICACAO DE KIT ANILOX</t>
  </si>
  <si>
    <t>FRETE P/TRANSPORTE  DE PECAS KIT ANILOX</t>
  </si>
  <si>
    <t>FRETE P/TRANSPORTE DE PECAS</t>
  </si>
  <si>
    <t>21000522</t>
  </si>
  <si>
    <t>12 ENGRENAGEM</t>
  </si>
  <si>
    <t>FRETE P/TRANSPORTE DE ENGRENAGEM</t>
  </si>
  <si>
    <t>21000526</t>
  </si>
  <si>
    <t>21000527</t>
  </si>
  <si>
    <t>3000 IMA CILINDRO</t>
  </si>
  <si>
    <t>FRETE P/ TRANSPORTE DE 3000 IMA</t>
  </si>
  <si>
    <t>21000534</t>
  </si>
  <si>
    <t>5 ENGRENAGEM DE FERRO FUNDIDO</t>
  </si>
  <si>
    <t>FRETE P/TRANSPORTE DE 5  ENGRENAGEM</t>
  </si>
  <si>
    <t>21000555</t>
  </si>
  <si>
    <t>DE SERVICO DE FRETE P/TRANSPORTE DE 2 CILINDRO</t>
  </si>
  <si>
    <t>21000558</t>
  </si>
  <si>
    <t>8 ENGRENAGEM</t>
  </si>
  <si>
    <t>FRETE P/TRANSPORTE DE 8 ENGRENAGEM</t>
  </si>
  <si>
    <t>21000559</t>
  </si>
  <si>
    <t>75,90M DE PAINEL ACO ISOJOINT E 60M PERFIL</t>
  </si>
  <si>
    <t>21000570</t>
  </si>
  <si>
    <t>66 ENGRENAGEM FERRO FUNDIDO</t>
  </si>
  <si>
    <t>21000571</t>
  </si>
  <si>
    <t>8 DOCTOR BLADE, 8 BANDEJA DE TINTA, 8 BOMBA, 8</t>
  </si>
  <si>
    <t>21000589</t>
  </si>
  <si>
    <t>TANQUE HORIZONTAL DE ACO CARBONO CHAPA PRETA</t>
  </si>
  <si>
    <t>21000609</t>
  </si>
  <si>
    <t>16 BATERIA SELADA 12V 18AH</t>
  </si>
  <si>
    <t>21000611</t>
  </si>
  <si>
    <t>MOTOR PARA PC COM CABO DE ENCODER</t>
  </si>
  <si>
    <t>21000629</t>
  </si>
  <si>
    <t>QUADRO DE DISTRIBUICAO C/ BARRAM. TRIFASICO</t>
  </si>
  <si>
    <t>FRETE REF QUADRO DE COMANDO HOLEC INDUSTRIAS</t>
  </si>
  <si>
    <t>21000632</t>
  </si>
  <si>
    <t>FRETE REF COMPRA DE 03 CAMISAS SLEEVLOX ALUMINIO</t>
  </si>
  <si>
    <t>21000633</t>
  </si>
  <si>
    <t>PERFIL P/CONSTRUCAO DO GALPAO DE SOLVENTE</t>
  </si>
  <si>
    <t>21000636</t>
  </si>
  <si>
    <t>DE 85 MT CABO 25MM E 255 MT CABO 50MM</t>
  </si>
  <si>
    <t>DE 85 MT CABO 25MM P/INSTALACAO DE MAQ.NO SETOR</t>
  </si>
  <si>
    <t>21000649</t>
  </si>
  <si>
    <t>10 BARRAS TUBO RED IND 3 POL. CH 14 E QUATRO</t>
  </si>
  <si>
    <t>21000686</t>
  </si>
  <si>
    <t>GABINE DELUZ - SISTEMA DE LUMINARIA</t>
  </si>
  <si>
    <t>21000689</t>
  </si>
  <si>
    <t>TANQUE 15000L</t>
  </si>
  <si>
    <t>21000702</t>
  </si>
  <si>
    <t>03 CRONOMETRO PROGRESSIVO HORA, P/O SETOR DE</t>
  </si>
  <si>
    <t>21002879</t>
  </si>
  <si>
    <t>TANQUE AEREO HORIZONTAL 15.000LT</t>
  </si>
  <si>
    <t>21002885</t>
  </si>
  <si>
    <t>21003199</t>
  </si>
  <si>
    <t>VISCOSIMETRO AUTOMAT VISCOFLEX VS30</t>
  </si>
  <si>
    <t>21003278</t>
  </si>
  <si>
    <t>21003697</t>
  </si>
  <si>
    <t>AGITADOR PNEUMATICO VERTICAL RAPIDO MODELO BASICO</t>
  </si>
  <si>
    <t>21003979</t>
  </si>
  <si>
    <t>ALINHADOR BST EKR 500 Digital</t>
  </si>
  <si>
    <t>21004053</t>
  </si>
  <si>
    <t>CARRIER FLOW THROUGH</t>
  </si>
  <si>
    <t>21004054</t>
  </si>
  <si>
    <t>EMPILHADEIRA MANUAL PALETRANS LM 1010 CAP 1000KG</t>
  </si>
  <si>
    <t>21004082</t>
  </si>
  <si>
    <t>EIXO EXPANSIVO 3 POLEGADA</t>
  </si>
  <si>
    <t>21004083</t>
  </si>
  <si>
    <t>21004984</t>
  </si>
  <si>
    <t>CAMISA PONTE TIPO CARRIER CARBO BRIDGE</t>
  </si>
  <si>
    <t>21005077</t>
  </si>
  <si>
    <t>EMPILHADEIRA MANUAL PALETRANS LM 1016, CAP 1000 KG</t>
  </si>
  <si>
    <t>21005081</t>
  </si>
  <si>
    <t>CAMISA PORTA CLICHE CARBOLOX BL 121,074X149,606</t>
  </si>
  <si>
    <t>21005093</t>
  </si>
  <si>
    <t>DOCTOR BLADE PLUS 0890MM</t>
  </si>
  <si>
    <t>21005094</t>
  </si>
  <si>
    <t>21005095</t>
  </si>
  <si>
    <t>21005096</t>
  </si>
  <si>
    <t>21005124</t>
  </si>
  <si>
    <t>21005684</t>
  </si>
  <si>
    <t>ROLO CURVO Ø100 COMPRIMENTO BORRACHA 1350MM COMPRI</t>
  </si>
  <si>
    <t>21005711</t>
  </si>
  <si>
    <t>DOCTOR BLADE PLUS LIGHTERN 1290MM CARTON</t>
  </si>
  <si>
    <t>FRETE DOCTOR BLADE</t>
  </si>
  <si>
    <t>21005712</t>
  </si>
  <si>
    <t>21005713</t>
  </si>
  <si>
    <t>21005714</t>
  </si>
  <si>
    <t>21005715</t>
  </si>
  <si>
    <t>21005716</t>
  </si>
  <si>
    <t>21005717</t>
  </si>
  <si>
    <t>21005718</t>
  </si>
  <si>
    <t>21005719</t>
  </si>
  <si>
    <t>21005720</t>
  </si>
  <si>
    <t>21005725</t>
  </si>
  <si>
    <t>MISTURADOR DIRETO PNEUM 1000L MDPC-1000</t>
  </si>
  <si>
    <t>FRETE MISTURADOR</t>
  </si>
  <si>
    <t>21005791</t>
  </si>
  <si>
    <t>SISTEMA DE VIDEO INSPECAO SUPER HANDYSCAN 3000</t>
  </si>
  <si>
    <t>FRETE P/ TRANSPORTE DO SISTEMA DE VIDEO INSPECAO</t>
  </si>
  <si>
    <t>21005794</t>
  </si>
  <si>
    <t>ESMAGADOR DE ZIPER ULTRA SONICO MODELO US-80</t>
  </si>
  <si>
    <t>21005815</t>
  </si>
  <si>
    <t>MAQ P/LAVAR E LIMPAR CHAPAS DE IMP MOD 1200MM</t>
  </si>
  <si>
    <t>5045</t>
  </si>
  <si>
    <t>21005816</t>
  </si>
  <si>
    <t>MAQUINA LAVAR CAMARAS DOCTOR BLADE</t>
  </si>
  <si>
    <t>CUSTAS ADUAN DO PROC 5719 1 MAQ.LAVAD DE CAM DOCT</t>
  </si>
  <si>
    <t>ICMS DO PROC DE IMPORT 5719 1 MAQ.LAVADORA DE CAM</t>
  </si>
  <si>
    <t>VAL REF PROC IMPORT 5719 1 MAQ.LAVAD DE CAM</t>
  </si>
  <si>
    <t>MATERIAIS HIDRAULICOS DIVERSOS P/MONTAGEM DA</t>
  </si>
  <si>
    <t>MATERIAIS ELETRICOS DIVERSOS P/ MONTAGEM DA</t>
  </si>
  <si>
    <t>MATERIAIS ELETRICOS DIVERSOS P/MONTAGEM DA</t>
  </si>
  <si>
    <t>21005818</t>
  </si>
  <si>
    <t>MAQUINA AUTOMATICA LAVAR ANILOX ECOCLEAN 8KW 380V</t>
  </si>
  <si>
    <t>10001111</t>
  </si>
  <si>
    <t>SERVIÇO DE REPARO E ROFORMA MAQUINA LAVAR ANILOX</t>
  </si>
  <si>
    <t>21005867</t>
  </si>
  <si>
    <t>BOMBA PNEUMATICA MEGA FLUX MF-AF000100S 110L</t>
  </si>
  <si>
    <t>FRETE BOMBA PNEUMATICA MEGA FLUX MF-AF000100S 110L</t>
  </si>
  <si>
    <t>21005868</t>
  </si>
  <si>
    <t>21005944</t>
  </si>
  <si>
    <t>MISTURADOR DIRETO PNEUMATICO PARA CONTEINER 1000L</t>
  </si>
  <si>
    <t>FRETE REFERENTE Ao MISTURADOR DIRETO PNEUMATICO</t>
  </si>
  <si>
    <t>21006113</t>
  </si>
  <si>
    <t>PALETEIRA MANUAL 3.0T GARFOS PADRAO</t>
  </si>
  <si>
    <t>8889</t>
  </si>
  <si>
    <t>21006116</t>
  </si>
  <si>
    <t>21006117</t>
  </si>
  <si>
    <t>21006118</t>
  </si>
  <si>
    <t>21006207</t>
  </si>
  <si>
    <t>ESPECTRODENSITOMETRO EXACT ADVANCED X-RITE</t>
  </si>
  <si>
    <t>21006210</t>
  </si>
  <si>
    <t>BALANCA DE PRECISAO MARTE AD2000 2010G X 0,01G</t>
  </si>
  <si>
    <t>8825 - 10001191</t>
  </si>
  <si>
    <t>451693</t>
  </si>
  <si>
    <t>21006345</t>
  </si>
  <si>
    <t>CONTROLADOR DE TEMPERATURA REFRISAT SAT.060 AR Z</t>
  </si>
  <si>
    <t>21006368</t>
  </si>
  <si>
    <t>MEDIDOR DE VOLUME EM CILINDROS ANILOX INKROVER</t>
  </si>
  <si>
    <t>21006371</t>
  </si>
  <si>
    <t>RECUPERADOR DE SOLVENTE ROTO PLUS 400 ATEX II 2 G</t>
  </si>
  <si>
    <t>Y180</t>
  </si>
  <si>
    <t>DESPESAS COM INSTALACAO RECUPERADOR DE SOLVENTE</t>
  </si>
  <si>
    <t>21006423</t>
  </si>
  <si>
    <t>BALANCA TRENTIN BT-0011 1000KG PLATAFORMA 1,2x1,2M</t>
  </si>
  <si>
    <t>9797</t>
  </si>
  <si>
    <t>21006430</t>
  </si>
  <si>
    <t>PALETEIRA MANUAL TX-25 CAPACIDADE 2500 KG STILL</t>
  </si>
  <si>
    <t>B578329</t>
  </si>
  <si>
    <t>FRETE PALETEIRA MANUAL TX-25</t>
  </si>
  <si>
    <t>21006431</t>
  </si>
  <si>
    <t>B578361</t>
  </si>
  <si>
    <t>21006452</t>
  </si>
  <si>
    <t>EMPILHADEIRA MANUAL PALETRANS PM1516 1500 KG</t>
  </si>
  <si>
    <t>20240162</t>
  </si>
  <si>
    <t>21006460</t>
  </si>
  <si>
    <t>CAMISA DE LAMINACAO LAMIFLEX</t>
  </si>
  <si>
    <t>240458476C2</t>
  </si>
  <si>
    <t>21006461</t>
  </si>
  <si>
    <t>240458476C1</t>
  </si>
  <si>
    <t>21006512</t>
  </si>
  <si>
    <t>TROCADOR DE CALOR MECALOR MAS-60-RI-380/C</t>
  </si>
  <si>
    <t>MANUTENCAO E REPARO TROCADOR DE CALOR MECALOR</t>
  </si>
  <si>
    <t>21006606</t>
  </si>
  <si>
    <t>PAINEL ELETRONICO FAFRICACAO INTERNA</t>
  </si>
  <si>
    <t>21006610</t>
  </si>
  <si>
    <t>5326</t>
  </si>
  <si>
    <t>21006612</t>
  </si>
  <si>
    <t>21006618</t>
  </si>
  <si>
    <t>21006620</t>
  </si>
  <si>
    <t>21006641</t>
  </si>
  <si>
    <t>TROCADOR DE CALOR REFRISAT TMQF 022 AR 9</t>
  </si>
  <si>
    <t>17159</t>
  </si>
  <si>
    <t>21006817</t>
  </si>
  <si>
    <t>TROCADOR DE CALOR REFRISAT 380V 3POL 60HZ</t>
  </si>
  <si>
    <t>21006829</t>
  </si>
  <si>
    <t>ESPECTRODENSITOMETRO EXACT ADVANCED</t>
  </si>
  <si>
    <t>55522</t>
  </si>
  <si>
    <t>21006830</t>
  </si>
  <si>
    <t>55523</t>
  </si>
  <si>
    <t>22000020</t>
  </si>
  <si>
    <t>CAMISA PORTA CLICHE 41,5 MM COMPT 1290MM</t>
  </si>
  <si>
    <t>22000021</t>
  </si>
  <si>
    <t>22000022</t>
  </si>
  <si>
    <t>22000023</t>
  </si>
  <si>
    <t>22000024</t>
  </si>
  <si>
    <t>22000025</t>
  </si>
  <si>
    <t>22000026</t>
  </si>
  <si>
    <t>22000027</t>
  </si>
  <si>
    <t>22000029</t>
  </si>
  <si>
    <t>CAMISA CARBOFLEX PRE P500 155,875 X 108 X 1285 MM</t>
  </si>
  <si>
    <t>22000030</t>
  </si>
  <si>
    <t>22000031</t>
  </si>
  <si>
    <t>22000032</t>
  </si>
  <si>
    <t>22000033</t>
  </si>
  <si>
    <t>22000034</t>
  </si>
  <si>
    <t>22000035</t>
  </si>
  <si>
    <t>22000036</t>
  </si>
  <si>
    <t>22000062</t>
  </si>
  <si>
    <t>CAMISA PORTA CLICHE PASSO 800MM</t>
  </si>
  <si>
    <t>22000063</t>
  </si>
  <si>
    <t>22000064</t>
  </si>
  <si>
    <t>22000065</t>
  </si>
  <si>
    <t>CAMISA PORTA CLICHE PASSO 690MM</t>
  </si>
  <si>
    <t>22000066</t>
  </si>
  <si>
    <t>22000067</t>
  </si>
  <si>
    <t>22000068</t>
  </si>
  <si>
    <t>22000069</t>
  </si>
  <si>
    <t>22000070</t>
  </si>
  <si>
    <t>22000071</t>
  </si>
  <si>
    <t>22000072</t>
  </si>
  <si>
    <t>22000092</t>
  </si>
  <si>
    <t>CAMISA P/ LAMINAÇÃO LESS POLYCOAT 78G 80 SHORE</t>
  </si>
  <si>
    <t>22000093</t>
  </si>
  <si>
    <t>CAMISA CARBOFLEX PRE P390 120,861 X 108 X 1285 MM</t>
  </si>
  <si>
    <t>22000094</t>
  </si>
  <si>
    <t>22000095</t>
  </si>
  <si>
    <t>22000096</t>
  </si>
  <si>
    <t>22000097</t>
  </si>
  <si>
    <t>22000098</t>
  </si>
  <si>
    <t>22000099</t>
  </si>
  <si>
    <t>22000100</t>
  </si>
  <si>
    <t>22000117</t>
  </si>
  <si>
    <t>CAMISA PORTA CLICHE TIPO EVERGREEN</t>
  </si>
  <si>
    <t>22000118</t>
  </si>
  <si>
    <t>22000119</t>
  </si>
  <si>
    <t>22000120</t>
  </si>
  <si>
    <t>22000121</t>
  </si>
  <si>
    <t>22000122</t>
  </si>
  <si>
    <t>22000123</t>
  </si>
  <si>
    <t>22000124</t>
  </si>
  <si>
    <t>22000125</t>
  </si>
  <si>
    <t>CAMISA PORTA CLICHE PASSO 400MM</t>
  </si>
  <si>
    <t>22000126</t>
  </si>
  <si>
    <t>22000127</t>
  </si>
  <si>
    <t>22000128</t>
  </si>
  <si>
    <t>22000129</t>
  </si>
  <si>
    <t>22000130</t>
  </si>
  <si>
    <t>22000131</t>
  </si>
  <si>
    <t>22000132</t>
  </si>
  <si>
    <t>22000200</t>
  </si>
  <si>
    <t>CAMISA PORTA CLICHE TIPO STARCOAT</t>
  </si>
  <si>
    <t>22000201</t>
  </si>
  <si>
    <t>22000202</t>
  </si>
  <si>
    <t>22000203</t>
  </si>
  <si>
    <t>22000204</t>
  </si>
  <si>
    <t>22000205</t>
  </si>
  <si>
    <t>22000206</t>
  </si>
  <si>
    <t>22000207</t>
  </si>
  <si>
    <t>22000234</t>
  </si>
  <si>
    <t>CAMISA PORTA CLICHE EMBORRACHADA PHOTOFLEX</t>
  </si>
  <si>
    <t>22000309</t>
  </si>
  <si>
    <t>CAMISA P/ LAMINAÇÃO SOLVENTE LESS EM POLYCOAT</t>
  </si>
  <si>
    <t>22000343</t>
  </si>
  <si>
    <t>CAMISA PORTA CLICHE PASSO 430MM</t>
  </si>
  <si>
    <t>22000344</t>
  </si>
  <si>
    <t>22000345</t>
  </si>
  <si>
    <t>22000346</t>
  </si>
  <si>
    <t>22000347</t>
  </si>
  <si>
    <t>22000348</t>
  </si>
  <si>
    <t>22000349</t>
  </si>
  <si>
    <t>22000350</t>
  </si>
  <si>
    <t>22000379</t>
  </si>
  <si>
    <t>CAMISA PORTA CLICHE PASSO 450MM</t>
  </si>
  <si>
    <t>22000380</t>
  </si>
  <si>
    <t>22000381</t>
  </si>
  <si>
    <t>22000382</t>
  </si>
  <si>
    <t>22000383</t>
  </si>
  <si>
    <t>22000384</t>
  </si>
  <si>
    <t>22000385</t>
  </si>
  <si>
    <t>22000386</t>
  </si>
  <si>
    <t>22000480</t>
  </si>
  <si>
    <t>CAMISA PORTA CLICHE PASSO 490MM</t>
  </si>
  <si>
    <t>22000481</t>
  </si>
  <si>
    <t>22000482</t>
  </si>
  <si>
    <t>22000483</t>
  </si>
  <si>
    <t>22000484</t>
  </si>
  <si>
    <t>22000485</t>
  </si>
  <si>
    <t>22000486</t>
  </si>
  <si>
    <t>22000487</t>
  </si>
  <si>
    <t>22000534</t>
  </si>
  <si>
    <t>CAMISA PORTA CLICHE 490 800 FLEXOTECH</t>
  </si>
  <si>
    <t>22000535</t>
  </si>
  <si>
    <t>22000536</t>
  </si>
  <si>
    <t>22000537</t>
  </si>
  <si>
    <t>22000538</t>
  </si>
  <si>
    <t>22000539</t>
  </si>
  <si>
    <t>22000540</t>
  </si>
  <si>
    <t>22000541</t>
  </si>
  <si>
    <t>22000544</t>
  </si>
  <si>
    <t>CAMISA PORTA CLICHE PASSO 510MM</t>
  </si>
  <si>
    <t>22000545</t>
  </si>
  <si>
    <t>22000546</t>
  </si>
  <si>
    <t>22000547</t>
  </si>
  <si>
    <t>22000548</t>
  </si>
  <si>
    <t>22000549</t>
  </si>
  <si>
    <t>22000550</t>
  </si>
  <si>
    <t>22000551</t>
  </si>
  <si>
    <t>22000564</t>
  </si>
  <si>
    <t>CAMISA PORTA CLICHE 530 800 FLEXOTECH</t>
  </si>
  <si>
    <t>22000565</t>
  </si>
  <si>
    <t>22000566</t>
  </si>
  <si>
    <t>22000567</t>
  </si>
  <si>
    <t>22000568</t>
  </si>
  <si>
    <t>22000569</t>
  </si>
  <si>
    <t>22000570</t>
  </si>
  <si>
    <t>22000571</t>
  </si>
  <si>
    <t>22000580</t>
  </si>
  <si>
    <t>CAMISA PORTA CLICHE PASSO 520MM</t>
  </si>
  <si>
    <t>22000581</t>
  </si>
  <si>
    <t>22000582</t>
  </si>
  <si>
    <t>22000583</t>
  </si>
  <si>
    <t>22000584</t>
  </si>
  <si>
    <t>22000585</t>
  </si>
  <si>
    <t>22000586</t>
  </si>
  <si>
    <t>22000587</t>
  </si>
  <si>
    <t>22000629</t>
  </si>
  <si>
    <t>CAMISA PORTA CLICHE PASSO 620MM</t>
  </si>
  <si>
    <t>22000630</t>
  </si>
  <si>
    <t>22000631</t>
  </si>
  <si>
    <t>22000632</t>
  </si>
  <si>
    <t>22000633</t>
  </si>
  <si>
    <t>22000634</t>
  </si>
  <si>
    <t>22000635</t>
  </si>
  <si>
    <t>22000636</t>
  </si>
  <si>
    <t>22000787</t>
  </si>
  <si>
    <t>CAMISA PORTA CLICHE PASSO 650MM</t>
  </si>
  <si>
    <t>22000788</t>
  </si>
  <si>
    <t>22000789</t>
  </si>
  <si>
    <t>22000790</t>
  </si>
  <si>
    <t>22000791</t>
  </si>
  <si>
    <t>22000792</t>
  </si>
  <si>
    <t>22000793</t>
  </si>
  <si>
    <t>22000794</t>
  </si>
  <si>
    <t>22000975</t>
  </si>
  <si>
    <t>CAMISA PORTA CLICHE FORMATO 530MM</t>
  </si>
  <si>
    <t>22000976</t>
  </si>
  <si>
    <t>22000977</t>
  </si>
  <si>
    <t>22000978</t>
  </si>
  <si>
    <t>22000979</t>
  </si>
  <si>
    <t>22000980</t>
  </si>
  <si>
    <t>22000981</t>
  </si>
  <si>
    <t>22000982</t>
  </si>
  <si>
    <t>22001028</t>
  </si>
  <si>
    <t>04 PCS ENGRENAGEM P/CILINDRO PORTA CLICHE</t>
  </si>
  <si>
    <t>22001029</t>
  </si>
  <si>
    <t>22001503</t>
  </si>
  <si>
    <t>CAMISA PORTA CLICHE PASSO 640 MM LC 1200 MM</t>
  </si>
  <si>
    <t>22001784</t>
  </si>
  <si>
    <t>CAMISA CARBOLOX BL 121,074 X 149,605 X 890 MM</t>
  </si>
  <si>
    <t>22002371</t>
  </si>
  <si>
    <t>CAMISA CARBOLOX BL 136,989 X 159,155 X 1346 MM</t>
  </si>
  <si>
    <t>22002372</t>
  </si>
  <si>
    <t>22002425</t>
  </si>
  <si>
    <t>KIT ANILOX PARA SETOR DE IMPRESSAO</t>
  </si>
  <si>
    <t>22002426</t>
  </si>
  <si>
    <t>CAMISA LAMIFLEX</t>
  </si>
  <si>
    <t>FRETE P/TRANSPORTE DE 1 CAMISA</t>
  </si>
  <si>
    <t>22002447</t>
  </si>
  <si>
    <t>CAMISA CARBOLOX BL 136,989 X 159,155 X 1346MM</t>
  </si>
  <si>
    <t>22002448</t>
  </si>
  <si>
    <t>22002449</t>
  </si>
  <si>
    <t>22002450</t>
  </si>
  <si>
    <t>22002451</t>
  </si>
  <si>
    <t>22002452</t>
  </si>
  <si>
    <t>22002474</t>
  </si>
  <si>
    <t>22002475</t>
  </si>
  <si>
    <t>22002476</t>
  </si>
  <si>
    <t>22002477</t>
  </si>
  <si>
    <t>22002478</t>
  </si>
  <si>
    <t>22002479</t>
  </si>
  <si>
    <t>22002480</t>
  </si>
  <si>
    <t>22002501</t>
  </si>
  <si>
    <t>CILINDROS NORGREN SEM HASTE ACAO DUPLA 25X1555MM</t>
  </si>
  <si>
    <t>22002502</t>
  </si>
  <si>
    <t>CILINDRO ROTOFLEX 183,64 X 1000 MM</t>
  </si>
  <si>
    <t>22002557</t>
  </si>
  <si>
    <t>CILINDRO CONTRA PESSAO</t>
  </si>
  <si>
    <t>22002569</t>
  </si>
  <si>
    <t>CILINDRO PORTA CLICHES P 34</t>
  </si>
  <si>
    <t>22002572</t>
  </si>
  <si>
    <t>1 CILINDRO,2 MANCAL,2 PINO,2 EIXO,2ARRUELA, 2BASC</t>
  </si>
  <si>
    <t>FRETE P/ TRANSPORTE DE MATERIAIS DIVERSOS</t>
  </si>
  <si>
    <t>22002583</t>
  </si>
  <si>
    <t>CAMISA CARBOLOX BL 121,074 X 149,606 X 890 MM</t>
  </si>
  <si>
    <t>22002584</t>
  </si>
  <si>
    <t>22002586</t>
  </si>
  <si>
    <t>CAMISA PONTE DIAM. EXT. 152,905MM</t>
  </si>
  <si>
    <t>22002587</t>
  </si>
  <si>
    <t>22002588</t>
  </si>
  <si>
    <t>22002589</t>
  </si>
  <si>
    <t>22002590</t>
  </si>
  <si>
    <t>22002591</t>
  </si>
  <si>
    <t>22002592</t>
  </si>
  <si>
    <t>22002593</t>
  </si>
  <si>
    <t>22002615</t>
  </si>
  <si>
    <t>FRETE 2 CAMISA LAMIFLEX</t>
  </si>
  <si>
    <t>22002631</t>
  </si>
  <si>
    <t>2 CAMISA LAMIFLEX 145X140X117,12MM</t>
  </si>
  <si>
    <t>22002642</t>
  </si>
  <si>
    <t>CAMISA PONTE DIAM. EXT. 213,384MM</t>
  </si>
  <si>
    <t>22002643</t>
  </si>
  <si>
    <t>22002644</t>
  </si>
  <si>
    <t>22002645</t>
  </si>
  <si>
    <t>22002646</t>
  </si>
  <si>
    <t>22002647</t>
  </si>
  <si>
    <t>22002648</t>
  </si>
  <si>
    <t>22002649</t>
  </si>
  <si>
    <t>22002676</t>
  </si>
  <si>
    <t>CILINDRO PORTA CLICHE P-75</t>
  </si>
  <si>
    <t>22002679</t>
  </si>
  <si>
    <t>CILINDRO CONTRA PRESSAO MAQ. 1400</t>
  </si>
  <si>
    <t>FRETE P/ TRANSPORTE DE CILINDRO</t>
  </si>
  <si>
    <t>22002760</t>
  </si>
  <si>
    <t>CAMISA CARBOLOX BL 121,074 X 149,606 X 1290 MM</t>
  </si>
  <si>
    <t>22002761</t>
  </si>
  <si>
    <t>22002787</t>
  </si>
  <si>
    <t>CILINDRO PORTA CLICHE P 420</t>
  </si>
  <si>
    <t>FRETE P/ TRANSPORTE DE 8 CILINDRO</t>
  </si>
  <si>
    <t>22002835</t>
  </si>
  <si>
    <t>CILINDRO PORTA CLICHE PASSO 52</t>
  </si>
  <si>
    <t>FRETE P/TRANSPORTE DE 4 CILINDROS</t>
  </si>
  <si>
    <t>22002874</t>
  </si>
  <si>
    <t>7 CAMISA PORTA CLICHES PASSO 640MM LC 1200MM</t>
  </si>
  <si>
    <t>22002875</t>
  </si>
  <si>
    <t>6 CAMISA PORTA CLICHE 520MM P/ IMP.FLEXOGRAFICA</t>
  </si>
  <si>
    <t>22002946</t>
  </si>
  <si>
    <t>CILINDRO PORTA CLICHE</t>
  </si>
  <si>
    <t>22002947</t>
  </si>
  <si>
    <t>6 CILINDROS DIAM 203,22 X 1000MM ROTROGRAVURA</t>
  </si>
  <si>
    <t>22002952</t>
  </si>
  <si>
    <t>3 CILINDROS PORTA CLICHES</t>
  </si>
  <si>
    <t>22002954</t>
  </si>
  <si>
    <t>8 CAMISA PORTA CLICHE FLEXOPOWER 1200 PASSO 450MM</t>
  </si>
  <si>
    <t>22002958</t>
  </si>
  <si>
    <t>22002990</t>
  </si>
  <si>
    <t>9 CAMISA PORTA CLICHE</t>
  </si>
  <si>
    <t>22002994</t>
  </si>
  <si>
    <t>CILINDRO ANILOX SERIE CYAN PRAXAIR</t>
  </si>
  <si>
    <t>22002996</t>
  </si>
  <si>
    <t>8 CAMISAS PT CLICHECARB STD P530 121X165,624</t>
  </si>
  <si>
    <t>22002997</t>
  </si>
  <si>
    <t>CILINDRO ANILOX LASERLIGHT</t>
  </si>
  <si>
    <t>22003011</t>
  </si>
  <si>
    <t>6 CILINDROS PORTA CLICHE</t>
  </si>
  <si>
    <t>22003019</t>
  </si>
  <si>
    <t>8 CILINDRO DIAM 190,48 X 900MM</t>
  </si>
  <si>
    <t>22003023</t>
  </si>
  <si>
    <t>CILINDRO ANILOX GRAVADO A LASER 7BCM</t>
  </si>
  <si>
    <t>22003024</t>
  </si>
  <si>
    <t>6 CILINDROS PORTA CLICHES</t>
  </si>
  <si>
    <t>22003026</t>
  </si>
  <si>
    <t>4 CILINDROS PORTA CLICHE</t>
  </si>
  <si>
    <t>22003028</t>
  </si>
  <si>
    <t>CILINDRO ANILOX UCARLOX</t>
  </si>
  <si>
    <t>22003029</t>
  </si>
  <si>
    <t>17 CAMISA CARBOFLEX</t>
  </si>
  <si>
    <t>22003035</t>
  </si>
  <si>
    <t>8 CAMISA PORTA CLICHE PASSO 500MM</t>
  </si>
  <si>
    <t>22003038</t>
  </si>
  <si>
    <t>8 CAMISA PORTA CLICHE CARBOFLEX Z110</t>
  </si>
  <si>
    <t>22003040</t>
  </si>
  <si>
    <t>22003044</t>
  </si>
  <si>
    <t>8 CAMISA PORTA CLICHE IMPRESSORA FLEXOGRAFICA</t>
  </si>
  <si>
    <t>22003045</t>
  </si>
  <si>
    <t>24 CAMISA PORTA CLICHE PASSO 410, 450 E 480MM</t>
  </si>
  <si>
    <t>22003046</t>
  </si>
  <si>
    <t>4 CILINDRO PORTA CLICHE</t>
  </si>
  <si>
    <t>22003052</t>
  </si>
  <si>
    <t>8 CAMISA PORTA CLICHE PASSO 730MM</t>
  </si>
  <si>
    <t>22003053</t>
  </si>
  <si>
    <t>CILINDRO ANILOX</t>
  </si>
  <si>
    <t>22003054</t>
  </si>
  <si>
    <t>16 CAMISAS PORTA CLICHE PASSO 690MM CARBOFLEX</t>
  </si>
  <si>
    <t>22003058</t>
  </si>
  <si>
    <t>6 CILINDRO PORTA CLICHE</t>
  </si>
  <si>
    <t>22003060</t>
  </si>
  <si>
    <t>CAMISA ANILOX SLEEVELOX ALUMINIO 240LPC 2,4BCM</t>
  </si>
  <si>
    <t>109 - 27</t>
  </si>
  <si>
    <t>22003068</t>
  </si>
  <si>
    <t>33 CAMISA PORTA CLICHE</t>
  </si>
  <si>
    <t>22003073</t>
  </si>
  <si>
    <t>CAMISA ANILOX BETA 1200 GEAR LESS 4,5 BCM</t>
  </si>
  <si>
    <t>115 - 21</t>
  </si>
  <si>
    <t>22003075</t>
  </si>
  <si>
    <t>48 CAMISAS PORTA CLICHES CARBOFLEX</t>
  </si>
  <si>
    <t>FRETE DE CAMISAS PORTACLICHES</t>
  </si>
  <si>
    <t>22003112</t>
  </si>
  <si>
    <t>CAMISA PORTA CLICHE PASSO 570MM</t>
  </si>
  <si>
    <t>22003113</t>
  </si>
  <si>
    <t>22003114</t>
  </si>
  <si>
    <t>22003115</t>
  </si>
  <si>
    <t>22003116</t>
  </si>
  <si>
    <t>22003117</t>
  </si>
  <si>
    <t>22003118</t>
  </si>
  <si>
    <t>22003119</t>
  </si>
  <si>
    <t>22003120</t>
  </si>
  <si>
    <t>CAMISA PORTA CLICHE PASSO 820MM</t>
  </si>
  <si>
    <t>22003121</t>
  </si>
  <si>
    <t>22003122</t>
  </si>
  <si>
    <t>22003123</t>
  </si>
  <si>
    <t>22003124</t>
  </si>
  <si>
    <t>22003125</t>
  </si>
  <si>
    <t>22003126</t>
  </si>
  <si>
    <t>22003132</t>
  </si>
  <si>
    <t>22003134</t>
  </si>
  <si>
    <t>22003135</t>
  </si>
  <si>
    <t>CAMISA PORTA CLICHE PASSO 4200MM</t>
  </si>
  <si>
    <t>22003136</t>
  </si>
  <si>
    <t>22003137</t>
  </si>
  <si>
    <t>22003138</t>
  </si>
  <si>
    <t>22003139</t>
  </si>
  <si>
    <t>22003140</t>
  </si>
  <si>
    <t>22003141</t>
  </si>
  <si>
    <t>22003142</t>
  </si>
  <si>
    <t>22003161</t>
  </si>
  <si>
    <t>22003220</t>
  </si>
  <si>
    <t>22003221</t>
  </si>
  <si>
    <t>22003257</t>
  </si>
  <si>
    <t>22003258</t>
  </si>
  <si>
    <t>22003259</t>
  </si>
  <si>
    <t>22003260</t>
  </si>
  <si>
    <t>22003261</t>
  </si>
  <si>
    <t>22003262</t>
  </si>
  <si>
    <t>22003263</t>
  </si>
  <si>
    <t>22003264</t>
  </si>
  <si>
    <t>22003299</t>
  </si>
  <si>
    <t>8 CAMISA PORTA CLICHE SIGMA P1620</t>
  </si>
  <si>
    <t>22003300</t>
  </si>
  <si>
    <t>05 CAMISA PORTA CLICHE SLEEVELOX ALUMINIO</t>
  </si>
  <si>
    <t>22003301</t>
  </si>
  <si>
    <t>08 CAMISA PORTA CLICHE PI430  08 PI4590 E 08 PI520</t>
  </si>
  <si>
    <t>22003302</t>
  </si>
  <si>
    <t>08 CAMISAS PORTA CLICHE SIGMA PI520</t>
  </si>
  <si>
    <t>22003303</t>
  </si>
  <si>
    <t>08 CAMISA PORTA CLICHE CARBOFLEX</t>
  </si>
  <si>
    <t>22003304</t>
  </si>
  <si>
    <t>08 PC CAMISA PORTA CLICHE CARBOFLEX PASSO 550 MM</t>
  </si>
  <si>
    <t>22003305</t>
  </si>
  <si>
    <t>08 ADAPTADOR P/CAMISA PORTA CLICHE</t>
  </si>
  <si>
    <t>22003306</t>
  </si>
  <si>
    <t>8 CAMISA PORTA CLICHE CARBOFLEX STD P420</t>
  </si>
  <si>
    <t>22003307</t>
  </si>
  <si>
    <t>07 CAMISA PORTA CLICHE CARBOFLEX STD P430</t>
  </si>
  <si>
    <t>22003308</t>
  </si>
  <si>
    <t>22003309</t>
  </si>
  <si>
    <t>7 CAMISA PORTA CLICHE CARBOFLEX STD P520</t>
  </si>
  <si>
    <t>22003310</t>
  </si>
  <si>
    <t>8 CAMISA PORTA CLICHE CARBOFLEX STD P690</t>
  </si>
  <si>
    <t>22003311</t>
  </si>
  <si>
    <t>CAMISA PORTA CLICHE CARBOFLEX STD P430</t>
  </si>
  <si>
    <t>22003312</t>
  </si>
  <si>
    <t>CAMISA PORTA CLICHE CARBOFLEX STD P490</t>
  </si>
  <si>
    <t>22003313</t>
  </si>
  <si>
    <t>CAMISA PORTA CLICHE CARBOFLEX STD P520</t>
  </si>
  <si>
    <t>22003314</t>
  </si>
  <si>
    <t>CAMISA SLEEVELOX ALUMINIO</t>
  </si>
  <si>
    <t>22003315</t>
  </si>
  <si>
    <t>04 CAMISAS LAMIFLEX MANDRIL CONICO 117,12MM</t>
  </si>
  <si>
    <t>22003316</t>
  </si>
  <si>
    <t>07 CAMISA SLEEVELOX ALUMINIO</t>
  </si>
  <si>
    <t>22003317</t>
  </si>
  <si>
    <t>22003318</t>
  </si>
  <si>
    <t>16 CAMISA PORTA CLICHE STARCOAT 121,074X600X840</t>
  </si>
  <si>
    <t>22003319</t>
  </si>
  <si>
    <t>CAMISA ANILOX SLEEVELOX-CARBONO</t>
  </si>
  <si>
    <t>116 - 17</t>
  </si>
  <si>
    <t>22003381</t>
  </si>
  <si>
    <t>CAMISA ANILOX FLEXO TECH 800</t>
  </si>
  <si>
    <t>116-20 / W20001891</t>
  </si>
  <si>
    <t>22003382</t>
  </si>
  <si>
    <t>115-35 / W20001892</t>
  </si>
  <si>
    <t>22003383</t>
  </si>
  <si>
    <t>109-29 / W20001893</t>
  </si>
  <si>
    <t>22003832</t>
  </si>
  <si>
    <t>CAMISA PORTA CLICHE PASSO 540MM</t>
  </si>
  <si>
    <t>22003833</t>
  </si>
  <si>
    <t>22003834</t>
  </si>
  <si>
    <t>22003835</t>
  </si>
  <si>
    <t>22003836</t>
  </si>
  <si>
    <t>22003837</t>
  </si>
  <si>
    <t>22003838</t>
  </si>
  <si>
    <t>22003839</t>
  </si>
  <si>
    <t>22003840</t>
  </si>
  <si>
    <t>CAMISA PORTA CLICHE PASSO 550MM</t>
  </si>
  <si>
    <t>22003841</t>
  </si>
  <si>
    <t>22003842</t>
  </si>
  <si>
    <t>22003843</t>
  </si>
  <si>
    <t>22003844</t>
  </si>
  <si>
    <t>22003845</t>
  </si>
  <si>
    <t>22003846</t>
  </si>
  <si>
    <t>22003847</t>
  </si>
  <si>
    <t>22003848</t>
  </si>
  <si>
    <t>CAMISA PORTA CLICHE PASSO 580MM</t>
  </si>
  <si>
    <t>22003849</t>
  </si>
  <si>
    <t>22003850</t>
  </si>
  <si>
    <t>22003851</t>
  </si>
  <si>
    <t>22003852</t>
  </si>
  <si>
    <t>22003853</t>
  </si>
  <si>
    <t>22003854</t>
  </si>
  <si>
    <t>22003855</t>
  </si>
  <si>
    <t>22003856</t>
  </si>
  <si>
    <t>CAMISA PORTA CLICHE PASSO 700MM</t>
  </si>
  <si>
    <t>22003857</t>
  </si>
  <si>
    <t>22003858</t>
  </si>
  <si>
    <t>22003859</t>
  </si>
  <si>
    <t>22003860</t>
  </si>
  <si>
    <t>22003861</t>
  </si>
  <si>
    <t>22003862</t>
  </si>
  <si>
    <t>22003863</t>
  </si>
  <si>
    <t>22003864</t>
  </si>
  <si>
    <t>CAMISA PORTA CLICHE PASSO 460MM</t>
  </si>
  <si>
    <t>22003865</t>
  </si>
  <si>
    <t>22003866</t>
  </si>
  <si>
    <t>22003867</t>
  </si>
  <si>
    <t>22003868</t>
  </si>
  <si>
    <t>22003869</t>
  </si>
  <si>
    <t>22003870</t>
  </si>
  <si>
    <t>22003871</t>
  </si>
  <si>
    <t>22003872</t>
  </si>
  <si>
    <t>CAMISA PORTA CLICHE PASSO 470MM</t>
  </si>
  <si>
    <t>22003873</t>
  </si>
  <si>
    <t>22003874</t>
  </si>
  <si>
    <t>22003875</t>
  </si>
  <si>
    <t>22003876</t>
  </si>
  <si>
    <t>22003877</t>
  </si>
  <si>
    <t>22003878</t>
  </si>
  <si>
    <t>22003879</t>
  </si>
  <si>
    <t>22003880</t>
  </si>
  <si>
    <t>CAMISA PORTA CLICHE PASSO 440MM</t>
  </si>
  <si>
    <t>22003881</t>
  </si>
  <si>
    <t>22003882</t>
  </si>
  <si>
    <t>22003883</t>
  </si>
  <si>
    <t>22003884</t>
  </si>
  <si>
    <t>22003885</t>
  </si>
  <si>
    <t>22003886</t>
  </si>
  <si>
    <t>22003887</t>
  </si>
  <si>
    <t>22003888</t>
  </si>
  <si>
    <t>CAMISA PORTA CLICHE PASSO 530MM</t>
  </si>
  <si>
    <t>22003889</t>
  </si>
  <si>
    <t>22003890</t>
  </si>
  <si>
    <t>22003891</t>
  </si>
  <si>
    <t>22003892</t>
  </si>
  <si>
    <t>22003893</t>
  </si>
  <si>
    <t>22003894</t>
  </si>
  <si>
    <t>22003895</t>
  </si>
  <si>
    <t>22003996</t>
  </si>
  <si>
    <t>CAMISA ANILOX CARBOLOX TBA 162,340X143,356X1330</t>
  </si>
  <si>
    <t>115-36 / 21102292L</t>
  </si>
  <si>
    <t>22003997</t>
  </si>
  <si>
    <t>115-37 / 21102293L</t>
  </si>
  <si>
    <t>22004052</t>
  </si>
  <si>
    <t>CAMISA PORTA CLICHE 510MM</t>
  </si>
  <si>
    <t>22004053</t>
  </si>
  <si>
    <t>22004054</t>
  </si>
  <si>
    <t>22004055</t>
  </si>
  <si>
    <t>22004056</t>
  </si>
  <si>
    <t>22004057</t>
  </si>
  <si>
    <t>22004058</t>
  </si>
  <si>
    <t>22004059</t>
  </si>
  <si>
    <t>22004060</t>
  </si>
  <si>
    <t>CAMISA PORTA CLICHE 440MM</t>
  </si>
  <si>
    <t>22004061</t>
  </si>
  <si>
    <t>22004062</t>
  </si>
  <si>
    <t>22004063</t>
  </si>
  <si>
    <t>22004064</t>
  </si>
  <si>
    <t>22004065</t>
  </si>
  <si>
    <t>22004066</t>
  </si>
  <si>
    <t>22004067</t>
  </si>
  <si>
    <t>22004068</t>
  </si>
  <si>
    <t>CAMISA PORTA CLICHE TIPO STARCOAT 121074x500x840</t>
  </si>
  <si>
    <t>22004069</t>
  </si>
  <si>
    <t>22004121</t>
  </si>
  <si>
    <t>CAMISA PORTA CLICHE 1,14  108,34X1290MM</t>
  </si>
  <si>
    <t>M79081</t>
  </si>
  <si>
    <t>22004122</t>
  </si>
  <si>
    <t>M79082</t>
  </si>
  <si>
    <t>22004123</t>
  </si>
  <si>
    <t>M79080</t>
  </si>
  <si>
    <t>22004124</t>
  </si>
  <si>
    <t>M79078</t>
  </si>
  <si>
    <t>22004125</t>
  </si>
  <si>
    <t>M79084</t>
  </si>
  <si>
    <t>22004126</t>
  </si>
  <si>
    <t>M79085</t>
  </si>
  <si>
    <t>22004127</t>
  </si>
  <si>
    <t>M79079</t>
  </si>
  <si>
    <t>22004128</t>
  </si>
  <si>
    <t>M79083</t>
  </si>
  <si>
    <t>22004133</t>
  </si>
  <si>
    <t>CAMISA CARBOLOX 149,606X121,074X890,00 160 7,2</t>
  </si>
  <si>
    <t>22004134</t>
  </si>
  <si>
    <t>CAMISA CARBOLOX 149,606X121,074X890,00 180 6,6</t>
  </si>
  <si>
    <t>22004135</t>
  </si>
  <si>
    <t>CAMISA CARBOLOX 149,606X121,074X890,00 220 5,4</t>
  </si>
  <si>
    <t>22004136</t>
  </si>
  <si>
    <t>22004146</t>
  </si>
  <si>
    <t>CAMISA ANILOX 405 DIAMETRO 125,635MM</t>
  </si>
  <si>
    <t>116-25 / M82899</t>
  </si>
  <si>
    <t>FRETE CAMISA ANILOX 405</t>
  </si>
  <si>
    <t>22004147</t>
  </si>
  <si>
    <t>115-42 / M82900</t>
  </si>
  <si>
    <t>22004148</t>
  </si>
  <si>
    <t>115-29 / M82901</t>
  </si>
  <si>
    <t>22004149</t>
  </si>
  <si>
    <t>115-39 / M82902</t>
  </si>
  <si>
    <t>22004150</t>
  </si>
  <si>
    <t>111-48 / M82903</t>
  </si>
  <si>
    <t>22004151</t>
  </si>
  <si>
    <t>109-12 / M82904</t>
  </si>
  <si>
    <t>22004152</t>
  </si>
  <si>
    <t>116-30 / M82905</t>
  </si>
  <si>
    <t>22004153</t>
  </si>
  <si>
    <t>116-31 / M82906</t>
  </si>
  <si>
    <t>22004156</t>
  </si>
  <si>
    <t>CAMISA PORTA CLICHE ROSSINI 520MM SOB PONTE</t>
  </si>
  <si>
    <t>M83689</t>
  </si>
  <si>
    <t>FRETE CAMISA PORTA CLICHE</t>
  </si>
  <si>
    <t>22004157</t>
  </si>
  <si>
    <t>M83691</t>
  </si>
  <si>
    <t>22004158</t>
  </si>
  <si>
    <t>M83688</t>
  </si>
  <si>
    <t>22004159</t>
  </si>
  <si>
    <t>M83685</t>
  </si>
  <si>
    <t>22004160</t>
  </si>
  <si>
    <t>M83690</t>
  </si>
  <si>
    <t>22004161</t>
  </si>
  <si>
    <t>M83686</t>
  </si>
  <si>
    <t>22004162</t>
  </si>
  <si>
    <t>M83687</t>
  </si>
  <si>
    <t>22004163</t>
  </si>
  <si>
    <t>M83682</t>
  </si>
  <si>
    <t>22004164</t>
  </si>
  <si>
    <t>CAMISA PORTA CLICHE ROSSINI 730MM SOB PONTE</t>
  </si>
  <si>
    <t>M83821</t>
  </si>
  <si>
    <t>22004165</t>
  </si>
  <si>
    <t>M83815</t>
  </si>
  <si>
    <t>22004166</t>
  </si>
  <si>
    <t>M83816</t>
  </si>
  <si>
    <t>22004167</t>
  </si>
  <si>
    <t>M83820</t>
  </si>
  <si>
    <t>22004168</t>
  </si>
  <si>
    <t>M83817</t>
  </si>
  <si>
    <t>22004169</t>
  </si>
  <si>
    <t>M83818</t>
  </si>
  <si>
    <t>22004170</t>
  </si>
  <si>
    <t>M83819</t>
  </si>
  <si>
    <t>22004171</t>
  </si>
  <si>
    <t>M83822</t>
  </si>
  <si>
    <t>22004182</t>
  </si>
  <si>
    <t>CAMISA PONTE CARBO BRIDGE 111,53X152,91X1295</t>
  </si>
  <si>
    <t>T88692</t>
  </si>
  <si>
    <t>22004183</t>
  </si>
  <si>
    <t>T88691</t>
  </si>
  <si>
    <t>22004184</t>
  </si>
  <si>
    <t>T88690</t>
  </si>
  <si>
    <t>22004185</t>
  </si>
  <si>
    <t>T88689</t>
  </si>
  <si>
    <t>22004228</t>
  </si>
  <si>
    <t>CAMISA PORTA CLICHE STARCOAT 216,85X152,91X1,29</t>
  </si>
  <si>
    <t>M86423</t>
  </si>
  <si>
    <t>22004237</t>
  </si>
  <si>
    <t>CAMISA DE LAMINACAO ROSSINI SPEEDWELL S165x1315MM</t>
  </si>
  <si>
    <t>2401-56074L</t>
  </si>
  <si>
    <t>22004238</t>
  </si>
  <si>
    <t>2401-56075L</t>
  </si>
  <si>
    <t>22004239</t>
  </si>
  <si>
    <t>2401-56076L</t>
  </si>
  <si>
    <t>22004336</t>
  </si>
  <si>
    <t>CAMISA ANILOX WeH</t>
  </si>
  <si>
    <t>117-03 / AA2212021</t>
  </si>
  <si>
    <t>22004337</t>
  </si>
  <si>
    <t>117-01 / AA2212065</t>
  </si>
  <si>
    <t>22004338</t>
  </si>
  <si>
    <t>117-07 / AA2212069</t>
  </si>
  <si>
    <t>22004339</t>
  </si>
  <si>
    <t>117-06 / AA2214180</t>
  </si>
  <si>
    <t>22004340</t>
  </si>
  <si>
    <t>117-05 / AA2214194</t>
  </si>
  <si>
    <t>22004341</t>
  </si>
  <si>
    <t>117-04 / AA2300336</t>
  </si>
  <si>
    <t>22004342</t>
  </si>
  <si>
    <t>117-10 / AA2300380</t>
  </si>
  <si>
    <t>22004343</t>
  </si>
  <si>
    <t>117-09 / AA2306387</t>
  </si>
  <si>
    <t>22004344</t>
  </si>
  <si>
    <t>117-08 / AA2306404</t>
  </si>
  <si>
    <t>22004345</t>
  </si>
  <si>
    <t>117-02 / AA2333332</t>
  </si>
  <si>
    <t>22004346</t>
  </si>
  <si>
    <t>CAMISA PORTA CLICHE PASSO 390 MANDRIL 108,342</t>
  </si>
  <si>
    <t>M88725</t>
  </si>
  <si>
    <t>22004347</t>
  </si>
  <si>
    <t>M88726</t>
  </si>
  <si>
    <t>22004348</t>
  </si>
  <si>
    <t>M88727</t>
  </si>
  <si>
    <t>22004349</t>
  </si>
  <si>
    <t>M88728</t>
  </si>
  <si>
    <t>22004350</t>
  </si>
  <si>
    <t>M88729</t>
  </si>
  <si>
    <t>22004351</t>
  </si>
  <si>
    <t>M88730</t>
  </si>
  <si>
    <t>22004352</t>
  </si>
  <si>
    <t>M88731</t>
  </si>
  <si>
    <t>22004353</t>
  </si>
  <si>
    <t>M88732</t>
  </si>
  <si>
    <t>22004354</t>
  </si>
  <si>
    <t>CAMISA PORTA CLICHE PASSO 400 MANDRIL 108,342</t>
  </si>
  <si>
    <t>M88748</t>
  </si>
  <si>
    <t>22004355</t>
  </si>
  <si>
    <t>M88749</t>
  </si>
  <si>
    <t>22004356</t>
  </si>
  <si>
    <t>M88752</t>
  </si>
  <si>
    <t>22004357</t>
  </si>
  <si>
    <t>M88755</t>
  </si>
  <si>
    <t>22004358</t>
  </si>
  <si>
    <t>M88750</t>
  </si>
  <si>
    <t>22004359</t>
  </si>
  <si>
    <t>M88751</t>
  </si>
  <si>
    <t>22004360</t>
  </si>
  <si>
    <t>M88753</t>
  </si>
  <si>
    <t>22004361</t>
  </si>
  <si>
    <t>M88754</t>
  </si>
  <si>
    <t>22004362</t>
  </si>
  <si>
    <t>CAMISA PORTA CLICHE PASSO 410 MANDRIL 108,342</t>
  </si>
  <si>
    <t>M88784</t>
  </si>
  <si>
    <t>22004363</t>
  </si>
  <si>
    <t>M88782</t>
  </si>
  <si>
    <t>22004364</t>
  </si>
  <si>
    <t>M88786</t>
  </si>
  <si>
    <t>22004365</t>
  </si>
  <si>
    <t>M88780</t>
  </si>
  <si>
    <t>22004366</t>
  </si>
  <si>
    <t>M88787</t>
  </si>
  <si>
    <t>22004367</t>
  </si>
  <si>
    <t>M88781</t>
  </si>
  <si>
    <t>22004368</t>
  </si>
  <si>
    <t>M88783</t>
  </si>
  <si>
    <t>22004369</t>
  </si>
  <si>
    <t>M88785</t>
  </si>
  <si>
    <t>22004370</t>
  </si>
  <si>
    <t>CAMISA PORTA CLICHE PASSO 420 MANDRIL 108,342</t>
  </si>
  <si>
    <t>M88790</t>
  </si>
  <si>
    <t>22004371</t>
  </si>
  <si>
    <t>M88792</t>
  </si>
  <si>
    <t>22004372</t>
  </si>
  <si>
    <t>M88795</t>
  </si>
  <si>
    <t>22004373</t>
  </si>
  <si>
    <t>M88791</t>
  </si>
  <si>
    <t>22004374</t>
  </si>
  <si>
    <t>M88789</t>
  </si>
  <si>
    <t>22004375</t>
  </si>
  <si>
    <t>M88788</t>
  </si>
  <si>
    <t>22004376</t>
  </si>
  <si>
    <t>M88793</t>
  </si>
  <si>
    <t>22004377</t>
  </si>
  <si>
    <t>M88794</t>
  </si>
  <si>
    <t>22004378</t>
  </si>
  <si>
    <t>CAMISA PORTA CLICHE PASSO 450 MANDRIL 108,342</t>
  </si>
  <si>
    <t>M88807</t>
  </si>
  <si>
    <t>22004379</t>
  </si>
  <si>
    <t>M88806</t>
  </si>
  <si>
    <t>22004380</t>
  </si>
  <si>
    <t>M88805</t>
  </si>
  <si>
    <t>22004381</t>
  </si>
  <si>
    <t>M88804</t>
  </si>
  <si>
    <t>22004382</t>
  </si>
  <si>
    <t>M88811</t>
  </si>
  <si>
    <t>22004383</t>
  </si>
  <si>
    <t>M88808</t>
  </si>
  <si>
    <t>22004384</t>
  </si>
  <si>
    <t>M88809</t>
  </si>
  <si>
    <t>22004385</t>
  </si>
  <si>
    <t>M88810</t>
  </si>
  <si>
    <t>22004386</t>
  </si>
  <si>
    <t>CAMISA PORTA CLICHE PASSO 460 MANDRIL 108,342</t>
  </si>
  <si>
    <t>M88812</t>
  </si>
  <si>
    <t>22004387</t>
  </si>
  <si>
    <t>M88813</t>
  </si>
  <si>
    <t>22004388</t>
  </si>
  <si>
    <t>M88816</t>
  </si>
  <si>
    <t>22004389</t>
  </si>
  <si>
    <t>M88818</t>
  </si>
  <si>
    <t>22004390</t>
  </si>
  <si>
    <t>M88814</t>
  </si>
  <si>
    <t>22004391</t>
  </si>
  <si>
    <t>M88817</t>
  </si>
  <si>
    <t>22004392</t>
  </si>
  <si>
    <t>M88819</t>
  </si>
  <si>
    <t>22004393</t>
  </si>
  <si>
    <t>M88815</t>
  </si>
  <si>
    <t>22004394</t>
  </si>
  <si>
    <t>CAMISA PORTA CLICHE PASSO 470 MANDRIL 108,342</t>
  </si>
  <si>
    <t>M88839</t>
  </si>
  <si>
    <t>22004395</t>
  </si>
  <si>
    <t>M88834</t>
  </si>
  <si>
    <t>22004396</t>
  </si>
  <si>
    <t>M88837</t>
  </si>
  <si>
    <t>22004397</t>
  </si>
  <si>
    <t>M88835</t>
  </si>
  <si>
    <t>22004398</t>
  </si>
  <si>
    <t>M88838</t>
  </si>
  <si>
    <t>22004399</t>
  </si>
  <si>
    <t>M88836</t>
  </si>
  <si>
    <t>22004400</t>
  </si>
  <si>
    <t>M88832</t>
  </si>
  <si>
    <t>22004401</t>
  </si>
  <si>
    <t>M88833</t>
  </si>
  <si>
    <t>22004402</t>
  </si>
  <si>
    <t>CAMISA PORTA CLICHE PASSO 480 MANDRIL 108,342</t>
  </si>
  <si>
    <t>M88856</t>
  </si>
  <si>
    <t>22004403</t>
  </si>
  <si>
    <t>M88857</t>
  </si>
  <si>
    <t>22004404</t>
  </si>
  <si>
    <t>M88858</t>
  </si>
  <si>
    <t>22004405</t>
  </si>
  <si>
    <t>M88859</t>
  </si>
  <si>
    <t>22004406</t>
  </si>
  <si>
    <t>M88860</t>
  </si>
  <si>
    <t>22004407</t>
  </si>
  <si>
    <t>M88861</t>
  </si>
  <si>
    <t>22004408</t>
  </si>
  <si>
    <t>M88862</t>
  </si>
  <si>
    <t>22004409</t>
  </si>
  <si>
    <t>M88863</t>
  </si>
  <si>
    <t>22004410</t>
  </si>
  <si>
    <t>CAMISA PORTA CLICHE PASSO 490 MANDRIL 108,342</t>
  </si>
  <si>
    <t>M88871</t>
  </si>
  <si>
    <t>22004411</t>
  </si>
  <si>
    <t>M88870</t>
  </si>
  <si>
    <t>22004412</t>
  </si>
  <si>
    <t>M88864</t>
  </si>
  <si>
    <t>22004413</t>
  </si>
  <si>
    <t>M88867</t>
  </si>
  <si>
    <t>22004414</t>
  </si>
  <si>
    <t>M88865</t>
  </si>
  <si>
    <t>22004415</t>
  </si>
  <si>
    <t>M88868</t>
  </si>
  <si>
    <t>22004416</t>
  </si>
  <si>
    <t>M88869</t>
  </si>
  <si>
    <t>22004417</t>
  </si>
  <si>
    <t>M88866</t>
  </si>
  <si>
    <t>22004418</t>
  </si>
  <si>
    <t>CAMISA PORTA CLICHE PASSO 550 MANDRIL 108,342</t>
  </si>
  <si>
    <t>M88759</t>
  </si>
  <si>
    <t>22004419</t>
  </si>
  <si>
    <t>M88760</t>
  </si>
  <si>
    <t>22004420</t>
  </si>
  <si>
    <t>M88763</t>
  </si>
  <si>
    <t>22004421</t>
  </si>
  <si>
    <t>M88758</t>
  </si>
  <si>
    <t>22004422</t>
  </si>
  <si>
    <t>M88761</t>
  </si>
  <si>
    <t>22004423</t>
  </si>
  <si>
    <t>M88757</t>
  </si>
  <si>
    <t>22004424</t>
  </si>
  <si>
    <t>M88756</t>
  </si>
  <si>
    <t>22004425</t>
  </si>
  <si>
    <t>M88762</t>
  </si>
  <si>
    <t>22004426</t>
  </si>
  <si>
    <t>CAMISA PORTA CLICHE PASSO 570 MANDRIL 108,342</t>
  </si>
  <si>
    <t>M88821</t>
  </si>
  <si>
    <t>22004427</t>
  </si>
  <si>
    <t>M88769</t>
  </si>
  <si>
    <t>22004428</t>
  </si>
  <si>
    <t>M88770</t>
  </si>
  <si>
    <t>22004429</t>
  </si>
  <si>
    <t>M88767</t>
  </si>
  <si>
    <t>22004430</t>
  </si>
  <si>
    <t>M88771</t>
  </si>
  <si>
    <t>22004431</t>
  </si>
  <si>
    <t>M88768</t>
  </si>
  <si>
    <t>22004432</t>
  </si>
  <si>
    <t>M88766</t>
  </si>
  <si>
    <t>22004433</t>
  </si>
  <si>
    <t>M88765</t>
  </si>
  <si>
    <t>22004434</t>
  </si>
  <si>
    <t>CAMISA PORTA CLICHE PASSO 580 MANDRIL 108,342</t>
  </si>
  <si>
    <t>M88797</t>
  </si>
  <si>
    <t>22004435</t>
  </si>
  <si>
    <t>M88798</t>
  </si>
  <si>
    <t>22004436</t>
  </si>
  <si>
    <t>M88802</t>
  </si>
  <si>
    <t>22004437</t>
  </si>
  <si>
    <t>M88796</t>
  </si>
  <si>
    <t>22004438</t>
  </si>
  <si>
    <t>M88803</t>
  </si>
  <si>
    <t>22004439</t>
  </si>
  <si>
    <t>M88800</t>
  </si>
  <si>
    <t>22004440</t>
  </si>
  <si>
    <t>M88799</t>
  </si>
  <si>
    <t>22004441</t>
  </si>
  <si>
    <t>M88801</t>
  </si>
  <si>
    <t>22004442</t>
  </si>
  <si>
    <t>CAMISA PORTA CLICHE PASSO 600 MANDRIL 108,342</t>
  </si>
  <si>
    <t>M88822</t>
  </si>
  <si>
    <t>22004443</t>
  </si>
  <si>
    <t>M88820</t>
  </si>
  <si>
    <t>22004444</t>
  </si>
  <si>
    <t>M88826</t>
  </si>
  <si>
    <t>22004445</t>
  </si>
  <si>
    <t>M88824</t>
  </si>
  <si>
    <t>22004446</t>
  </si>
  <si>
    <t>M88825</t>
  </si>
  <si>
    <t>22004447</t>
  </si>
  <si>
    <t>M88823</t>
  </si>
  <si>
    <t>22004448</t>
  </si>
  <si>
    <t>M88827</t>
  </si>
  <si>
    <t>22004449</t>
  </si>
  <si>
    <t>M88828</t>
  </si>
  <si>
    <t>22004450</t>
  </si>
  <si>
    <t>CAMISA PORTA CLICHE PASSO 620 MANDRIL 108,342</t>
  </si>
  <si>
    <t>M88764</t>
  </si>
  <si>
    <t>22004451</t>
  </si>
  <si>
    <t>M88845</t>
  </si>
  <si>
    <t>22004452</t>
  </si>
  <si>
    <t>M88844</t>
  </si>
  <si>
    <t>22004453</t>
  </si>
  <si>
    <t>M88843</t>
  </si>
  <si>
    <t>22004454</t>
  </si>
  <si>
    <t>M88840</t>
  </si>
  <si>
    <t>22004455</t>
  </si>
  <si>
    <t>M88841</t>
  </si>
  <si>
    <t>22004456</t>
  </si>
  <si>
    <t>M88846</t>
  </si>
  <si>
    <t>22004457</t>
  </si>
  <si>
    <t>M88847</t>
  </si>
  <si>
    <t>22004458</t>
  </si>
  <si>
    <t>CAMISA PORTA CLICHE PASSO 660 MANDRIL 108,342</t>
  </si>
  <si>
    <t>M88852</t>
  </si>
  <si>
    <t>22004459</t>
  </si>
  <si>
    <t>M88850</t>
  </si>
  <si>
    <t>22004460</t>
  </si>
  <si>
    <t>M88849</t>
  </si>
  <si>
    <t>22004461</t>
  </si>
  <si>
    <t>M88848</t>
  </si>
  <si>
    <t>22004462</t>
  </si>
  <si>
    <t>M88853</t>
  </si>
  <si>
    <t>22004463</t>
  </si>
  <si>
    <t>M88854</t>
  </si>
  <si>
    <t>22004464</t>
  </si>
  <si>
    <t>M88855</t>
  </si>
  <si>
    <t>22004465</t>
  </si>
  <si>
    <t>M88851</t>
  </si>
  <si>
    <t>22004466</t>
  </si>
  <si>
    <t>CAMISA PORTA CLICHE EVERSTAT LIGHT SLEEVE P730</t>
  </si>
  <si>
    <t>M88874</t>
  </si>
  <si>
    <t>22004467</t>
  </si>
  <si>
    <t>M88877</t>
  </si>
  <si>
    <t>22004468</t>
  </si>
  <si>
    <t>M88875</t>
  </si>
  <si>
    <t>22004469</t>
  </si>
  <si>
    <t>M88873</t>
  </si>
  <si>
    <t>22004470</t>
  </si>
  <si>
    <t>M88876</t>
  </si>
  <si>
    <t>22004471</t>
  </si>
  <si>
    <t>M88879</t>
  </si>
  <si>
    <t>22004472</t>
  </si>
  <si>
    <t>M88872</t>
  </si>
  <si>
    <t>22004473</t>
  </si>
  <si>
    <t>M88878</t>
  </si>
  <si>
    <t>22004474</t>
  </si>
  <si>
    <t>CAMISA PONTE CARRIER CARBO BRIDGE SIDE 152,905 MM</t>
  </si>
  <si>
    <t>T91033</t>
  </si>
  <si>
    <t>22004475</t>
  </si>
  <si>
    <t>T91035</t>
  </si>
  <si>
    <t>22004476</t>
  </si>
  <si>
    <t>T91031</t>
  </si>
  <si>
    <t>22004477</t>
  </si>
  <si>
    <t>T91036</t>
  </si>
  <si>
    <t>22004478</t>
  </si>
  <si>
    <t>T91038</t>
  </si>
  <si>
    <t>22004479</t>
  </si>
  <si>
    <t>T91032</t>
  </si>
  <si>
    <t>22004480</t>
  </si>
  <si>
    <t>T91034</t>
  </si>
  <si>
    <t>22004481</t>
  </si>
  <si>
    <t>T91037</t>
  </si>
  <si>
    <t>22004482</t>
  </si>
  <si>
    <t>CAMISA PONTE CARRIER CARBO BRIDGE SIDE 213,384 MM</t>
  </si>
  <si>
    <t>T91040</t>
  </si>
  <si>
    <t>22004483</t>
  </si>
  <si>
    <t>T91041</t>
  </si>
  <si>
    <t>22004484</t>
  </si>
  <si>
    <t>T91042</t>
  </si>
  <si>
    <t>22004485</t>
  </si>
  <si>
    <t>T91043</t>
  </si>
  <si>
    <t>22004486</t>
  </si>
  <si>
    <t>T91044</t>
  </si>
  <si>
    <t>22004487</t>
  </si>
  <si>
    <t>T91046</t>
  </si>
  <si>
    <t>22004488</t>
  </si>
  <si>
    <t>T91047</t>
  </si>
  <si>
    <t>22004489</t>
  </si>
  <si>
    <t>T91045</t>
  </si>
  <si>
    <t>22004490</t>
  </si>
  <si>
    <t>CAMISA PONTE CARRIER STAT STANDARD 152,905</t>
  </si>
  <si>
    <t>T91030</t>
  </si>
  <si>
    <t>22004710</t>
  </si>
  <si>
    <t>CAMISA ANILOX EVERSTAT LIGHT SLEEVE 470 146,32X111</t>
  </si>
  <si>
    <t>47-01G</t>
  </si>
  <si>
    <t>M96590</t>
  </si>
  <si>
    <t>22004711</t>
  </si>
  <si>
    <t>CAMISA ANILOX EVERSTAT LIGHT SLEEVE 510 159,15X152</t>
  </si>
  <si>
    <t>51-05B</t>
  </si>
  <si>
    <t>M96556</t>
  </si>
  <si>
    <t>FRETE CAMISA ANILOX</t>
  </si>
  <si>
    <t>22004712</t>
  </si>
  <si>
    <t>51-04B</t>
  </si>
  <si>
    <t>M96555</t>
  </si>
  <si>
    <t>22004713</t>
  </si>
  <si>
    <t>51-06B</t>
  </si>
  <si>
    <t>M96557</t>
  </si>
  <si>
    <t>22004714</t>
  </si>
  <si>
    <t>51-07B</t>
  </si>
  <si>
    <t>M96558</t>
  </si>
  <si>
    <t>22004715</t>
  </si>
  <si>
    <t>CAMISA ANILOX EVERSTAT LIGHT SLEEVE 660 206,90X152</t>
  </si>
  <si>
    <t>66-01G</t>
  </si>
  <si>
    <t>M96512</t>
  </si>
  <si>
    <t>22004716</t>
  </si>
  <si>
    <t>66-02G</t>
  </si>
  <si>
    <t>M96513</t>
  </si>
  <si>
    <t>22004717</t>
  </si>
  <si>
    <t>51-03B</t>
  </si>
  <si>
    <t>M96554</t>
  </si>
  <si>
    <t>22004718</t>
  </si>
  <si>
    <t>CAMISA ANILOX EVERSTAT LIGHT SLEEVE 460 143,14X121</t>
  </si>
  <si>
    <t>46-04B</t>
  </si>
  <si>
    <t>M96542</t>
  </si>
  <si>
    <t>22004719</t>
  </si>
  <si>
    <t>46-02B</t>
  </si>
  <si>
    <t>M96540</t>
  </si>
  <si>
    <t>22004720</t>
  </si>
  <si>
    <t>51-02B</t>
  </si>
  <si>
    <t>M96553</t>
  </si>
  <si>
    <t>22004721</t>
  </si>
  <si>
    <t>46-07B</t>
  </si>
  <si>
    <t>M96545</t>
  </si>
  <si>
    <t>22004722</t>
  </si>
  <si>
    <t>51-08B</t>
  </si>
  <si>
    <t>M96559</t>
  </si>
  <si>
    <t>22004723</t>
  </si>
  <si>
    <t>CAMISA ANILOX EVERSTAT LIGHT SLEEVE 680 213,27X152</t>
  </si>
  <si>
    <t>68-08B</t>
  </si>
  <si>
    <t>M96521</t>
  </si>
  <si>
    <t>22004724</t>
  </si>
  <si>
    <t>46-05B</t>
  </si>
  <si>
    <t>M96543</t>
  </si>
  <si>
    <t>22004725</t>
  </si>
  <si>
    <t>68-02B</t>
  </si>
  <si>
    <t>M96515</t>
  </si>
  <si>
    <t>22004726</t>
  </si>
  <si>
    <t>46-01B</t>
  </si>
  <si>
    <t>M96539</t>
  </si>
  <si>
    <t>22004727</t>
  </si>
  <si>
    <t>68-01B</t>
  </si>
  <si>
    <t>M96514</t>
  </si>
  <si>
    <t>22004728</t>
  </si>
  <si>
    <t>46-08B</t>
  </si>
  <si>
    <t>M96546</t>
  </si>
  <si>
    <t>22004729</t>
  </si>
  <si>
    <t>68-07B</t>
  </si>
  <si>
    <t>M96520</t>
  </si>
  <si>
    <t>22004730</t>
  </si>
  <si>
    <t>51-01B</t>
  </si>
  <si>
    <t>M96552</t>
  </si>
  <si>
    <t>22004731</t>
  </si>
  <si>
    <t>68-06B</t>
  </si>
  <si>
    <t>M96519</t>
  </si>
  <si>
    <t>22004732</t>
  </si>
  <si>
    <t>46-03B</t>
  </si>
  <si>
    <t>M96541</t>
  </si>
  <si>
    <t>22004733</t>
  </si>
  <si>
    <t>68-05B</t>
  </si>
  <si>
    <t>M96518</t>
  </si>
  <si>
    <t>22004734</t>
  </si>
  <si>
    <t>46-06B</t>
  </si>
  <si>
    <t>M96544</t>
  </si>
  <si>
    <t>22004735</t>
  </si>
  <si>
    <t>68-03B</t>
  </si>
  <si>
    <t>M96516</t>
  </si>
  <si>
    <t>22004736</t>
  </si>
  <si>
    <t>68-04B</t>
  </si>
  <si>
    <t>M96517</t>
  </si>
  <si>
    <t>22004737</t>
  </si>
  <si>
    <t>CAMISA ANILOX EVERSTAT LIGHT SLEEVE</t>
  </si>
  <si>
    <t>22004738</t>
  </si>
  <si>
    <t>CAMISA ANILOX GTT M1</t>
  </si>
  <si>
    <t>115-43 / AA2400176</t>
  </si>
  <si>
    <t>22004869</t>
  </si>
  <si>
    <t>CAMISA ANILOX FISCHER E KRECKE 1300</t>
  </si>
  <si>
    <t>115-38 / AA2315287</t>
  </si>
  <si>
    <t>22004870</t>
  </si>
  <si>
    <t>115-44 / AA2315286</t>
  </si>
  <si>
    <t>22004871</t>
  </si>
  <si>
    <t>109 - 26</t>
  </si>
  <si>
    <t>22004897</t>
  </si>
  <si>
    <t>22004898</t>
  </si>
  <si>
    <t>22004901</t>
  </si>
  <si>
    <t>22004903</t>
  </si>
  <si>
    <t>22004904</t>
  </si>
  <si>
    <t>22004905</t>
  </si>
  <si>
    <t>22004906</t>
  </si>
  <si>
    <t>22004907</t>
  </si>
  <si>
    <t>22004908</t>
  </si>
  <si>
    <t>22004909</t>
  </si>
  <si>
    <t>22004910</t>
  </si>
  <si>
    <t>22004911</t>
  </si>
  <si>
    <t>22005114</t>
  </si>
  <si>
    <t>CAMISA ANILOX SLEEVELOX ALUMINIO 260LPC 2,4BCM</t>
  </si>
  <si>
    <t>109 - 28</t>
  </si>
  <si>
    <t>22005115</t>
  </si>
  <si>
    <t>CAMISA ANILOX SLEEVELOX ALUMINIO 280LPC 2,6BCM</t>
  </si>
  <si>
    <t>109 - 31</t>
  </si>
  <si>
    <t>22005116</t>
  </si>
  <si>
    <t>111 - 43</t>
  </si>
  <si>
    <t>22005117</t>
  </si>
  <si>
    <t>CAMISA ANILOX BETA 1200 GEAR LESS 4,0 BCM</t>
  </si>
  <si>
    <t>109 - 33</t>
  </si>
  <si>
    <t>22005118</t>
  </si>
  <si>
    <t>116 - 22</t>
  </si>
  <si>
    <t>22005119</t>
  </si>
  <si>
    <t>CAMISA ANILOX BETA 1200 GEAR LESS 5,5 BCM</t>
  </si>
  <si>
    <t>109 - 06</t>
  </si>
  <si>
    <t>22005120</t>
  </si>
  <si>
    <t>109 - 35</t>
  </si>
  <si>
    <t>22005121</t>
  </si>
  <si>
    <t>22005122</t>
  </si>
  <si>
    <t>22005123</t>
  </si>
  <si>
    <t>22005135</t>
  </si>
  <si>
    <t>CAMISA ANILOX 159x136x1346MM</t>
  </si>
  <si>
    <t>FRETE AQUISIÇÃO CAMISA ANILOX 159x136x1346MM</t>
  </si>
  <si>
    <t>22005249</t>
  </si>
  <si>
    <t>CAMISA ANILOX CARBOLOX TBA 159,15X136,98X1346X0,67</t>
  </si>
  <si>
    <t>240458896C5</t>
  </si>
  <si>
    <t>22005250</t>
  </si>
  <si>
    <t>240458897C8</t>
  </si>
  <si>
    <t>22005251</t>
  </si>
  <si>
    <t>240458898C6</t>
  </si>
  <si>
    <t>22005252</t>
  </si>
  <si>
    <t>240458895C4</t>
  </si>
  <si>
    <t>30000120</t>
  </si>
  <si>
    <t>ARQUIVO DE ACO 4 GAVETAS 0,70 CMAIOF4E CZ VEGEL</t>
  </si>
  <si>
    <t>30000121</t>
  </si>
  <si>
    <t>BEBEDOURO ACQUA GELATA PAG-100 3 TORNEIRAS 220V</t>
  </si>
  <si>
    <t>30000126</t>
  </si>
  <si>
    <t>TV 40 POLEGADA SAMSUNG LED UN40EH5000 FHD/DTV/USB</t>
  </si>
  <si>
    <t>30000133</t>
  </si>
  <si>
    <t>AR CONDICIONADO INT/EXT SPRINGER WALL WAY 12000BTU</t>
  </si>
  <si>
    <t>5731</t>
  </si>
  <si>
    <t>30000141</t>
  </si>
  <si>
    <t>LAVADORA DE ALTA PRESSAO 1600 LIBRAS 220V</t>
  </si>
  <si>
    <t>30000143</t>
  </si>
  <si>
    <t>ARMARIO DE ACO 98X090X040 CINZA VEGEL.</t>
  </si>
  <si>
    <t>7502</t>
  </si>
  <si>
    <t>30000150</t>
  </si>
  <si>
    <t>BEBEDOURO ACQUA GELATA PAG -100 COM 3 TORNEIRAS</t>
  </si>
  <si>
    <t>7536</t>
  </si>
  <si>
    <t>30000153</t>
  </si>
  <si>
    <t>30000180</t>
  </si>
  <si>
    <t>ESTUFA DE CIRCULACAO DE AR</t>
  </si>
  <si>
    <t>30000182</t>
  </si>
  <si>
    <t>5 VENTILADORES EU-56 12130</t>
  </si>
  <si>
    <t>30000183</t>
  </si>
  <si>
    <t>ARQUIVO ACO 4 GAVETAS PANDIM CORREDICAS TELESC ROL</t>
  </si>
  <si>
    <t>30000238</t>
  </si>
  <si>
    <t>6 AR CONDICIONADO SPLIT CARRIER W 9000 E 12000 BTU</t>
  </si>
  <si>
    <t>30000244</t>
  </si>
  <si>
    <t>AR CONDICIONADO INT/EXT SPLIT CONSUL 22000 BTU</t>
  </si>
  <si>
    <t>7535</t>
  </si>
  <si>
    <t>7538</t>
  </si>
  <si>
    <t>30001436</t>
  </si>
  <si>
    <t>LAVADORA STIHL RE 143</t>
  </si>
  <si>
    <t>10397</t>
  </si>
  <si>
    <t>30001515</t>
  </si>
  <si>
    <t>AGITADOR INDUSTRIAL PARA CONTEINER DE 1000L</t>
  </si>
  <si>
    <t>30001614</t>
  </si>
  <si>
    <t>AR CONDICIONADO SPLIT FUJITSU FRIO HW 27000 BTU</t>
  </si>
  <si>
    <t>10379 - 10000769</t>
  </si>
  <si>
    <t>30001675</t>
  </si>
  <si>
    <t>AR CONDICIONADO SPLIT INT/EXT FUJITSU 22000BTU</t>
  </si>
  <si>
    <t>30001690</t>
  </si>
  <si>
    <t>AR CONDICIONADO SPLIT FUJITSU 12000 BTU</t>
  </si>
  <si>
    <t>30001693</t>
  </si>
  <si>
    <t>ESTROBOSCÓPIO MAXITEC VE-100</t>
  </si>
  <si>
    <t>30001696</t>
  </si>
  <si>
    <t>11470</t>
  </si>
  <si>
    <t>30001703</t>
  </si>
  <si>
    <t>MONITOR TOUCH SCREEN VIDEO SCAN SHS400</t>
  </si>
  <si>
    <t>30001748</t>
  </si>
  <si>
    <t>AR CONDICONADO PARA MONTAGEM LATERAL 1.420W</t>
  </si>
  <si>
    <t>30001760</t>
  </si>
  <si>
    <t>LAVADORA ALTA PRESSAO JACTOCLEAN J7600</t>
  </si>
  <si>
    <t>30001770</t>
  </si>
  <si>
    <t>CLIMATIZADOR ROTOPLAST 160 CONFORT</t>
  </si>
  <si>
    <t>30001771</t>
  </si>
  <si>
    <t>30001772</t>
  </si>
  <si>
    <t>30001773</t>
  </si>
  <si>
    <t>30001774</t>
  </si>
  <si>
    <t>30001775</t>
  </si>
  <si>
    <t>30001776</t>
  </si>
  <si>
    <t>30001777</t>
  </si>
  <si>
    <t>30001778</t>
  </si>
  <si>
    <t>30001779</t>
  </si>
  <si>
    <t>30001780</t>
  </si>
  <si>
    <t>30001781</t>
  </si>
  <si>
    <t>30001782</t>
  </si>
  <si>
    <t>30001783</t>
  </si>
  <si>
    <t>30001784</t>
  </si>
  <si>
    <t>30001785</t>
  </si>
  <si>
    <t>30001786</t>
  </si>
  <si>
    <t>30001787</t>
  </si>
  <si>
    <t>30001788</t>
  </si>
  <si>
    <t>30001789</t>
  </si>
  <si>
    <t>30002331</t>
  </si>
  <si>
    <t>RACK DESMONTAVEL 19"X42 U 600X800MM PT</t>
  </si>
  <si>
    <t>30003540</t>
  </si>
  <si>
    <t>PALLET DE CONTENCAO 2 TAMBORES 200L</t>
  </si>
  <si>
    <t>30003639</t>
  </si>
  <si>
    <t>PALLET DE CONTENCAO INOPLASTIC 2 TAMBORES 600KG</t>
  </si>
  <si>
    <t>8890</t>
  </si>
  <si>
    <t>30003640</t>
  </si>
  <si>
    <t>8896</t>
  </si>
  <si>
    <t>30003642</t>
  </si>
  <si>
    <t>8851</t>
  </si>
  <si>
    <t>30003693</t>
  </si>
  <si>
    <t>8870</t>
  </si>
  <si>
    <t>30003694</t>
  </si>
  <si>
    <t>8880</t>
  </si>
  <si>
    <t>30003738</t>
  </si>
  <si>
    <t>CADEIRA CAIXA EXECUTIVA COM BRACO T</t>
  </si>
  <si>
    <t>8821</t>
  </si>
  <si>
    <t>30003739</t>
  </si>
  <si>
    <t>8829</t>
  </si>
  <si>
    <t>30003740</t>
  </si>
  <si>
    <t>8831</t>
  </si>
  <si>
    <t>30003796</t>
  </si>
  <si>
    <t>AR CONDICIONADO FRIO FUJITSU 12000 BTUS</t>
  </si>
  <si>
    <t>10001282</t>
  </si>
  <si>
    <t>E069067</t>
  </si>
  <si>
    <t>30003799</t>
  </si>
  <si>
    <t>ARMARIO 120X160X0,80 COM PRATELEIRAS</t>
  </si>
  <si>
    <t>10332</t>
  </si>
  <si>
    <t>30003939</t>
  </si>
  <si>
    <t>LAVADORA DE ALTA PRESSAO JACTOCLEAN J6800 220V</t>
  </si>
  <si>
    <t>297034G</t>
  </si>
  <si>
    <t>30004007</t>
  </si>
  <si>
    <t>AR CONDICIONADO EXT/INT FRIO FUJITSU 35000 BTU</t>
  </si>
  <si>
    <t>10001412</t>
  </si>
  <si>
    <t>T000221</t>
  </si>
  <si>
    <t>30004013</t>
  </si>
  <si>
    <t>AR CONDICIONADO EXT/INT FRIO FUJITSU 18000 BTU</t>
  </si>
  <si>
    <t>10001558</t>
  </si>
  <si>
    <t>B000510</t>
  </si>
  <si>
    <t>30004431</t>
  </si>
  <si>
    <t>AR CONDICIONADO SLIP HW FUJITSU R32 18000 BTU</t>
  </si>
  <si>
    <t>10001559</t>
  </si>
  <si>
    <t>B000259/E000981</t>
  </si>
  <si>
    <t>30004451</t>
  </si>
  <si>
    <t>CADEIRA CAVALETTI GIRATORIA DIRETOR 4002</t>
  </si>
  <si>
    <t>9860</t>
  </si>
  <si>
    <t>FRETE CADEIRA CAVALETTI</t>
  </si>
  <si>
    <t>30004452</t>
  </si>
  <si>
    <t>9861</t>
  </si>
  <si>
    <t>30004453</t>
  </si>
  <si>
    <t>9877</t>
  </si>
  <si>
    <t>30004454</t>
  </si>
  <si>
    <t>9878</t>
  </si>
  <si>
    <t>30004455</t>
  </si>
  <si>
    <t>9879</t>
  </si>
  <si>
    <t>30004456</t>
  </si>
  <si>
    <t>9880</t>
  </si>
  <si>
    <t>30004457</t>
  </si>
  <si>
    <t>9882</t>
  </si>
  <si>
    <t>30004489</t>
  </si>
  <si>
    <t>AR CONDICIONADO FRIO FUJITSU 220V 12000 BTU</t>
  </si>
  <si>
    <t>31000306</t>
  </si>
  <si>
    <t>TRANSPALETEIRA ELETRICA STILL ECH15 1500KG 685MM</t>
  </si>
  <si>
    <t>CT2063N00552</t>
  </si>
  <si>
    <t>32000049</t>
  </si>
  <si>
    <t>PROCESSADOR INTEL CORE I3-2320 3,3GHZ</t>
  </si>
  <si>
    <t>MB ASUS P8H61-M (PLACA MÃE)</t>
  </si>
  <si>
    <t>MONITOR 18,5" LG LED E1941/1940</t>
  </si>
  <si>
    <t>MEMORIA DDR2 2GB KINGSTON</t>
  </si>
  <si>
    <t>HD 500 GB</t>
  </si>
  <si>
    <t>GABINETE ATX</t>
  </si>
  <si>
    <t>ESTABILIZADOR SMS 300VA</t>
  </si>
  <si>
    <t>32000053</t>
  </si>
  <si>
    <t>TABLET ORANGE TB7030</t>
  </si>
  <si>
    <t>32000058</t>
  </si>
  <si>
    <t>COMPUTADOR E I3-3250 3,5GHZ + GABINETE ATX</t>
  </si>
  <si>
    <t>32000082</t>
  </si>
  <si>
    <t>COMPUTADOR VISAGE CORE I5 2.9 GHZ 4GB 1TB DVD</t>
  </si>
  <si>
    <t>32000083</t>
  </si>
  <si>
    <t>NOBREAK 1400VA SMS MANAGER NET4 + BLACK</t>
  </si>
  <si>
    <t>32000087</t>
  </si>
  <si>
    <t>MONITOR 17'' LED SAMSUNG</t>
  </si>
  <si>
    <t>32000195</t>
  </si>
  <si>
    <t>IMPRESSOR TERMICO DE ETIQUETA FILIZOLA</t>
  </si>
  <si>
    <t>32000208</t>
  </si>
  <si>
    <t>4 COMPUTADOR INTEL E5400 CORE DUO 2.7 GHZ COMPLETO</t>
  </si>
  <si>
    <t>32000962</t>
  </si>
  <si>
    <t>COMPUTADOR DELL OPTIPLEX 3040</t>
  </si>
  <si>
    <t>FHR8CD2</t>
  </si>
  <si>
    <t>32000987</t>
  </si>
  <si>
    <t>COMPUTADOR DELL OPTIPLEX 7040SFF I5 8GB HD500 W10P</t>
  </si>
  <si>
    <t>32001009</t>
  </si>
  <si>
    <t>COMPUTADOR DELL I3 8GB 500GB 3.7GHZ W10</t>
  </si>
  <si>
    <t>32001012</t>
  </si>
  <si>
    <t>32001014</t>
  </si>
  <si>
    <t>KIT PARA MEDICAO DE BCM</t>
  </si>
  <si>
    <t>32001021</t>
  </si>
  <si>
    <t>IMPRESSORA DE PROVA EPSON STYLUS PRO 4900</t>
  </si>
  <si>
    <t>32001029</t>
  </si>
  <si>
    <t>MONITOR 20P AOC LED E2043 FK WIDE</t>
  </si>
  <si>
    <t>32001048</t>
  </si>
  <si>
    <t>COMPUTADOR DELL THIN CLIENT WYSE DELL 3010 T10</t>
  </si>
  <si>
    <t>32001049</t>
  </si>
  <si>
    <t>32001050</t>
  </si>
  <si>
    <t>32001051</t>
  </si>
  <si>
    <t>32001086</t>
  </si>
  <si>
    <t>32001090</t>
  </si>
  <si>
    <t>CPU QBEX C/ INTEL CORE 2 I5 4GB 750GB W8</t>
  </si>
  <si>
    <t>32001105</t>
  </si>
  <si>
    <t>32001106</t>
  </si>
  <si>
    <t>32001109</t>
  </si>
  <si>
    <t>MONITOR LCD 19 POL EIZO FLEX SCAN S1934</t>
  </si>
  <si>
    <t>52772038</t>
  </si>
  <si>
    <t>32001342</t>
  </si>
  <si>
    <t>32001343</t>
  </si>
  <si>
    <t>32001367</t>
  </si>
  <si>
    <t>RELOGIO PONTO TOP DATA INNER 373 LFD BIO BARRAS</t>
  </si>
  <si>
    <t>32001373</t>
  </si>
  <si>
    <t>ESPECTRODENSITOMETRO X-RITE</t>
  </si>
  <si>
    <t>32001618</t>
  </si>
  <si>
    <t>COMPUTADOR DELL VOSTRO I3 4GB HD 1TB W10P</t>
  </si>
  <si>
    <t>5GVHSY2</t>
  </si>
  <si>
    <t>32001621</t>
  </si>
  <si>
    <t>MONITOR LED 18,5" DELL</t>
  </si>
  <si>
    <t>8H4QRR2</t>
  </si>
  <si>
    <t>32001633</t>
  </si>
  <si>
    <t>COMPUTADOR DELL VOSTRO 3470 SFF I5 SYST9400 W10P</t>
  </si>
  <si>
    <t>7HDD703</t>
  </si>
  <si>
    <t>32001648</t>
  </si>
  <si>
    <t>1MZ7D83</t>
  </si>
  <si>
    <t>32001650</t>
  </si>
  <si>
    <t>ESPECTROFOTOMETRO I1 PRO 2 X-RITE</t>
  </si>
  <si>
    <t>32001651</t>
  </si>
  <si>
    <t>32001693</t>
  </si>
  <si>
    <t>NOBREAK DELTA GES203H 2000VA 16000W 230V</t>
  </si>
  <si>
    <t>32002050</t>
  </si>
  <si>
    <t>COMPUTADOR DELL OPTIPLEX 3070 e i3-9100 RAM 4GB</t>
  </si>
  <si>
    <t>6TSDH93</t>
  </si>
  <si>
    <t>32002052</t>
  </si>
  <si>
    <t>MONITOR LED 18,5 DELL E1920H</t>
  </si>
  <si>
    <t>389BD83</t>
  </si>
  <si>
    <t>32002190</t>
  </si>
  <si>
    <t>COMPUTADOR DELL OPTIPLEX/VOSTRO I3 4GB SSD256 10P</t>
  </si>
  <si>
    <t>46XMMD3</t>
  </si>
  <si>
    <t>32002201</t>
  </si>
  <si>
    <t>COMPUTADOR THINPC SUPERA B2728 IZEI TINY W10 IOT</t>
  </si>
  <si>
    <t>32569</t>
  </si>
  <si>
    <t>32002222</t>
  </si>
  <si>
    <t>COMPUTADOR DELL VOSTRO i3 4GB HD SSD256GB W10P</t>
  </si>
  <si>
    <t>8NZ8QJ3</t>
  </si>
  <si>
    <t>32002407</t>
  </si>
  <si>
    <t>8884</t>
  </si>
  <si>
    <t>32002408</t>
  </si>
  <si>
    <t>8885</t>
  </si>
  <si>
    <t>32002409</t>
  </si>
  <si>
    <t>8886</t>
  </si>
  <si>
    <t>32002410</t>
  </si>
  <si>
    <t>8887</t>
  </si>
  <si>
    <t>32002505</t>
  </si>
  <si>
    <t>8841</t>
  </si>
  <si>
    <t>HXWQHH3</t>
  </si>
  <si>
    <t>32002533</t>
  </si>
  <si>
    <t>NOTEBOOK DELL VOSTRO 14 i5 8GB HD SSD240GB W10 PRO</t>
  </si>
  <si>
    <t>G6Z64R3</t>
  </si>
  <si>
    <t>32002543</t>
  </si>
  <si>
    <t>8835</t>
  </si>
  <si>
    <t>32002558</t>
  </si>
  <si>
    <t>MONITOR DELL 21.5" P2222H</t>
  </si>
  <si>
    <t>8868</t>
  </si>
  <si>
    <t>F9LRHH3</t>
  </si>
  <si>
    <t>32002610</t>
  </si>
  <si>
    <t>MONITOR QUAD HD 27" DELL S2721DS</t>
  </si>
  <si>
    <t>8LK0R43</t>
  </si>
  <si>
    <t>32002635</t>
  </si>
  <si>
    <t>NOBREAK APC SRV 1KVA S/ EXPANSAO SRV1KRI 230V</t>
  </si>
  <si>
    <t>9S2136A03697</t>
  </si>
  <si>
    <t>32002644</t>
  </si>
  <si>
    <t>32002668</t>
  </si>
  <si>
    <t>COMPUTADOR DELL OPTIPLEX/VOSTRO I5 8GB SSD 256GB</t>
  </si>
  <si>
    <t>600YXT3</t>
  </si>
  <si>
    <t>32002682</t>
  </si>
  <si>
    <t>RELOGIO PONTO TOPDATA INNER 373 BARRAS PROXIMIDADE</t>
  </si>
  <si>
    <t>180002206</t>
  </si>
  <si>
    <t>32002784</t>
  </si>
  <si>
    <t>COMPUTADOR DELL OPTIPLEX/VOSTRO  I3 4GB HD SSD256G</t>
  </si>
  <si>
    <t>8PK8WY3</t>
  </si>
  <si>
    <t>32002787</t>
  </si>
  <si>
    <t>4M3G6Z3</t>
  </si>
  <si>
    <t>32002814</t>
  </si>
  <si>
    <t>FW8MQK3</t>
  </si>
  <si>
    <t>32002822</t>
  </si>
  <si>
    <t>MONITOR DELL P2222H 21.5" FHD</t>
  </si>
  <si>
    <t>5RZPG83</t>
  </si>
  <si>
    <t>32002996</t>
  </si>
  <si>
    <t>COMPUTADOR DELL OPTIPLEX/VOSTRO I3 4GB HD SSD</t>
  </si>
  <si>
    <t>8HXKWZ3</t>
  </si>
  <si>
    <t>32002997</t>
  </si>
  <si>
    <t>3HXKWZ3</t>
  </si>
  <si>
    <t>32002998</t>
  </si>
  <si>
    <t>7W2LWZ3</t>
  </si>
  <si>
    <t>32003010</t>
  </si>
  <si>
    <t>HKS7ZM3</t>
  </si>
  <si>
    <t>32003011</t>
  </si>
  <si>
    <t>HPS7ZM3</t>
  </si>
  <si>
    <t>32003012</t>
  </si>
  <si>
    <t>HR78ZM3</t>
  </si>
  <si>
    <t>32003056</t>
  </si>
  <si>
    <t>NOTEBOOK DELL 14 I3 4GB SSD256GB W10P</t>
  </si>
  <si>
    <t>8C98T34</t>
  </si>
  <si>
    <t>32003142</t>
  </si>
  <si>
    <t>TV SAMSUNG BUSINESS SMART 4K 65"</t>
  </si>
  <si>
    <t>9824</t>
  </si>
  <si>
    <t>32003164</t>
  </si>
  <si>
    <t>BSS7314</t>
  </si>
  <si>
    <t>40000327</t>
  </si>
  <si>
    <t>DESPESAS COM INSTALAÇÃO SISTEMA DE VIDEO</t>
  </si>
  <si>
    <t>40000356</t>
  </si>
  <si>
    <t>LAPIDAÇÃO PISO IMPRESSAO 2.370.42M2</t>
  </si>
  <si>
    <t>40000375</t>
  </si>
  <si>
    <t>IMPLANTACAO SISTEMA CONTROLE ESTATISTICO</t>
  </si>
  <si>
    <t>11000018</t>
  </si>
  <si>
    <t>TROCADOR DE CALOR MOD TSEV-1250-6 C/ FEIXE FIXO</t>
  </si>
  <si>
    <t>100005004</t>
  </si>
  <si>
    <t>11000057</t>
  </si>
  <si>
    <t>70M DE CABO MULTIF 12 TERMINAL E 1 CONECTOR</t>
  </si>
  <si>
    <t>11000148</t>
  </si>
  <si>
    <t>SALA COORDENAÇÃO ACABAMENTOS 27M2</t>
  </si>
  <si>
    <t>20000046</t>
  </si>
  <si>
    <t>MAQUINA CORTE E SOLDA F HECE SC-1100, Nº 230</t>
  </si>
  <si>
    <t>10000408</t>
  </si>
  <si>
    <t>ADEQUACAO NR12</t>
  </si>
  <si>
    <t>20000059</t>
  </si>
  <si>
    <t>TERMINO DE CONSTRUCAO DE 07 SOLDADEIRAS PLASTICAS</t>
  </si>
  <si>
    <t>20000068</t>
  </si>
  <si>
    <t>MAQUINA WICKET MODELO DIMATIC ETH 471HS/66 Nº 233</t>
  </si>
  <si>
    <t>10000411</t>
  </si>
  <si>
    <t>21321</t>
  </si>
  <si>
    <t>SCAE 86716 PROCESSORE DI SEGNAL D-MAX-1</t>
  </si>
  <si>
    <t>7451</t>
  </si>
  <si>
    <t>20000069</t>
  </si>
  <si>
    <t>MAQUINA WICKET MODELO DIMATIC ETH 471HS/66 Nº 232</t>
  </si>
  <si>
    <t>10000410</t>
  </si>
  <si>
    <t>21320</t>
  </si>
  <si>
    <t>20000078</t>
  </si>
  <si>
    <t>MAQUINA HECE CORTE SOLDA SC 700 II Nº 211</t>
  </si>
  <si>
    <t>10000398</t>
  </si>
  <si>
    <t>2632</t>
  </si>
  <si>
    <t>SOLDA FUNDO LAM. PNEUM. IND. SC-700 II</t>
  </si>
  <si>
    <t>20000079</t>
  </si>
  <si>
    <t>MAQUINA CORTE SOLDA 500 FR Nº 210</t>
  </si>
  <si>
    <t>10000385</t>
  </si>
  <si>
    <t>2624</t>
  </si>
  <si>
    <t>20000080</t>
  </si>
  <si>
    <t>MAQUINA HECE MODELO SC-1400 Nº 213</t>
  </si>
  <si>
    <t>10000399</t>
  </si>
  <si>
    <t>2813</t>
  </si>
  <si>
    <t>20000081</t>
  </si>
  <si>
    <t>MAQUINA HECE MODELO SC-700-II Nº 214</t>
  </si>
  <si>
    <t>10000400</t>
  </si>
  <si>
    <t>2818</t>
  </si>
  <si>
    <t>20000084</t>
  </si>
  <si>
    <t>MAQUINA AUTOMATICA HECE MOD SC 500 FR Nº 215</t>
  </si>
  <si>
    <t>10000387</t>
  </si>
  <si>
    <t>2816</t>
  </si>
  <si>
    <t>20000089</t>
  </si>
  <si>
    <t>MAQUINA HECE MOD SC-500 FR II Nº 218</t>
  </si>
  <si>
    <t>10000390</t>
  </si>
  <si>
    <t>2835</t>
  </si>
  <si>
    <t>20000090</t>
  </si>
  <si>
    <t>MAQUINA HECE MOD SC-1100  Nº 219</t>
  </si>
  <si>
    <t>10000401</t>
  </si>
  <si>
    <t>2886</t>
  </si>
  <si>
    <t>KIT DE ADAPTACAO DIGITAL PARA PLC 300 WEG</t>
  </si>
  <si>
    <t>20000104</t>
  </si>
  <si>
    <t>MAQUINA HECE AUTOMATICA MODELO HSC 1100 Nº 221</t>
  </si>
  <si>
    <t>10000403</t>
  </si>
  <si>
    <t>3035</t>
  </si>
  <si>
    <t>SOLDA LATERAL COM BAINHA HSC -1100 PISTA 4MM</t>
  </si>
  <si>
    <t>3888 10000403</t>
  </si>
  <si>
    <t>20000123</t>
  </si>
  <si>
    <t>MAQUINA AUTOMATICA HECE MOD SC 700 FR -III Nº 223</t>
  </si>
  <si>
    <t>10000392</t>
  </si>
  <si>
    <t>3193</t>
  </si>
  <si>
    <t>20000126</t>
  </si>
  <si>
    <t>MAQUINA AUTOMATICA HECE MOD SC 700 FR -III Nº 225</t>
  </si>
  <si>
    <t>10000393</t>
  </si>
  <si>
    <t>3348</t>
  </si>
  <si>
    <t>ELETRODO SOLDA LATERAL PE -  BRONZE</t>
  </si>
  <si>
    <t>TUB.SC700-4100W,2 RES.TUB.SC-700FRIII,1ELET</t>
  </si>
  <si>
    <t>20000134</t>
  </si>
  <si>
    <t>MAQUINA AUTOMATICA HECE MOD SC-500 FR Nº 207</t>
  </si>
  <si>
    <t>10000382</t>
  </si>
  <si>
    <t>2292</t>
  </si>
  <si>
    <t>SERVICOS DE MAO DE OBRA</t>
  </si>
  <si>
    <t>20000135</t>
  </si>
  <si>
    <t>MAQUINA AUTOMATICA HECE MOD SC 500 FR Nº 208</t>
  </si>
  <si>
    <t>10000383</t>
  </si>
  <si>
    <t>2293</t>
  </si>
  <si>
    <t>20000140</t>
  </si>
  <si>
    <t>MAQUINA AUTOMATICA HECE MOD FR 700 Nº 206</t>
  </si>
  <si>
    <t>10000381</t>
  </si>
  <si>
    <t>2367</t>
  </si>
  <si>
    <t>FRETE PELA COMPRA MAQ. AUTOMATICA HECE</t>
  </si>
  <si>
    <t>20000141</t>
  </si>
  <si>
    <t>MAQUINA AUTOMATICA HECE MOD FR 1100 Nº 203</t>
  </si>
  <si>
    <t>10000395</t>
  </si>
  <si>
    <t>2374</t>
  </si>
  <si>
    <t>20000142</t>
  </si>
  <si>
    <t>MAQUINA AUTOMATICA HECE MOD SC 500 Nº 209</t>
  </si>
  <si>
    <t>10000384</t>
  </si>
  <si>
    <t>2386</t>
  </si>
  <si>
    <t>20000147</t>
  </si>
  <si>
    <t>MAQUINA CORTE E SOLDA MOD SL 1400 Nº 204</t>
  </si>
  <si>
    <t>10000396</t>
  </si>
  <si>
    <t>2565</t>
  </si>
  <si>
    <t>20000150</t>
  </si>
  <si>
    <t>MAQUINA HECE CORTE E SOLDA MOD SC 500 Nº 212</t>
  </si>
  <si>
    <t>10000386</t>
  </si>
  <si>
    <t>2643</t>
  </si>
  <si>
    <t>20000153</t>
  </si>
  <si>
    <t>MAQUINA AUTOMATICA HECE MOD SC 1100 Nº 201</t>
  </si>
  <si>
    <t>10000394</t>
  </si>
  <si>
    <t>2280</t>
  </si>
  <si>
    <t>SOLDA FUNDO IND. LAMINA PNEUMATICA</t>
  </si>
  <si>
    <t>20000283</t>
  </si>
  <si>
    <t>MAQUINA HECE MODELO SL-700 Nº 234</t>
  </si>
  <si>
    <t>10000117</t>
  </si>
  <si>
    <t>2601</t>
  </si>
  <si>
    <t>20000636</t>
  </si>
  <si>
    <t>MAQUINA AUTOMATICA HECE MOD SC 500 FR Nº 217</t>
  </si>
  <si>
    <t>10000389</t>
  </si>
  <si>
    <t>2827</t>
  </si>
  <si>
    <t>20000637</t>
  </si>
  <si>
    <t>MAQUINA AUTOMATICA HECE MOD SC 500 FR Nº 216</t>
  </si>
  <si>
    <t>10000388</t>
  </si>
  <si>
    <t>2828</t>
  </si>
  <si>
    <t>20000675</t>
  </si>
  <si>
    <t>MAQUINA HECE CORTE E SOLDA HP-1100 S Nº 237</t>
  </si>
  <si>
    <t>10345 - 10001300</t>
  </si>
  <si>
    <t>5120</t>
  </si>
  <si>
    <t>FRETE COMPRA MAQUINA HECE</t>
  </si>
  <si>
    <t>PECAS PARA INSTALACAO</t>
  </si>
  <si>
    <t>20000676</t>
  </si>
  <si>
    <t>MAQUINA CORTE E SOLDA HSC1100 BLOCADORA AUTOMATICA</t>
  </si>
  <si>
    <t>10001250</t>
  </si>
  <si>
    <t>5076-10377</t>
  </si>
  <si>
    <t>SLEET SEALING SIMPLES E DUPLO</t>
  </si>
  <si>
    <t>FRETE SLEET SEALING SIMPLES E DUPLO</t>
  </si>
  <si>
    <t>20000686</t>
  </si>
  <si>
    <t>MAQUINA AUTOMATICA WICKETER WS1010 635MM</t>
  </si>
  <si>
    <t>10001418</t>
  </si>
  <si>
    <t>202302011W</t>
  </si>
  <si>
    <t>ROLO SELADOR COMPLETO</t>
  </si>
  <si>
    <t>GASTOS COM INSTALACAO MAQUINA WICKETER</t>
  </si>
  <si>
    <t>20000688</t>
  </si>
  <si>
    <t>MAQUINA CORTE E SOLDA HECE SCW-700 FR III</t>
  </si>
  <si>
    <t>10001411</t>
  </si>
  <si>
    <t>5228</t>
  </si>
  <si>
    <t>GASTOS DE INSTALACAO MAQ.CORTE E SOLDA SCW-700</t>
  </si>
  <si>
    <t>20000707</t>
  </si>
  <si>
    <t>IMPRESSORA INKJET 8820 IMPRESSAO SIMPLES 1 LINHA</t>
  </si>
  <si>
    <t>20000716</t>
  </si>
  <si>
    <t>10001410</t>
  </si>
  <si>
    <t>5227</t>
  </si>
  <si>
    <t>GASTOS DE INSTALACAO MAQ CORTE E SOLDA HECE SCW700</t>
  </si>
  <si>
    <t>20000742</t>
  </si>
  <si>
    <t>MAQUINA WICKET MOD DIMATIC ETH471HS/66NR Nº 229</t>
  </si>
  <si>
    <t>10000407</t>
  </si>
  <si>
    <t>21116</t>
  </si>
  <si>
    <t>SENSOR DE LINHA SE-26A PARA CONTROLE DE DIRECAO</t>
  </si>
  <si>
    <t>DESPESAS ADUANEIRAS CFE PROCESSO 8142</t>
  </si>
  <si>
    <t>PAGAMENTO DE PECAS P/MAQUINA</t>
  </si>
  <si>
    <t>RESISTENCIA  CABEÇOTE 3600W</t>
  </si>
  <si>
    <t>FURADOR SACO PLAST 6 MM FORMATO PÉ DE GALINHA</t>
  </si>
  <si>
    <t>VALVULA ELETRONICA SYJ5120-5LOU-C4-Q</t>
  </si>
  <si>
    <t>CILINDRO PNEUMATICO DZF-25-15-A-P-A</t>
  </si>
  <si>
    <t>SENSOR ULTRASSONICO ELET FIFE SE-24</t>
  </si>
  <si>
    <t>FURADOR DE SACO PLASTICO  10 MM</t>
  </si>
  <si>
    <t>RESISTENCIA DE CABEÇOTE 3600W 230V  16 X 690</t>
  </si>
  <si>
    <t>FURADOR DE SACO PLASTICO 6 MM WICKET</t>
  </si>
  <si>
    <t>FURADOR DE SACO PLASTICO 10 MM</t>
  </si>
  <si>
    <t>DISJUNTOR 630A 36KVA S/DISPARADOR</t>
  </si>
  <si>
    <t>DISPARADOR 250-630A 3VT9363-6AC00 SIEMENS,</t>
  </si>
  <si>
    <t>DISJUNTOR TRIP 3VT1 40-50A, P/MONTAGEM DA</t>
  </si>
  <si>
    <t>CABO 4X6MM 1KV G7 PARA MONTAGEM DA MAQUINA</t>
  </si>
  <si>
    <t>DISJUNTORES TRIP 3VT1 32-40A</t>
  </si>
  <si>
    <t>CABO 4X10MM 0,6 1KV 90</t>
  </si>
  <si>
    <t>CABO 6MM 750V FLEX VD CONDUSPAR</t>
  </si>
  <si>
    <t>CABO 70MM2 0.6 1KV PARA MONTAGEM DA MAQUINA</t>
  </si>
  <si>
    <t>50</t>
  </si>
  <si>
    <t>CABO 35MM2 0.6 1KV EPR PARA MONTAGEM DA MAQUINA</t>
  </si>
  <si>
    <t>51</t>
  </si>
  <si>
    <t>FUSIVEIS SITOR TI 250A 3NE1 227-0 SIEMENS</t>
  </si>
  <si>
    <t>52</t>
  </si>
  <si>
    <t>CHAVE SECCIONADORA FUSIVEL 250A 3NP42 70-0CA01</t>
  </si>
  <si>
    <t>53</t>
  </si>
  <si>
    <t>CILINDRO METALICO RECOBERTO C SILICONE E TEFLON</t>
  </si>
  <si>
    <t>54</t>
  </si>
  <si>
    <t>RESISTENCIA DE CABECOTE P/AQUECIMENTO DE</t>
  </si>
  <si>
    <t>55</t>
  </si>
  <si>
    <t>DESPESAS ADUANEIRAS S.C.A.E.EUROPE S.R.L</t>
  </si>
  <si>
    <t>56</t>
  </si>
  <si>
    <t>VLR TRANSF MATRIZ  CONTABILIZACAO BAIXA ADTO</t>
  </si>
  <si>
    <t>57</t>
  </si>
  <si>
    <t>DESPESAS ADUAN EUROPE,PROC DE IMPORT 13888 NA  DE</t>
  </si>
  <si>
    <t>58</t>
  </si>
  <si>
    <t>SENSOR MAGNETICO CAMOZI PNE-CST-220, P/MAQ.DO</t>
  </si>
  <si>
    <t>59</t>
  </si>
  <si>
    <t>CONVERSOR ELETRONICO NIVEL U SUBITEM AA</t>
  </si>
  <si>
    <t>60</t>
  </si>
  <si>
    <t>BARRA ESTATICA THUNDERION 6P 66, P/MAQ.DO SETOR</t>
  </si>
  <si>
    <t>61</t>
  </si>
  <si>
    <t>PISTAO PNEUMATICO FESTO DZF25-15-A-P-A,</t>
  </si>
  <si>
    <t>62</t>
  </si>
  <si>
    <t>PORTA FUSTELLA RADIAL E SOFFIO P/WICKET,</t>
  </si>
  <si>
    <t>63</t>
  </si>
  <si>
    <t>BARRA ANTIESTATICA TIPO EEP-SH-N 66</t>
  </si>
  <si>
    <t>64</t>
  </si>
  <si>
    <t>BARRA ANTIESTATICA DI CARICA TIPO RED. MM130</t>
  </si>
  <si>
    <t>65</t>
  </si>
  <si>
    <t>CORREIA DENTADA HTD 600-8M-20</t>
  </si>
  <si>
    <t>66</t>
  </si>
  <si>
    <t>CORREIA DENTADA T 10-960-25MM - TOOTHED BELT</t>
  </si>
  <si>
    <t>67</t>
  </si>
  <si>
    <t>CORREIA DENTADA 240 L 100 - TOOTHED BELT</t>
  </si>
  <si>
    <t>68</t>
  </si>
  <si>
    <t>CORREIA DENTADA 630H 100  - TOOTHED BELT630</t>
  </si>
  <si>
    <t>69</t>
  </si>
  <si>
    <t>CORREIA DENTADA CINGHIA T5/0280MM 16, P/MAQ.DO</t>
  </si>
  <si>
    <t>70</t>
  </si>
  <si>
    <t>CORREIA DENTADA CINGHIA DENTADA 240-100,</t>
  </si>
  <si>
    <t>71</t>
  </si>
  <si>
    <t>CORREIA DENTADA CINGHIA DENTADA 360H100</t>
  </si>
  <si>
    <t>72</t>
  </si>
  <si>
    <t>GERADOR DE CORRENTE ALTERNADA GENERSATOR E</t>
  </si>
  <si>
    <t>73</t>
  </si>
  <si>
    <t>EQUIP. TIPO CANETA P/ MEDIR ENERGIA ESTATICA</t>
  </si>
  <si>
    <t>74</t>
  </si>
  <si>
    <t>APARELHO TERMOPAR TERMOCOPPIA ZTC-24/FC</t>
  </si>
  <si>
    <t>75</t>
  </si>
  <si>
    <t>CORREIA P/TRANSMISSAO SEM FIM - CINGHI</t>
  </si>
  <si>
    <t>76</t>
  </si>
  <si>
    <t>CABO CONSUTOR ELETRICO CONNECT CY100-30-4A-30,</t>
  </si>
  <si>
    <t>77</t>
  </si>
  <si>
    <t>VALVULA</t>
  </si>
  <si>
    <t>78</t>
  </si>
  <si>
    <t>79</t>
  </si>
  <si>
    <t>TRANSFORMADOR ANTIESTATICO TRANSFORMATOR E</t>
  </si>
  <si>
    <t>80</t>
  </si>
  <si>
    <t>BARRAS SELAGEM PARA MAQUINA WICKET</t>
  </si>
  <si>
    <t>81</t>
  </si>
  <si>
    <t>PLACAS SISTEMA SELAGEM</t>
  </si>
  <si>
    <t>82</t>
  </si>
  <si>
    <t>BARRA DE SELAGEM</t>
  </si>
  <si>
    <t>83</t>
  </si>
  <si>
    <t>BARRAS DE SELAGEM</t>
  </si>
  <si>
    <t>84</t>
  </si>
  <si>
    <t>85</t>
  </si>
  <si>
    <t>86</t>
  </si>
  <si>
    <t>FURADORES 50MM</t>
  </si>
  <si>
    <t>87</t>
  </si>
  <si>
    <t>CJ P/ MAQ</t>
  </si>
  <si>
    <t>88</t>
  </si>
  <si>
    <t>DESBOBINADOR</t>
  </si>
  <si>
    <t>89</t>
  </si>
  <si>
    <t>DESPESAS ACESSORIAS NA AQUISIÇÃO PEÇAS</t>
  </si>
  <si>
    <t>90</t>
  </si>
  <si>
    <t>DESPESAS NO DESEMBARACO ADUANEIRO 66063</t>
  </si>
  <si>
    <t>20000749</t>
  </si>
  <si>
    <t>MAQUINA HECE AUTOMATICA MOD SC-700 FR-III Nº 222</t>
  </si>
  <si>
    <t>10000391</t>
  </si>
  <si>
    <t>3192</t>
  </si>
  <si>
    <t>EIXO EXPANSIVO CORPO EM ALUMINIO 6"</t>
  </si>
  <si>
    <t>20000761</t>
  </si>
  <si>
    <t>MAQUINA WICKET MODELO DIMATIC ETH 471HS/88 Nº 231</t>
  </si>
  <si>
    <t>10000409</t>
  </si>
  <si>
    <t>21319</t>
  </si>
  <si>
    <t>DESPESAS NO DESEMBARACO ADUANEIRO</t>
  </si>
  <si>
    <t>GERADOR ELETRESTATICA TLA 2013-81</t>
  </si>
  <si>
    <t>7452</t>
  </si>
  <si>
    <t>BARRA ANTIESTATICA THUNDER ON SPECIAL</t>
  </si>
  <si>
    <t>20000764</t>
  </si>
  <si>
    <t>MAQUINA WICKET MODELO DIMATIC ETH 471HS/66 Nº 228</t>
  </si>
  <si>
    <t>10000406</t>
  </si>
  <si>
    <t>21117</t>
  </si>
  <si>
    <t>DESPESAS ADUANEIRAS</t>
  </si>
  <si>
    <t>MOTOR ELETRICO CC1/4 CV 185W PARA MAQ.WICKET</t>
  </si>
  <si>
    <t>PINOS DE ACO MEDIO CARBONO P/MAQ.WICKET SCAE</t>
  </si>
  <si>
    <t>SENSOR INFRAVERMELHO PARA MAQ. WICKET SCAE</t>
  </si>
  <si>
    <t>CARCACA ACO INOX E FILTRO INTERNO P/MAQ.WICKET</t>
  </si>
  <si>
    <t>SENSOR MAGNETICO PARA MAQ.WICKET SCAE</t>
  </si>
  <si>
    <t>RESISTENCIAS 600W 220V PARA MAQ. WICKET SCAE</t>
  </si>
  <si>
    <t>DESPESAS ADUANEIRAS NFE 54762 DE SCAE EUROPE NA</t>
  </si>
  <si>
    <t>RESISTENCIA DE CABECOTE AQUECIMENTO DE BARRAS</t>
  </si>
  <si>
    <t>25 FURADORES SACO PLASTICO  12MM P/MAQ.WICKET</t>
  </si>
  <si>
    <t>DESPESAS ADUANEIRAS NFE 54351 DE SCAE EUROPE NA</t>
  </si>
  <si>
    <t>RESISTENCIAS 4640W P/MAQ.WICKET SCAE</t>
  </si>
  <si>
    <t>CONVERSOR ELETR NIVEL U SUBITEM AA TOPO 001 TENSAO</t>
  </si>
  <si>
    <t>MANOMETRO DE AR 1/4 P/MAQ.WICKET SCAE</t>
  </si>
  <si>
    <t>46 FURADORES DE SACO PLASTICO 10MM P/MAQ.WICKET</t>
  </si>
  <si>
    <t>40 FURADORES DE SACO PLASTICO 15MM P/MAQ.WICKET</t>
  </si>
  <si>
    <t>SERVICO DE TRANSPORTE, REFTE MAQ. WICKET P/ PROD.</t>
  </si>
  <si>
    <t>BARRA ANTIESTATICA THUNDERION IQ 2.0 SIMCO-ION</t>
  </si>
  <si>
    <t>21000310</t>
  </si>
  <si>
    <t>SISTEMA DE ESTATISTICA P/O SETOR CORTE E SOLDA</t>
  </si>
  <si>
    <t>TERM.TUBULAR METRI.TM-150MM, LUVA EMENDA</t>
  </si>
  <si>
    <t>CABO FLEXIVEL 0,75 MM</t>
  </si>
  <si>
    <t>PLACA DE REDE PCI-E 10/100/1000</t>
  </si>
  <si>
    <t>JUN INT L 38X38, 40 JUNC INT I, CT PARAF CAB</t>
  </si>
  <si>
    <t>EMENDA INTERNA PERF 50X50, 06 MT DE TAMPA</t>
  </si>
  <si>
    <t>JUNCAO INTERNA L 38X38 GE, EMENDA</t>
  </si>
  <si>
    <t>TAMPA 50 MM P/ ELETROCALHA</t>
  </si>
  <si>
    <t>EMENDA INTERNA PERFURADA 50X50 GE</t>
  </si>
  <si>
    <t>CABO USB 1,5 MT X DB25 PLUSCABLE</t>
  </si>
  <si>
    <t>ELETROCALHA PERFURA 100X75-C</t>
  </si>
  <si>
    <t>PARAFUSO SEXTA 1/4"X 5/8"</t>
  </si>
  <si>
    <t>CABO 275 POLIRON 2X0,75MM 300V E 500M CABO 475</t>
  </si>
  <si>
    <t>CABO SHIELD 275 POLIRON 2X0,75MM 300V</t>
  </si>
  <si>
    <t>CABO SHIELD 475 POLIRON 4X0,75MM 300V</t>
  </si>
  <si>
    <t>EMENDA INTERNA PERFURADA 50X50</t>
  </si>
  <si>
    <t>21000317</t>
  </si>
  <si>
    <t>21000338</t>
  </si>
  <si>
    <t>IMPRESSOR TERMICO FILIZOLA</t>
  </si>
  <si>
    <t>21000339</t>
  </si>
  <si>
    <t>BALANCA ACO CARBONO BT 006 100KG</t>
  </si>
  <si>
    <t>21000355</t>
  </si>
  <si>
    <t>5642</t>
  </si>
  <si>
    <t>5643</t>
  </si>
  <si>
    <t>5638</t>
  </si>
  <si>
    <t>5639</t>
  </si>
  <si>
    <t>21000357</t>
  </si>
  <si>
    <t>BLANCA ACO CARBONO BT 009 300KG</t>
  </si>
  <si>
    <t>10000668 - 5634</t>
  </si>
  <si>
    <t>21000359</t>
  </si>
  <si>
    <t>ZEBRA IMPRESSORA GC420 203DPI COM PEEL OFF, P/O</t>
  </si>
  <si>
    <t>5730</t>
  </si>
  <si>
    <t>IMPRESSORA ZEBRA GC420 203DPI COM PEEL OFF</t>
  </si>
  <si>
    <t>5729</t>
  </si>
  <si>
    <t>21000360</t>
  </si>
  <si>
    <t>BALANCA ACO CARBONO BT 008 200 KG</t>
  </si>
  <si>
    <t>5720</t>
  </si>
  <si>
    <t>MODULO INDICADOR P/O SETOR DE CORTE E SOLDA</t>
  </si>
  <si>
    <t>21000361</t>
  </si>
  <si>
    <t>5721</t>
  </si>
  <si>
    <t>21000364</t>
  </si>
  <si>
    <t>CHAPAS PRETAS 650X1050 E 180X850</t>
  </si>
  <si>
    <t>21000366</t>
  </si>
  <si>
    <t>IMPRESSOR TERMICO ZEBRA GC420 203 DPI COM PEEL OFF</t>
  </si>
  <si>
    <t>7443</t>
  </si>
  <si>
    <t>21000367</t>
  </si>
  <si>
    <t>7444</t>
  </si>
  <si>
    <t>7479</t>
  </si>
  <si>
    <t>21000400</t>
  </si>
  <si>
    <t>7522</t>
  </si>
  <si>
    <t>21000425</t>
  </si>
  <si>
    <t>PERFURADORES DE BORDA WICKET</t>
  </si>
  <si>
    <t>21000448</t>
  </si>
  <si>
    <t>100M DE CABO P/NOVA MAQ.P/O SETOR DE CORTE E SOLDA</t>
  </si>
  <si>
    <t>21000484</t>
  </si>
  <si>
    <t>KIT SC700 II P/APLICADOR INTERMITENTE CORTAR PLAST</t>
  </si>
  <si>
    <t>APLICADOR INTERMITENTE P/ CORTAR E COLAR PLASTICO</t>
  </si>
  <si>
    <t>ESMAGADOR DE ZIPER</t>
  </si>
  <si>
    <t>21000487</t>
  </si>
  <si>
    <t>10221</t>
  </si>
  <si>
    <t>21000514</t>
  </si>
  <si>
    <t>EMPILHADEIRAS HIDRAULICAS MANUAL LM 516</t>
  </si>
  <si>
    <t>21000538</t>
  </si>
  <si>
    <t>BALANCA TOLEDO ELETRICA PRIX 3 15 KG</t>
  </si>
  <si>
    <t>21000566</t>
  </si>
  <si>
    <t>BALANCA TRENTIN BT 0007 150KG</t>
  </si>
  <si>
    <t>21000573</t>
  </si>
  <si>
    <t>90M DE CABO P/O SETOR DE CORTE E SOLDA DA FABRICA</t>
  </si>
  <si>
    <t>21000599</t>
  </si>
  <si>
    <t>105 M DE CABO MULTIF P/O SETOR DE CORTE E SOLDA</t>
  </si>
  <si>
    <t>21000604</t>
  </si>
  <si>
    <t>SOLDA LATERAL RETA SCW-700</t>
  </si>
  <si>
    <t>21000607</t>
  </si>
  <si>
    <t>HORN EM DURALUMINIO E TRANSDUTOR SOLDAGEM DE ZIPER</t>
  </si>
  <si>
    <t>FRETE TRANSPORTE HORN EM DURALUMINIO E TRANSDUTOR</t>
  </si>
  <si>
    <t>21000618</t>
  </si>
  <si>
    <t>BALANCA TOLEDO PRIX III 15 KG</t>
  </si>
  <si>
    <t>21000637</t>
  </si>
  <si>
    <t>100MT CABO 4X16MM2 E 1 ROLO DE CABO 10MM2 FLEX</t>
  </si>
  <si>
    <t>21000642</t>
  </si>
  <si>
    <t>3 EIXOS EXPANSIVOS DE 6 E 3 POLEGADAS</t>
  </si>
  <si>
    <t>21000644</t>
  </si>
  <si>
    <t>PECAS P/ FABRICACAO DE PICOTADERIA</t>
  </si>
  <si>
    <t>21000648</t>
  </si>
  <si>
    <t>KIT TRANFORMADOR SLIT SEALER COM CONTROLE</t>
  </si>
  <si>
    <t>21000653</t>
  </si>
  <si>
    <t>IMPRESSOR TERMICO TP 80 - B</t>
  </si>
  <si>
    <t>21000654</t>
  </si>
  <si>
    <t>SERVOCONVERSOR SCA 05 24T 2223 PSZ</t>
  </si>
  <si>
    <t>21000655</t>
  </si>
  <si>
    <t>BALANCA ELETRONICA TOLEDO PRIX-III 15KG</t>
  </si>
  <si>
    <t>10552469 - 87062</t>
  </si>
  <si>
    <t>21000656</t>
  </si>
  <si>
    <t>BALANCA ACO CARBONO BT 007 150 KG</t>
  </si>
  <si>
    <t>CABO FLEXIVEL PP 3X2,5MM, PLUG. FEMEA 10A 2.+T. PA</t>
  </si>
  <si>
    <t>21000694</t>
  </si>
  <si>
    <t>ANDAIME METALICO GERWAL</t>
  </si>
  <si>
    <t>21000700</t>
  </si>
  <si>
    <t>CORREIA DENTADA 630H 100 SCAE 33551 P/ MAQ WICKET</t>
  </si>
  <si>
    <t>CORREIA DENTADA 630H 100 SCAE 33551</t>
  </si>
  <si>
    <t>CINGHIA DENTADA 240L 100 SCAE 33172</t>
  </si>
  <si>
    <t>CORREIA DENTADA 360 H 100</t>
  </si>
  <si>
    <t>CARTUCHO DE ACO INOX</t>
  </si>
  <si>
    <t>CINGHIA PIANA MM 1610X30</t>
  </si>
  <si>
    <t>CANOTTO SCORRIM PISTONI 1052231</t>
  </si>
  <si>
    <t>FUSTELA D.15MM PRL M10</t>
  </si>
  <si>
    <t>UGELLO PALETTA WICKET</t>
  </si>
  <si>
    <t>UGELLO SOFFIO SALDANTE</t>
  </si>
  <si>
    <t>CINGHIA SYNCROFLEX AT10/920 SCAE 33196</t>
  </si>
  <si>
    <t>INGRANAGGIO SUPER TRAINO DISCAE</t>
  </si>
  <si>
    <t>BRUSHLESS SMB SERVO MOTOR SCAE</t>
  </si>
  <si>
    <t>PORTA PWK SCAE 1019670</t>
  </si>
  <si>
    <t>CINGHIA PIANA MM 1980X30 SCAE 33578</t>
  </si>
  <si>
    <t>POSITIVA HTD 480-8M SCAE 33446</t>
  </si>
  <si>
    <t>CINGHIA POSITIVA HTD 1760-8M SCAE 33447</t>
  </si>
  <si>
    <t>RESISTENZA 12.7X60 W500 SCAE 80105</t>
  </si>
  <si>
    <t>ACESSORIAS PROCESSO 16976 DI 15/046140</t>
  </si>
  <si>
    <t>21000701</t>
  </si>
  <si>
    <t>CONSTRUCAO DE UMA PICOTEIRA</t>
  </si>
  <si>
    <t>CABO 4X16MM2 0.6/1KV FLEX</t>
  </si>
  <si>
    <t>21003277</t>
  </si>
  <si>
    <t>21003977</t>
  </si>
  <si>
    <t>4 EXAUSTOR 50 POLEGAS GAVANIZADO COM CABECOTE</t>
  </si>
  <si>
    <t>21004055</t>
  </si>
  <si>
    <t>21005658</t>
  </si>
  <si>
    <t>CARRO HIDRAULICO EMP CATARINENSE 3000KG</t>
  </si>
  <si>
    <t>21005785</t>
  </si>
  <si>
    <t>DISJUNTOR TRIPOLAR A VACUO</t>
  </si>
  <si>
    <t>21005786</t>
  </si>
  <si>
    <t>CARTUCHO DE AÇO INOX PARA FILTRO</t>
  </si>
  <si>
    <t>21005787</t>
  </si>
  <si>
    <t>REGULADOR MANOMETRO, SENSOR MAGNETICO CAMOZZ</t>
  </si>
  <si>
    <t>21005788</t>
  </si>
  <si>
    <t>VALOR REFTE DESPESAS NO DESEMBARACO ADUANEIRO</t>
  </si>
  <si>
    <t>21005792</t>
  </si>
  <si>
    <t>IMPRESSOR TERMICO TP 80 B</t>
  </si>
  <si>
    <t>FRETE P/TRANSPORTE DE 2 IMPRESSOR</t>
  </si>
  <si>
    <t>21005795</t>
  </si>
  <si>
    <t>PLACA EIXO / ANALOGICA DO SX-570</t>
  </si>
  <si>
    <t>21005796</t>
  </si>
  <si>
    <t>DESBOBINADOR ADICIONAL HP HECE</t>
  </si>
  <si>
    <t>21005797</t>
  </si>
  <si>
    <t>DESBOBINADOR ADICIONAL HP 700- II</t>
  </si>
  <si>
    <t>COMPLEMENTO VALOR NOTA 18705</t>
  </si>
  <si>
    <t>21006101</t>
  </si>
  <si>
    <t>10206</t>
  </si>
  <si>
    <t>21006108</t>
  </si>
  <si>
    <t>10216</t>
  </si>
  <si>
    <t>21006115</t>
  </si>
  <si>
    <t>EMPILHADEIRA MANUAL 1.0T  1000 TONELADAS</t>
  </si>
  <si>
    <t>8824</t>
  </si>
  <si>
    <t>FRETE REF COMPRA EMPILHADEIRA MANUAL</t>
  </si>
  <si>
    <t>21006168</t>
  </si>
  <si>
    <t>BALANCA TRENTIN BT-006 CAP 100KG EM ACO CARBONO</t>
  </si>
  <si>
    <t>10001200 - 8866</t>
  </si>
  <si>
    <t>21006342</t>
  </si>
  <si>
    <t>BALANCA TRENTIN MODELO BT 500KG</t>
  </si>
  <si>
    <t>275</t>
  </si>
  <si>
    <t>21006343</t>
  </si>
  <si>
    <t>21006409</t>
  </si>
  <si>
    <t>IMPRESSORA TTO MASTER U53C TOUCH LH YANJIE</t>
  </si>
  <si>
    <t>U2201750</t>
  </si>
  <si>
    <t>21006410</t>
  </si>
  <si>
    <t>U2302010</t>
  </si>
  <si>
    <t>21006428</t>
  </si>
  <si>
    <t>B578414</t>
  </si>
  <si>
    <t>21006429</t>
  </si>
  <si>
    <t>B578331</t>
  </si>
  <si>
    <t>21006611</t>
  </si>
  <si>
    <t>21006613</t>
  </si>
  <si>
    <t>10572836 - 92336</t>
  </si>
  <si>
    <t>21006619</t>
  </si>
  <si>
    <t>21006810</t>
  </si>
  <si>
    <t>PALETEIRA MANUAL STILL TX-25 2500 KG</t>
  </si>
  <si>
    <t>B582841</t>
  </si>
  <si>
    <t>FRETE PALETEIRA MANUAL STILL</t>
  </si>
  <si>
    <t>21006833</t>
  </si>
  <si>
    <t>20241042</t>
  </si>
  <si>
    <t>30000131</t>
  </si>
  <si>
    <t>BEBEDOURO ACQUA GELATA PAG-100 C/ 3 TORNEIRAS 220V</t>
  </si>
  <si>
    <t>30000156</t>
  </si>
  <si>
    <t>BEBEDOURO MF BAG 40 INOX</t>
  </si>
  <si>
    <t>30000218</t>
  </si>
  <si>
    <t>MESA OVAL COM 2 GAVETAS 1,2X60X75</t>
  </si>
  <si>
    <t>30000223</t>
  </si>
  <si>
    <t>TV SAMSUNG 40R71BX 40 LCD</t>
  </si>
  <si>
    <t>30001406</t>
  </si>
  <si>
    <t>BEBEDOURO PRESSÃO INOX BRX 80 220V BEGEL</t>
  </si>
  <si>
    <t>10301</t>
  </si>
  <si>
    <t>30001619</t>
  </si>
  <si>
    <t>AR CONDICIONADO SPLIT INT/EXT FUJITSU 12000BTU</t>
  </si>
  <si>
    <t>30001647</t>
  </si>
  <si>
    <t>30001648</t>
  </si>
  <si>
    <t>30003602</t>
  </si>
  <si>
    <t>BEBEDOURO ACQUA GELATA PRE50 ACO INOX 2 TORNEIRAS</t>
  </si>
  <si>
    <t>8846</t>
  </si>
  <si>
    <t>30003609</t>
  </si>
  <si>
    <t>ARMARIO DE ACO CINZA 50 PORTAS</t>
  </si>
  <si>
    <t>8875</t>
  </si>
  <si>
    <t>30003610</t>
  </si>
  <si>
    <t>8874</t>
  </si>
  <si>
    <t>30003633</t>
  </si>
  <si>
    <t>AR CONDICIONADO INT/EXT FUJITSU 24000 BTUS</t>
  </si>
  <si>
    <t>10001124 - 10227</t>
  </si>
  <si>
    <t>B010864</t>
  </si>
  <si>
    <t>30003867</t>
  </si>
  <si>
    <t>CLIMATIZADOR ROTOPLAST 46 PORTATIL</t>
  </si>
  <si>
    <t>10001358</t>
  </si>
  <si>
    <t>127523</t>
  </si>
  <si>
    <t>30003928</t>
  </si>
  <si>
    <t>MESA EM ACO INOXIDAVEL</t>
  </si>
  <si>
    <t>10328</t>
  </si>
  <si>
    <t>30003929</t>
  </si>
  <si>
    <t>10331</t>
  </si>
  <si>
    <t>30003930</t>
  </si>
  <si>
    <t>30004393</t>
  </si>
  <si>
    <t>ESTANTE PORTA PALETE 4 VAOS 2000X2000X500MM</t>
  </si>
  <si>
    <t>31000193</t>
  </si>
  <si>
    <t>PALETEIRA ELETRICA STILL EGU C-20 CAP 2000 KG</t>
  </si>
  <si>
    <t>10000938</t>
  </si>
  <si>
    <t>31000323</t>
  </si>
  <si>
    <t>TRANSPALETEIRA ELETRICA STHILL ECH15C 1500KG</t>
  </si>
  <si>
    <t>CT2063N01353</t>
  </si>
  <si>
    <t>32000054</t>
  </si>
  <si>
    <t>THIN CLIENT T510 HP</t>
  </si>
  <si>
    <t>5713</t>
  </si>
  <si>
    <t>32000067</t>
  </si>
  <si>
    <t>PLACA MAE I3/I5/I7 ASUS LGA1155 P8H61-M CB 6878</t>
  </si>
  <si>
    <t>PROCESSADOR INTEL CORE I3</t>
  </si>
  <si>
    <t>32000068</t>
  </si>
  <si>
    <t>COOLER GAMER 12 VDC</t>
  </si>
  <si>
    <t>02 GABINETE</t>
  </si>
  <si>
    <t>2 HD 500GB SATA SAMSUNG</t>
  </si>
  <si>
    <t>2 MEMORIA DDR3 2GB 1333MHZ MARKVISION</t>
  </si>
  <si>
    <t>32000070</t>
  </si>
  <si>
    <t>BALLUN PASSIVO 4 CANAIS CB 5273</t>
  </si>
  <si>
    <t>32000097</t>
  </si>
  <si>
    <t>MONITOR 15.6 LCD AOC LED 1670/1619/E1621</t>
  </si>
  <si>
    <t>5742</t>
  </si>
  <si>
    <t>32000098</t>
  </si>
  <si>
    <t>5743</t>
  </si>
  <si>
    <t>32000167</t>
  </si>
  <si>
    <t>MONITOR 17" SAMSUNG 794V</t>
  </si>
  <si>
    <t>32000169</t>
  </si>
  <si>
    <t>6 LEITORES OPTICOS METROLOGIC MK5145</t>
  </si>
  <si>
    <t>32000184</t>
  </si>
  <si>
    <t>COMPUTADOR INTEL DUALCORE 1,8HD 160 + MONITOR AOC</t>
  </si>
  <si>
    <t>32000873</t>
  </si>
  <si>
    <t>32000887</t>
  </si>
  <si>
    <t>32001081</t>
  </si>
  <si>
    <t>IMPRESSOR TERMICO ZEBRA ETQ GC 420 203D</t>
  </si>
  <si>
    <t>32001087</t>
  </si>
  <si>
    <t>32001132</t>
  </si>
  <si>
    <t>COMPUTADOR DELL VOSTRO I3 8100 4C 3.6GHZ, 4G RAM</t>
  </si>
  <si>
    <t>BTDW9R2</t>
  </si>
  <si>
    <t>32001133</t>
  </si>
  <si>
    <t>BT4R9R2</t>
  </si>
  <si>
    <t>32001134</t>
  </si>
  <si>
    <t>MONITOR DELL E1916H 19"</t>
  </si>
  <si>
    <t>6WRB1M2</t>
  </si>
  <si>
    <t>32001135</t>
  </si>
  <si>
    <t>6VB91M2</t>
  </si>
  <si>
    <t>32001136</t>
  </si>
  <si>
    <t>32001137</t>
  </si>
  <si>
    <t>32001210</t>
  </si>
  <si>
    <t>3V5PBS2</t>
  </si>
  <si>
    <t>32001214</t>
  </si>
  <si>
    <t>7PLB1M2</t>
  </si>
  <si>
    <t>32001227</t>
  </si>
  <si>
    <t>66J49T2</t>
  </si>
  <si>
    <t>32001230</t>
  </si>
  <si>
    <t>DDXJ0K2</t>
  </si>
  <si>
    <t>32001330</t>
  </si>
  <si>
    <t>32001341</t>
  </si>
  <si>
    <t>32001364</t>
  </si>
  <si>
    <t>32002051</t>
  </si>
  <si>
    <t>7TSDH93</t>
  </si>
  <si>
    <t>32002053</t>
  </si>
  <si>
    <t>1WG5D83</t>
  </si>
  <si>
    <t>32002079</t>
  </si>
  <si>
    <t>THINPC SUPERA SPMJ18TPSSD WINDOWS 10 IOT</t>
  </si>
  <si>
    <t>31931</t>
  </si>
  <si>
    <t>32002080</t>
  </si>
  <si>
    <t>MONITOR HP CM V19B 18,5"</t>
  </si>
  <si>
    <t>2XM32AA</t>
  </si>
  <si>
    <t>32002149</t>
  </si>
  <si>
    <t>32385</t>
  </si>
  <si>
    <t>32002150</t>
  </si>
  <si>
    <t>32386</t>
  </si>
  <si>
    <t>32002151</t>
  </si>
  <si>
    <t>32387</t>
  </si>
  <si>
    <t>32002263</t>
  </si>
  <si>
    <t>COMPUTADOR DELL OPTIPLEX/VOSTRO I3 4GB SS256G W10P</t>
  </si>
  <si>
    <t>HCWWZQ3</t>
  </si>
  <si>
    <t>32002378</t>
  </si>
  <si>
    <t>8820</t>
  </si>
  <si>
    <t>938QPP3</t>
  </si>
  <si>
    <t>32002404</t>
  </si>
  <si>
    <t>8881</t>
  </si>
  <si>
    <t>32002405</t>
  </si>
  <si>
    <t>8882</t>
  </si>
  <si>
    <t>32002406</t>
  </si>
  <si>
    <t>8883</t>
  </si>
  <si>
    <t>32002507</t>
  </si>
  <si>
    <t>NOTEBOOK DELL 15,6" I5 4GB MEMORIA 1TB</t>
  </si>
  <si>
    <t>8836</t>
  </si>
  <si>
    <t>9TQWZQ3</t>
  </si>
  <si>
    <t>32002508</t>
  </si>
  <si>
    <t>TV SMART LED 55" LG 4K UHD BLUETOOTH</t>
  </si>
  <si>
    <t>8849</t>
  </si>
  <si>
    <t>32002527</t>
  </si>
  <si>
    <t>COMPUTADOR DELL OPTIPLEX/VOSTRO I3 4GB HD SSD256GB</t>
  </si>
  <si>
    <t>338QPP3</t>
  </si>
  <si>
    <t>32002544</t>
  </si>
  <si>
    <t>8828</t>
  </si>
  <si>
    <t>32002573</t>
  </si>
  <si>
    <t>10355</t>
  </si>
  <si>
    <t>BYBN9Q2</t>
  </si>
  <si>
    <t>32002612</t>
  </si>
  <si>
    <t>32002637</t>
  </si>
  <si>
    <t>9S2136A03693</t>
  </si>
  <si>
    <t>32002640</t>
  </si>
  <si>
    <t>10347</t>
  </si>
  <si>
    <t>34036</t>
  </si>
  <si>
    <t>32002673</t>
  </si>
  <si>
    <t>MONITOR DELL LED 20" E2222HS</t>
  </si>
  <si>
    <t>5N3YGR3</t>
  </si>
  <si>
    <t>32002674</t>
  </si>
  <si>
    <t>MONITOR DELL LED 20"</t>
  </si>
  <si>
    <t>JRDXGR3</t>
  </si>
  <si>
    <t>32002675</t>
  </si>
  <si>
    <t>3ZQWGR3</t>
  </si>
  <si>
    <t>32002677</t>
  </si>
  <si>
    <t>34135</t>
  </si>
  <si>
    <t>32002678</t>
  </si>
  <si>
    <t>34136</t>
  </si>
  <si>
    <t>32002679</t>
  </si>
  <si>
    <t>34137</t>
  </si>
  <si>
    <t>32002703</t>
  </si>
  <si>
    <t>IMPRESSOR TERMICO ZEBRA ZD220T 203DPI</t>
  </si>
  <si>
    <t>9821</t>
  </si>
  <si>
    <t>32002704</t>
  </si>
  <si>
    <t>9886</t>
  </si>
  <si>
    <t>32002705</t>
  </si>
  <si>
    <t>9883</t>
  </si>
  <si>
    <t>32002756</t>
  </si>
  <si>
    <t>MONITOR DELL P2222H 21.5"</t>
  </si>
  <si>
    <t>JWHSHH3</t>
  </si>
  <si>
    <t>32002785</t>
  </si>
  <si>
    <t>HL3G6Z3</t>
  </si>
  <si>
    <t>32002962</t>
  </si>
  <si>
    <t>SWITCH UNIFI ENTERPRISE 48 POE SKU USW-E</t>
  </si>
  <si>
    <t>32003019</t>
  </si>
  <si>
    <t>JPB7ZM3</t>
  </si>
  <si>
    <t>32003063</t>
  </si>
  <si>
    <t>MONITOR 15.6 LCD SAMSUNG B1630N WIDE</t>
  </si>
  <si>
    <t>32003123</t>
  </si>
  <si>
    <t>32003140</t>
  </si>
  <si>
    <t>7YB6ZM3</t>
  </si>
  <si>
    <t>40000355</t>
  </si>
  <si>
    <t>LAPIDAÇÃO PISO ACABAMENTO 3.596,52M2</t>
  </si>
  <si>
    <t>20000043</t>
  </si>
  <si>
    <t>MAQUINA CORTADEIRA REBOB PERMACO ROBUSTA Nº 309</t>
  </si>
  <si>
    <t>10000379</t>
  </si>
  <si>
    <t>01-0816-03-10</t>
  </si>
  <si>
    <t>100005008</t>
  </si>
  <si>
    <t>20000065</t>
  </si>
  <si>
    <t>MAQUINA PICOTADEIRA</t>
  </si>
  <si>
    <t>10000374</t>
  </si>
  <si>
    <t>20000073</t>
  </si>
  <si>
    <t>MAQUINA CORTADEIRA REBOB STANDART 1400 UTZ Nº 311</t>
  </si>
  <si>
    <t>10000467</t>
  </si>
  <si>
    <t>337</t>
  </si>
  <si>
    <t>20000590</t>
  </si>
  <si>
    <t>MAQUINA REBOBINADEIRA JAGUAR FULL 1400MM Nº 312</t>
  </si>
  <si>
    <t>10000865</t>
  </si>
  <si>
    <t>1441</t>
  </si>
  <si>
    <t>INSTALAÇÃO MAQUINA REFILADEIRA MEGA STELL FULL AUT</t>
  </si>
  <si>
    <t>RETROFIT MAQUINA REBOBINADEIRA JAGUAR</t>
  </si>
  <si>
    <t>20000683</t>
  </si>
  <si>
    <t>MAQ. REFILADEIRA MEGA STEEL JAGUAR FULL 1400MM AUT</t>
  </si>
  <si>
    <t>10001302</t>
  </si>
  <si>
    <t>1630</t>
  </si>
  <si>
    <t>FRETE MAQ. REFILADEIRA</t>
  </si>
  <si>
    <t>20000740</t>
  </si>
  <si>
    <t>MAQ. REBOBINADEIRA JAGUAR FULL AUTOMATICA 1400MM</t>
  </si>
  <si>
    <t>10001525</t>
  </si>
  <si>
    <t>1731</t>
  </si>
  <si>
    <t>FRETE MAQ. REBOBINADEIRA JAGUAR FULL</t>
  </si>
  <si>
    <t>DESPESAS COM INSTALACAO REBOBINADEIRA JAGUAR</t>
  </si>
  <si>
    <t>21000328</t>
  </si>
  <si>
    <t>BALANCA DE PISO 100KG X 10G X 600X600 MM</t>
  </si>
  <si>
    <t>40246-12</t>
  </si>
  <si>
    <t>21000335</t>
  </si>
  <si>
    <t>3 FONTES DE ALIMENTACAO DE SAIDA UNICA 24V P/FIX.</t>
  </si>
  <si>
    <t>5 MODULOS DIGITAIS DE ENTRADA OPTOISOLADA COM 14</t>
  </si>
  <si>
    <t>4 MODULOS DE  DE DADOS, MEDIDOR DE FREQ DE 3</t>
  </si>
  <si>
    <t>21000349</t>
  </si>
  <si>
    <t>SERVO ATUADOR  EM1-C26ST-125MM</t>
  </si>
  <si>
    <t>5732</t>
  </si>
  <si>
    <t>21000409</t>
  </si>
  <si>
    <t>EQUIPAMENTO TRATAMENTO CORONA ESTAÇAO EAP 1600X8</t>
  </si>
  <si>
    <t>21000511</t>
  </si>
  <si>
    <t>CARRO HIDRAULICO LINDE M 25 C/ RODAS DE NYLON</t>
  </si>
  <si>
    <t>FRETE P/CARRO HIDRAULICO LINDE</t>
  </si>
  <si>
    <t>21000513</t>
  </si>
  <si>
    <t>EMPILHADEIRA HIDRAULICA MANUAL LM510</t>
  </si>
  <si>
    <t>21000593</t>
  </si>
  <si>
    <t>1 TUBO,1 CORPO,2 CONECTOR,4 MT MANGUEIRA TEFLON,2</t>
  </si>
  <si>
    <t>21000594</t>
  </si>
  <si>
    <t>EMPILHADEIRA HIDRULICA MANUAL LM 510</t>
  </si>
  <si>
    <t>21000595</t>
  </si>
  <si>
    <t>EIXO PNEUMATICO EPP5R 74X1225X1385 MM</t>
  </si>
  <si>
    <t>FRETE TRANSPORTE EIXO PNEUMATICO EPP5R</t>
  </si>
  <si>
    <t>21000597</t>
  </si>
  <si>
    <t>EIXO PNEUMATICO EPP5R</t>
  </si>
  <si>
    <t>21000623</t>
  </si>
  <si>
    <t>EIXO PNEUMATICO 150X1225X1385 MM</t>
  </si>
  <si>
    <t>21000652</t>
  </si>
  <si>
    <t>62 KG DE CHAPA INOX 304 1,20 X 1250 X 200 P/O</t>
  </si>
  <si>
    <t>21000657</t>
  </si>
  <si>
    <t>600 IMA CILINDRO TIPO RETMA DE NDFEB 12,7X6,35</t>
  </si>
  <si>
    <t>600 IMA RETMA DE NDFEB 25X5 MM, P/O SETOR DE</t>
  </si>
  <si>
    <t>21005657</t>
  </si>
  <si>
    <t>21005842</t>
  </si>
  <si>
    <t>RECUPERADORA REFILES SHANGHAI MOD JDFS 60</t>
  </si>
  <si>
    <t>21005843</t>
  </si>
  <si>
    <t>21006543</t>
  </si>
  <si>
    <t>MODULO PICOTADOR AG TEC 1200</t>
  </si>
  <si>
    <t>21006615</t>
  </si>
  <si>
    <t>21006616</t>
  </si>
  <si>
    <t>30004017</t>
  </si>
  <si>
    <t>CLIMATIZADOR ROTOPLAST ROTO 46 PORTATIL 220V</t>
  </si>
  <si>
    <t>151663</t>
  </si>
  <si>
    <t>30004018</t>
  </si>
  <si>
    <t>151666</t>
  </si>
  <si>
    <t>30004419</t>
  </si>
  <si>
    <t>BEBEDOURO INDUSTRIAL ACQUA GELATA PRE200E ACO INOX</t>
  </si>
  <si>
    <t>113912</t>
  </si>
  <si>
    <t>32000864</t>
  </si>
  <si>
    <t>MONITOR 18.5 LED SAMSUMG</t>
  </si>
  <si>
    <t>32000865</t>
  </si>
  <si>
    <t>32000866</t>
  </si>
  <si>
    <t>32000867</t>
  </si>
  <si>
    <t>32001052</t>
  </si>
  <si>
    <t>32001990</t>
  </si>
  <si>
    <t>31251</t>
  </si>
  <si>
    <t>32002026</t>
  </si>
  <si>
    <t>31610</t>
  </si>
  <si>
    <t>32002027</t>
  </si>
  <si>
    <t>31609</t>
  </si>
  <si>
    <t>32002028</t>
  </si>
  <si>
    <t>MONITOR PCTOP 19" LED VGA C/CABO HDMI</t>
  </si>
  <si>
    <t>32002029</t>
  </si>
  <si>
    <t>32002187</t>
  </si>
  <si>
    <t>THINPC SUPERA B2728 IZEI TINY WINDOWS 10 IOT</t>
  </si>
  <si>
    <t>32454</t>
  </si>
  <si>
    <t>32002188</t>
  </si>
  <si>
    <t>32455</t>
  </si>
  <si>
    <t>32002189</t>
  </si>
  <si>
    <t>32456</t>
  </si>
  <si>
    <t>32002200</t>
  </si>
  <si>
    <t>32528</t>
  </si>
  <si>
    <t>32002672</t>
  </si>
  <si>
    <t>JTKYGR3</t>
  </si>
  <si>
    <t>32002676</t>
  </si>
  <si>
    <t>34134</t>
  </si>
  <si>
    <t>32002702</t>
  </si>
  <si>
    <t>9881</t>
  </si>
  <si>
    <t>21004784</t>
  </si>
  <si>
    <t>EIXO EXPANSIVO 6 POLEGADAS CONTINUAS EM BORRACHA</t>
  </si>
  <si>
    <t>21005812</t>
  </si>
  <si>
    <t>UNIDADE DE MICROPERFURAÇÃO A QUENTE/FRIO</t>
  </si>
  <si>
    <t>40000374</t>
  </si>
  <si>
    <t>20000075</t>
  </si>
  <si>
    <t>LAMINADORA COMEXI NEXUS ONE PLUS EVO Nº 402</t>
  </si>
  <si>
    <t>10000466</t>
  </si>
  <si>
    <t>MBJ001700</t>
  </si>
  <si>
    <t>100005011</t>
  </si>
  <si>
    <t>FRETE TRANSPORTE LAMINADORA</t>
  </si>
  <si>
    <t>MATERIAIS PARA MONTAGEM DA LAMINADORA</t>
  </si>
  <si>
    <t>MAO DE OBRA SERVICO ELETRICO INSTALACAO LAMINADORA</t>
  </si>
  <si>
    <t>21000490</t>
  </si>
  <si>
    <t>DE 1 VIGA U 4 LAMINADA 1  ALMA 6 MTS P/O SETOR DE</t>
  </si>
  <si>
    <t>21006447</t>
  </si>
  <si>
    <t>9796</t>
  </si>
  <si>
    <t>FRETE P/CAMISA LAMIFLEX</t>
  </si>
  <si>
    <t>22000073</t>
  </si>
  <si>
    <t>CAMISA P/ LAMINAÇÃO EM POLYCOAT 78G SLEEVE</t>
  </si>
  <si>
    <t>OVBR190698</t>
  </si>
  <si>
    <t>22002271</t>
  </si>
  <si>
    <t>CAMISA DE LAMINAÇÃO</t>
  </si>
  <si>
    <t>22002272</t>
  </si>
  <si>
    <t>22002273</t>
  </si>
  <si>
    <t>22002274</t>
  </si>
  <si>
    <t>22002275</t>
  </si>
  <si>
    <t>22002276</t>
  </si>
  <si>
    <t>22002277</t>
  </si>
  <si>
    <t>22002278</t>
  </si>
  <si>
    <t>22002279</t>
  </si>
  <si>
    <t>22002453</t>
  </si>
  <si>
    <t>CILINDRO CONTRA PRESSAO P/O SETOR DE LAMINACAO</t>
  </si>
  <si>
    <t>FRETE TRANSPORTE DE CILINDRO CONTRA PRESSAO</t>
  </si>
  <si>
    <t>22002585</t>
  </si>
  <si>
    <t>22002614</t>
  </si>
  <si>
    <t>22002622</t>
  </si>
  <si>
    <t>CAMISA LAMIFLEX P/ MAQ.FLEXOTECH FINAL 145 MM</t>
  </si>
  <si>
    <t>FRETE TRANSPORTE DE 2 CAMISA LAMIFLEX</t>
  </si>
  <si>
    <t>22002675</t>
  </si>
  <si>
    <t>CILINDRO DOSADOR MAQ 1400</t>
  </si>
  <si>
    <t>FRETE TRANSPORTE CILINDRO</t>
  </si>
  <si>
    <t>22002830</t>
  </si>
  <si>
    <t>22003047</t>
  </si>
  <si>
    <t>10 CAMISAS SPEEDWELL POLYCOT 62G 80SH 140X165X1315</t>
  </si>
  <si>
    <t>22004749</t>
  </si>
  <si>
    <t>CAMISA DE LAMINACAO 165X137,06X137,39X1315X14X0,68</t>
  </si>
  <si>
    <t>2406-60644L</t>
  </si>
  <si>
    <t>22004894</t>
  </si>
  <si>
    <t>2407-60904L</t>
  </si>
  <si>
    <t>22004899</t>
  </si>
  <si>
    <t>22004900</t>
  </si>
  <si>
    <t>22004902</t>
  </si>
  <si>
    <t>22005136</t>
  </si>
  <si>
    <t>CAMISA DE LAMINACAO 137,062X137,39MM</t>
  </si>
  <si>
    <t>240862504C6</t>
  </si>
  <si>
    <t>FRETE CAMISA DE LAMINACAO</t>
  </si>
  <si>
    <t>22005137</t>
  </si>
  <si>
    <t>240862504C1</t>
  </si>
  <si>
    <t>30000232</t>
  </si>
  <si>
    <t>REFRIGERADOR CONSUL 280L</t>
  </si>
  <si>
    <t>32000868</t>
  </si>
  <si>
    <t>AMPLIAÇÃO BARRACÃO P/ APARAS 11000027</t>
  </si>
  <si>
    <t>100005017</t>
  </si>
  <si>
    <t>21000340</t>
  </si>
  <si>
    <t>CASTANHA EXP. PNEUMATICA CORPO ALUMINIO FUND. 6</t>
  </si>
  <si>
    <t>CASTANHA EXP. PNEUMATICA CORPO EM ALUMINIO GARRA</t>
  </si>
  <si>
    <t>21005679</t>
  </si>
  <si>
    <t>EQUIPAMENTO PARA CORTAR TUBETES MOD DRA-P1500</t>
  </si>
  <si>
    <t>21005798</t>
  </si>
  <si>
    <t>220 MTS DE CABO REI, 30 PC DE TERMINAL, 10 BR</t>
  </si>
  <si>
    <t>DETECTOR DE METAIS DB 100 DIGITAL 800X250 P/O</t>
  </si>
  <si>
    <t>DE SERVICO EM MOTOR ELETRICO 185 KW 4P 380V P/O</t>
  </si>
  <si>
    <t>21005799</t>
  </si>
  <si>
    <t>CORTADOR SERRALHEIRO CS100</t>
  </si>
  <si>
    <t>21006825</t>
  </si>
  <si>
    <t>PALETEIRA MANUAL CATARINENSE PWH25-II 2500KG</t>
  </si>
  <si>
    <t>26267-126</t>
  </si>
  <si>
    <t>FRETE PALETEIRA MANUAL CATARINENSE</t>
  </si>
  <si>
    <t>30001673</t>
  </si>
  <si>
    <t>VENTILADOR DE PAREDE VENEZA PLUS 70CM SOLASTER</t>
  </si>
  <si>
    <t>30003784</t>
  </si>
  <si>
    <t>ROCADEIRA GAS. 51,6CC TOYAMA TBC52X GII</t>
  </si>
  <si>
    <t>31000267</t>
  </si>
  <si>
    <t>TRANSPALETEIRA ELETRICA STILL NACIONAL EGU 20 C</t>
  </si>
  <si>
    <t>348104M03147</t>
  </si>
  <si>
    <t>32002634</t>
  </si>
  <si>
    <t>9S2117A52624</t>
  </si>
  <si>
    <t>11000105</t>
  </si>
  <si>
    <t>SERVIÇO MÃO DE OBRA P/ AMPLIAÇÃO PISO MAQ. AMONIA</t>
  </si>
  <si>
    <t>100005019</t>
  </si>
  <si>
    <t>21000352</t>
  </si>
  <si>
    <t>COMPRESSOR AR ESTAC. ATLAS COPCO GA90 VSD FF 125CV</t>
  </si>
  <si>
    <t>10000469</t>
  </si>
  <si>
    <t>BRP087418</t>
  </si>
  <si>
    <t>21000374</t>
  </si>
  <si>
    <t>BOMBA BC-23R 2 TRIFASICO 15CV 60HZ</t>
  </si>
  <si>
    <t>21000475</t>
  </si>
  <si>
    <t>DE 60 MT DE CABOS MULTIF 0,6/1KV  PP 4 X 2,5 MM</t>
  </si>
  <si>
    <t>DE 150 MT DE CABOS MULTIF 0,6/1KV 4X16MM</t>
  </si>
  <si>
    <t>21000606</t>
  </si>
  <si>
    <t>SECADOR DE AR POR REFRIGERACAO ATLAS COPCO</t>
  </si>
  <si>
    <t>FRETE TRANSPORTE COMPRESSOR PARAFUSO</t>
  </si>
  <si>
    <t>PARAFUSOS, TUBO E 254 KG DE PERFIL</t>
  </si>
  <si>
    <t>FRETE TRANSPORTE DE TELHA</t>
  </si>
  <si>
    <t>TELHA P/ O SETOR DE COMPRESSOR</t>
  </si>
  <si>
    <t>NIPEL, LUVAS E BUCHAS</t>
  </si>
  <si>
    <t>CABO E DISJUNTOR</t>
  </si>
  <si>
    <t>DISJUNTOR TRIPOLAR P/O SETOR DE COMPRESSOR</t>
  </si>
  <si>
    <t>TUBO DE ACO CARBONO E UNIAO GALVANIZADA</t>
  </si>
  <si>
    <t>FRETE P/TRANSPORTE DE TERMINAL</t>
  </si>
  <si>
    <t>TERMINAIS TUBULARES E 180M DE CABO</t>
  </si>
  <si>
    <t>KIT FILTRO DE AR, SEPARADOR DE AR E OUTROS</t>
  </si>
  <si>
    <t>21000617</t>
  </si>
  <si>
    <t>BALANCA ELETRONICA TOLEDO PRIX-III 30KGS S/RS</t>
  </si>
  <si>
    <t>21002551</t>
  </si>
  <si>
    <t>SECADOR AR COMPRIMIDO FX16 380V 3PH60 ATLAS COPCO</t>
  </si>
  <si>
    <t>21004088</t>
  </si>
  <si>
    <t>CENTRAL BOMB SKID 4X4POL MOTOR 12,5CV</t>
  </si>
  <si>
    <t>21004089</t>
  </si>
  <si>
    <t>CENTRAL BOMB SKID 4X4POL MOTOR 15CV</t>
  </si>
  <si>
    <t>21006448</t>
  </si>
  <si>
    <t>COMPRESSOR DE AR GA90VSD AFF ATLAS COPCO MKVG</t>
  </si>
  <si>
    <t>10001544</t>
  </si>
  <si>
    <t>BQR140526</t>
  </si>
  <si>
    <t>ADEQUACAO E INSTALACAO COMPRESSOR AR</t>
  </si>
  <si>
    <t>21006522</t>
  </si>
  <si>
    <t>TORRE DE RESFRIAMENTO HD 2507 GRT I 50M3/H</t>
  </si>
  <si>
    <t>HD-7218</t>
  </si>
  <si>
    <t>FRETE TORRE DE RESFRIAMENTO</t>
  </si>
  <si>
    <t>21000322</t>
  </si>
  <si>
    <t>FURADEIRA IND (1/2) IMPAC GSB 16</t>
  </si>
  <si>
    <t>100005020</t>
  </si>
  <si>
    <t>21000329</t>
  </si>
  <si>
    <t>MAC 1020 16CR BOMBA PROPULSORA P BALDE 20 KG</t>
  </si>
  <si>
    <t>21000358</t>
  </si>
  <si>
    <t>COMPARADOR DIAM. INT 50-150</t>
  </si>
  <si>
    <t>5735</t>
  </si>
  <si>
    <t>PAQUIMETRO 300MM 12" 0,02</t>
  </si>
  <si>
    <t>5736</t>
  </si>
  <si>
    <t>5737</t>
  </si>
  <si>
    <t>21000370</t>
  </si>
  <si>
    <t>ANEMOMETRO DIGITAL IMPAC IP-720</t>
  </si>
  <si>
    <t>7455</t>
  </si>
  <si>
    <t>21000377</t>
  </si>
  <si>
    <t>MACACO HIDRAULICO MOVEL TIPO UNHA</t>
  </si>
  <si>
    <t>21000378</t>
  </si>
  <si>
    <t>FURADEIRA BOSCH 1/2 GSB 20RE 2</t>
  </si>
  <si>
    <t>7464</t>
  </si>
  <si>
    <t>21000379</t>
  </si>
  <si>
    <t>ESMERILHADEIRA ANG 7POL D28491-B2</t>
  </si>
  <si>
    <t>21000383</t>
  </si>
  <si>
    <t>ESMERILHADEIRA 7 POLEGADAS</t>
  </si>
  <si>
    <t>7465</t>
  </si>
  <si>
    <t>21000422</t>
  </si>
  <si>
    <t>GUINCHO HIDRAULICO</t>
  </si>
  <si>
    <t>21000428</t>
  </si>
  <si>
    <t>CONJUNTO MIG 316A SMASH16</t>
  </si>
  <si>
    <t>21000550</t>
  </si>
  <si>
    <t>SERRA CIRCULAR 7 1/4 DW352-B2</t>
  </si>
  <si>
    <t>21000586</t>
  </si>
  <si>
    <t>FURADEIRA BOSCH INDUSTRIAL GSB20</t>
  </si>
  <si>
    <t>21000608</t>
  </si>
  <si>
    <t>SERRA FITA MANROD MR 101 220 V 60HZ</t>
  </si>
  <si>
    <t>FRETE P/ TRANSPORTE MAQ.SERRA FITA MANROD MR 101</t>
  </si>
  <si>
    <t>21000651</t>
  </si>
  <si>
    <t>ESMERILHADEIRA INDUSTRIAL 72.100W GWS 21-180 BOSCH</t>
  </si>
  <si>
    <t>21000659</t>
  </si>
  <si>
    <t>TORQUIMETRO 3/4 ESTALO 14 A 80 KG MT-18717</t>
  </si>
  <si>
    <t>ESCADA FIBRA 14 DE GR X 4,40</t>
  </si>
  <si>
    <t>21000691</t>
  </si>
  <si>
    <t>SERRA TIC TIC 1589</t>
  </si>
  <si>
    <t>21000698</t>
  </si>
  <si>
    <t>TORNO INVERSOR SOLDA LHN 220I PLUS</t>
  </si>
  <si>
    <t>FRETE TORNO INVERSOR SOLDA LHN 220I PLUS</t>
  </si>
  <si>
    <t>INVERSOR SOLDA LHN 220I PLUS</t>
  </si>
  <si>
    <t>21003941</t>
  </si>
  <si>
    <t>KIT ANALISADOR ELETRICO DMI T5T 88ES 600A</t>
  </si>
  <si>
    <t>21005790</t>
  </si>
  <si>
    <t>FRESADEIRA UNIV ATLAS FHA40</t>
  </si>
  <si>
    <t>FRETE P/TRANSP DE 1 FRESA,1 DIGITAL 3</t>
  </si>
  <si>
    <t>CABECOTE, CONE, PASTILHA, FREZA P/ MAQ.FRESADORA</t>
  </si>
  <si>
    <t>PECAS PARA MAQUINA FREZADEIRA</t>
  </si>
  <si>
    <t>21006608</t>
  </si>
  <si>
    <t>ESMERILADEIRA BOSCH GWS21/180</t>
  </si>
  <si>
    <t>21006811</t>
  </si>
  <si>
    <t>INVERSOR DE SOLDA LHN 242I PLUS ESAB</t>
  </si>
  <si>
    <t>HA94623511430</t>
  </si>
  <si>
    <t>30000132</t>
  </si>
  <si>
    <t>ARQUIVO DE ACO 4 GAVETAS P/ PASTA 1,335X0,685X047</t>
  </si>
  <si>
    <t>5621</t>
  </si>
  <si>
    <t>30000136</t>
  </si>
  <si>
    <t>ASPIRADOR DE PO KARCHER AGUA/PO 220V 1200W</t>
  </si>
  <si>
    <t>7445</t>
  </si>
  <si>
    <t>30000226</t>
  </si>
  <si>
    <t>ARQUIVO ACO 4 GAVETAS</t>
  </si>
  <si>
    <t>30000239</t>
  </si>
  <si>
    <t>AR CONDICIONADO SPLIT HITACHI WALL 9.000 BTU</t>
  </si>
  <si>
    <t>30001540</t>
  </si>
  <si>
    <t>ASPIRADOR DE AGUA / PO S/ PROF 220V 1200W KARCHER</t>
  </si>
  <si>
    <t>10383</t>
  </si>
  <si>
    <t>30001694</t>
  </si>
  <si>
    <t>AR CONDICIONADO SPLIT INT/EXT FUJITSU 12000 BTU</t>
  </si>
  <si>
    <t>30001697</t>
  </si>
  <si>
    <t>LAVADORA STIHL RE 143 4768-012-4507</t>
  </si>
  <si>
    <t>30001850</t>
  </si>
  <si>
    <t>MAQUINA DE SOLDA VULCANO MIG 360 MARCA: BALMER</t>
  </si>
  <si>
    <t>30002247</t>
  </si>
  <si>
    <t>LAVADORA ALTA PRESSAO JACTOCLEAN J6000 220V 1000W</t>
  </si>
  <si>
    <t>30002262</t>
  </si>
  <si>
    <t>30002263</t>
  </si>
  <si>
    <t>30002265</t>
  </si>
  <si>
    <t>RACK DESMON 19"X40U 600X800MM PT</t>
  </si>
  <si>
    <t>30003381</t>
  </si>
  <si>
    <t>AR CONDICIONADO FRIO INVERTER FUJITSU 18000 BTU</t>
  </si>
  <si>
    <t>10001109</t>
  </si>
  <si>
    <t>30003521</t>
  </si>
  <si>
    <t>30003565</t>
  </si>
  <si>
    <t>LIXADEIRA INDUSTRIAL PARA TORNO METASIL</t>
  </si>
  <si>
    <t>30003718</t>
  </si>
  <si>
    <t>ESTANTE DE ACO 176X92X30CM DUPLA FLEX 30</t>
  </si>
  <si>
    <t>10333</t>
  </si>
  <si>
    <t>30003719</t>
  </si>
  <si>
    <t>10338</t>
  </si>
  <si>
    <t>30003720</t>
  </si>
  <si>
    <t>10346</t>
  </si>
  <si>
    <t>30003721</t>
  </si>
  <si>
    <t>10353</t>
  </si>
  <si>
    <t>30003866</t>
  </si>
  <si>
    <t>10001357</t>
  </si>
  <si>
    <t>127520</t>
  </si>
  <si>
    <t>30003898</t>
  </si>
  <si>
    <t>ESTANTE DE ACO 176X92X30 CM DUPLA FLEX 30</t>
  </si>
  <si>
    <t>10381</t>
  </si>
  <si>
    <t>30003899</t>
  </si>
  <si>
    <t>10391</t>
  </si>
  <si>
    <t>30003900</t>
  </si>
  <si>
    <t>10394</t>
  </si>
  <si>
    <t>30003924</t>
  </si>
  <si>
    <t>LAVADORA DE ALTA PRESSAO JACTO J72 /15 INDUSTRIAL</t>
  </si>
  <si>
    <t>30003951</t>
  </si>
  <si>
    <t>CADEIRA UNIVERSITARIA EM POLIPROPILENO PRETO</t>
  </si>
  <si>
    <t>9817</t>
  </si>
  <si>
    <t>30003952</t>
  </si>
  <si>
    <t>9816</t>
  </si>
  <si>
    <t>30003953</t>
  </si>
  <si>
    <t>9809</t>
  </si>
  <si>
    <t>30003954</t>
  </si>
  <si>
    <t>9807</t>
  </si>
  <si>
    <t>30003955</t>
  </si>
  <si>
    <t>9808</t>
  </si>
  <si>
    <t>30003956</t>
  </si>
  <si>
    <t>9806</t>
  </si>
  <si>
    <t>30003957</t>
  </si>
  <si>
    <t>9804</t>
  </si>
  <si>
    <t>30003958</t>
  </si>
  <si>
    <t>9802</t>
  </si>
  <si>
    <t>30003959</t>
  </si>
  <si>
    <t>9803</t>
  </si>
  <si>
    <t>30003960</t>
  </si>
  <si>
    <t>9805</t>
  </si>
  <si>
    <t>30003961</t>
  </si>
  <si>
    <t>9815</t>
  </si>
  <si>
    <t>30003962</t>
  </si>
  <si>
    <t>9819</t>
  </si>
  <si>
    <t>30003963</t>
  </si>
  <si>
    <t>9818</t>
  </si>
  <si>
    <t>30003964</t>
  </si>
  <si>
    <t>9814</t>
  </si>
  <si>
    <t>30003965</t>
  </si>
  <si>
    <t>9811</t>
  </si>
  <si>
    <t>30003966</t>
  </si>
  <si>
    <t>9813</t>
  </si>
  <si>
    <t>30003967</t>
  </si>
  <si>
    <t>9812</t>
  </si>
  <si>
    <t>30003968</t>
  </si>
  <si>
    <t>9810</t>
  </si>
  <si>
    <t>30003969</t>
  </si>
  <si>
    <t>9896</t>
  </si>
  <si>
    <t>30003970</t>
  </si>
  <si>
    <t>9801</t>
  </si>
  <si>
    <t>30004012</t>
  </si>
  <si>
    <t>10001555</t>
  </si>
  <si>
    <t>B000503</t>
  </si>
  <si>
    <t>32000056</t>
  </si>
  <si>
    <t>CAMERA INTELBRAS INFRA VM 350IR - 50MT 6MM CZ</t>
  </si>
  <si>
    <t>32000073</t>
  </si>
  <si>
    <t>MONITOR 18.5 LED LG WIDE E1941S</t>
  </si>
  <si>
    <t>108SPRW00D526</t>
  </si>
  <si>
    <t>32000137</t>
  </si>
  <si>
    <t>COMPUTADOR NEO PC CELERON</t>
  </si>
  <si>
    <t>32000168</t>
  </si>
  <si>
    <t>NOTEBOOK ACER 3050</t>
  </si>
  <si>
    <t>32000188</t>
  </si>
  <si>
    <t>SERVIDOR IBM X SERIES X 3200</t>
  </si>
  <si>
    <t>32000990</t>
  </si>
  <si>
    <t>NOTEBOOK DELL 14, INTEL CORE I3 4GB MEMORIA HD 500</t>
  </si>
  <si>
    <t>32001054</t>
  </si>
  <si>
    <t>COMPUTADOR XPS 8920 INTEL CORE I7 , 16GB WIN 10</t>
  </si>
  <si>
    <t>32001393</t>
  </si>
  <si>
    <t>5L0MSY2</t>
  </si>
  <si>
    <t>32001394</t>
  </si>
  <si>
    <t>1TKQRR2</t>
  </si>
  <si>
    <t>32001659</t>
  </si>
  <si>
    <t>SWITCH ARUBA 2540 48G (JL357A) POE 4SFP</t>
  </si>
  <si>
    <t>CN8AJYL2Y8</t>
  </si>
  <si>
    <t>32002191</t>
  </si>
  <si>
    <t>27XMMD3</t>
  </si>
  <si>
    <t>32002192</t>
  </si>
  <si>
    <t>MONITOR LED 18,5" DELL E1920H</t>
  </si>
  <si>
    <t>34R9D83</t>
  </si>
  <si>
    <t>32002339</t>
  </si>
  <si>
    <t>NOTEBOOK DELL 14 i3 4GB HD SSD256GB W10P HDMI</t>
  </si>
  <si>
    <t>8853</t>
  </si>
  <si>
    <t>98MN2N3</t>
  </si>
  <si>
    <t>32002367</t>
  </si>
  <si>
    <t>10288</t>
  </si>
  <si>
    <t>32002368</t>
  </si>
  <si>
    <t>10258</t>
  </si>
  <si>
    <t>32002369</t>
  </si>
  <si>
    <t>10211</t>
  </si>
  <si>
    <t>CLV04N3</t>
  </si>
  <si>
    <t>32002545</t>
  </si>
  <si>
    <t>8863</t>
  </si>
  <si>
    <t>32002721</t>
  </si>
  <si>
    <t>32002737</t>
  </si>
  <si>
    <t>NOTEBOOK DELL INSPIRION 15 I5 16GB SSD512GB</t>
  </si>
  <si>
    <t>46J4VX3</t>
  </si>
  <si>
    <t>32002815</t>
  </si>
  <si>
    <t>MONITOR 21.5 LED LG E2241S WIDE FULL HD</t>
  </si>
  <si>
    <t>109SPVH10775</t>
  </si>
  <si>
    <t>32002909</t>
  </si>
  <si>
    <t>CATRACA FIT 4 TOPDATA COM LEITOR DE BIOMETRIA LFD</t>
  </si>
  <si>
    <t>208008860</t>
  </si>
  <si>
    <t>32002963</t>
  </si>
  <si>
    <t>TV SMART 65" LG UHD 4K UR8750</t>
  </si>
  <si>
    <t>32002979</t>
  </si>
  <si>
    <t>CNP2924</t>
  </si>
  <si>
    <t>32003064</t>
  </si>
  <si>
    <t>MONITOR 15" LCD LG</t>
  </si>
  <si>
    <t>32003139</t>
  </si>
  <si>
    <t>58WN8Q3</t>
  </si>
  <si>
    <t>11000012</t>
  </si>
  <si>
    <t>AMPLIACAO DA REDE DE HIDRANTE</t>
  </si>
  <si>
    <t>100005022</t>
  </si>
  <si>
    <t>ADAPTADOR STORZ 2.1/2X2.1/2 INCENDIO</t>
  </si>
  <si>
    <t>BUCHA GALVANIZADA 3X2.1/2 TUPY</t>
  </si>
  <si>
    <t>CAIXA EXTERNA 120X90X30 INCENDIO</t>
  </si>
  <si>
    <t>TE HIDRANTE GALV 4X2.1/2 TUPY</t>
  </si>
  <si>
    <t>VALVULA GALVANIZADA GL ANG F97 45X2.1/2 MIPEL</t>
  </si>
  <si>
    <t>ADAPTADOR STORZ 2.1/2X1.1/2 INCENDIO</t>
  </si>
  <si>
    <t>ESGUICHO CONICO 1.1.1/2 INCENDIO</t>
  </si>
  <si>
    <t>TUBO GALVANIZADO DIN 2440 PESADO 3 APOLO</t>
  </si>
  <si>
    <t>MANGUEIRA POLIESTER 1.1/2X15M INCENDIO</t>
  </si>
  <si>
    <t>11000097</t>
  </si>
  <si>
    <t>CONSTRUCAO DE UMA SALA P/CONFECCAO DE CLICHES M2</t>
  </si>
  <si>
    <t>20000042</t>
  </si>
  <si>
    <t>MAQUINA THERMOFLEX MID IIV GRAVADORA CHAPAS/CLICHE</t>
  </si>
  <si>
    <t>CABO 4X16MM P/ INSTALACAO DE MAQ THERMOFLEX</t>
  </si>
  <si>
    <t>CABO CONTROLE P/ INSTALACAO MAQ THERMOFLEX</t>
  </si>
  <si>
    <t>FUSIVEIS NH T00 3NA3 E CONTALET C RS C TAMPA</t>
  </si>
  <si>
    <t>NOBREAK 15KVA/12KW MODELO CLASSIC DSP150</t>
  </si>
  <si>
    <t>MATERIAIS ELETRICOS DIVERSOS P INSTALACAO DE MAQ.</t>
  </si>
  <si>
    <t>21000634</t>
  </si>
  <si>
    <t>NOBREAK CLASSIC 075 VE:380E VS 22 0E</t>
  </si>
  <si>
    <t>21000635</t>
  </si>
  <si>
    <t>SEIS HASTE ATERRAM. PROL 2.4 MTS 06 LUVAS EMENDA</t>
  </si>
  <si>
    <t>21000639</t>
  </si>
  <si>
    <t>AR CONDICIONADO INT/EXT SPLIT CONSUL 22000BTU</t>
  </si>
  <si>
    <t>10000710</t>
  </si>
  <si>
    <t>4171</t>
  </si>
  <si>
    <t>MONTAGEM AR CONSICIONADO CONSUL 22000 BTU</t>
  </si>
  <si>
    <t>21000646</t>
  </si>
  <si>
    <t>MANDRIL PORTA CLICHE ESPECIAL DIAMETRO 95,609</t>
  </si>
  <si>
    <t>21000647</t>
  </si>
  <si>
    <t>VENTILADOR AXIAL ED 24' MOTOR 1/2</t>
  </si>
  <si>
    <t>21005833</t>
  </si>
  <si>
    <t>MAQUINA MONTADORA DE CLICHE WW COBRA 1600 ECONOMIC</t>
  </si>
  <si>
    <t>10000762</t>
  </si>
  <si>
    <t>2050 175</t>
  </si>
  <si>
    <t>RETROFIT COLADORA COBRA</t>
  </si>
  <si>
    <t>DESPESAS COMPLEMENTARES RETROFIT COLADORA COBRA</t>
  </si>
  <si>
    <t>21005841</t>
  </si>
  <si>
    <t>EXPOSITORA CONCEPT 302</t>
  </si>
  <si>
    <t>CABO 4 X 4MM P/ INSTALACAO DE MAQUINA</t>
  </si>
  <si>
    <t>SERVICO DE INSTALACAO EQUIP. CONCEPT 302</t>
  </si>
  <si>
    <t>PROCESSADORA CONCEPT 305 P/ EXPOSITORA CONCEPT 302</t>
  </si>
  <si>
    <t>LAMPADA PHILLIPS G13 ACTI 10 C/ REFLETOR</t>
  </si>
  <si>
    <t>30000151</t>
  </si>
  <si>
    <t>BEBEDOURO DE PRESSAO INOX PLI 220V BELLIERE</t>
  </si>
  <si>
    <t>7532</t>
  </si>
  <si>
    <t>30000199</t>
  </si>
  <si>
    <t>ARMARIO P/ CLICHERIA</t>
  </si>
  <si>
    <t>30000216</t>
  </si>
  <si>
    <t>ARMARIO 240X125X100CM 20 GAVETAS</t>
  </si>
  <si>
    <t>30000222</t>
  </si>
  <si>
    <t>DE 98 PERFIL EPL, ETL, EC, 4 TUBOS, E 65 PLACAS</t>
  </si>
  <si>
    <t>30000234</t>
  </si>
  <si>
    <t>CADEIRA SECRETARIA EXECUTIVA GIRATORIA</t>
  </si>
  <si>
    <t>30000237</t>
  </si>
  <si>
    <t>MESA</t>
  </si>
  <si>
    <t>30000241</t>
  </si>
  <si>
    <t>ARMARIO PARA CLICHERIA DA FABRICA</t>
  </si>
  <si>
    <t>30000243</t>
  </si>
  <si>
    <t>ARMARIO ARQUIVO PARA CLICHES</t>
  </si>
  <si>
    <t>30001674</t>
  </si>
  <si>
    <t>MESA REFILADORA DE CLICHES-GUILHOTINA</t>
  </si>
  <si>
    <t>30003889</t>
  </si>
  <si>
    <t>AR CONDICIONADO INVERTER Q/F FUJITSU 24000 BTU</t>
  </si>
  <si>
    <t>10001356</t>
  </si>
  <si>
    <t>B013102/E012454</t>
  </si>
  <si>
    <t>30004200</t>
  </si>
  <si>
    <t>MESA ESTACAO DE TRABALHO 1,50X1,50 COM GAVETEIRO</t>
  </si>
  <si>
    <t>30004201</t>
  </si>
  <si>
    <t>30004202</t>
  </si>
  <si>
    <t>30004203</t>
  </si>
  <si>
    <t>MESA PARA IMPRESSORA</t>
  </si>
  <si>
    <t>30004204</t>
  </si>
  <si>
    <t>30004205</t>
  </si>
  <si>
    <t>30004206</t>
  </si>
  <si>
    <t>30004207</t>
  </si>
  <si>
    <t>ARMARIO</t>
  </si>
  <si>
    <t>32000081</t>
  </si>
  <si>
    <t>CAMERA USB MICROSCOPIO UM-02</t>
  </si>
  <si>
    <t>32000088</t>
  </si>
  <si>
    <t>MICROCOMPUTADOR I7 2600 3.4GH HD500GB VGA1GH 6450</t>
  </si>
  <si>
    <t>32002760</t>
  </si>
  <si>
    <t>32002761</t>
  </si>
  <si>
    <t>11000141</t>
  </si>
  <si>
    <t>REFEITORIO 352,18 M2 / VESTIARIOS / GUARITA</t>
  </si>
  <si>
    <t>100005024</t>
  </si>
  <si>
    <t>30000138</t>
  </si>
  <si>
    <t>FREEZER METALFIO 220V 419L BRANCO</t>
  </si>
  <si>
    <t>7458</t>
  </si>
  <si>
    <t>30000225</t>
  </si>
  <si>
    <t>BEBEDOURO BAG 40 P/ REFEITORIO</t>
  </si>
  <si>
    <t>30001260</t>
  </si>
  <si>
    <t>AR CONDICIONADO SPLIT CARRIER 58000 BTU</t>
  </si>
  <si>
    <t>10004</t>
  </si>
  <si>
    <t>30001261</t>
  </si>
  <si>
    <t>10003</t>
  </si>
  <si>
    <t>30001266</t>
  </si>
  <si>
    <t>MESA EM AÇO INOX 02 CUBAS 70X50X40</t>
  </si>
  <si>
    <t>30001267</t>
  </si>
  <si>
    <t>30001268</t>
  </si>
  <si>
    <t>MESA EM AÇO INOX 01 CUBA 2050X700X900</t>
  </si>
  <si>
    <t>30001269</t>
  </si>
  <si>
    <t>MESA EM AÇO INOX LISA 700X700X700</t>
  </si>
  <si>
    <t>30001270</t>
  </si>
  <si>
    <t>30001271</t>
  </si>
  <si>
    <t>MESA EM AÇO INOX LISA 1500X700X900 C/ PRATELEIRA</t>
  </si>
  <si>
    <t>30001272</t>
  </si>
  <si>
    <t>MESA EM AÇO INOX 01 CUBA 70X50X40</t>
  </si>
  <si>
    <t>30001273</t>
  </si>
  <si>
    <t>MESA EM AÇO INOX C/ GAVETA 700X700X500</t>
  </si>
  <si>
    <t>30001274</t>
  </si>
  <si>
    <t>MESA EM AÇO INOX 01 CUBA 50X40X20</t>
  </si>
  <si>
    <t>30001275</t>
  </si>
  <si>
    <t>MESA EM AÇO INOX LISA 1500X600X900</t>
  </si>
  <si>
    <t>30001276</t>
  </si>
  <si>
    <t>30001277</t>
  </si>
  <si>
    <t>MESA EM AÇO INOX 01 FUNIL CHAPA 2850X600X900</t>
  </si>
  <si>
    <t>30001278</t>
  </si>
  <si>
    <t>MULTIGUINCHE 3 MODULOS CHAPA 1.5</t>
  </si>
  <si>
    <t>30001279</t>
  </si>
  <si>
    <t>TANQUE INOX CHAPA 1.5 550X450X230</t>
  </si>
  <si>
    <t>30001280</t>
  </si>
  <si>
    <t>PIA DE ASSEPSIA INOX CHAPA 500X500 C/ TORNEIRA</t>
  </si>
  <si>
    <t>30001281</t>
  </si>
  <si>
    <t>30001362</t>
  </si>
  <si>
    <t>COIFA P/ REFEITORIO</t>
  </si>
  <si>
    <t>30001363</t>
  </si>
  <si>
    <t>DUTOS EM AÇO</t>
  </si>
  <si>
    <t>30001364</t>
  </si>
  <si>
    <t>EXAUSTOR EQ500M4 220</t>
  </si>
  <si>
    <t>30003781</t>
  </si>
  <si>
    <t>TV SMART LED 55" LG K4 UHD</t>
  </si>
  <si>
    <t>10360</t>
  </si>
  <si>
    <t>30003891</t>
  </si>
  <si>
    <t>AR CONDICIONADO SPLIT TETO SPRINGER FRIO 60000 BTU</t>
  </si>
  <si>
    <t>10001360</t>
  </si>
  <si>
    <t>30003892</t>
  </si>
  <si>
    <t>10001359</t>
  </si>
  <si>
    <t>B11726434</t>
  </si>
  <si>
    <t>30004150</t>
  </si>
  <si>
    <t>AR CONDICIONADO SPLIT HW FUJITSU 12000 BTU</t>
  </si>
  <si>
    <t>10001561</t>
  </si>
  <si>
    <t>E004339/B002656</t>
  </si>
  <si>
    <t>32000050</t>
  </si>
  <si>
    <t>CATRACA ELETRONICA ACESSO/FREQUENCIA MOD. BAP</t>
  </si>
  <si>
    <t>5618</t>
  </si>
  <si>
    <t>5619</t>
  </si>
  <si>
    <t>32002534</t>
  </si>
  <si>
    <t>CATRACA FIT 4 TOPDATA LEITOR DE BIOMETRIA E BARRAS</t>
  </si>
  <si>
    <t>206003865</t>
  </si>
  <si>
    <t>32002560</t>
  </si>
  <si>
    <t>CATRACA FIT 4 TOPDATA LEITOR DE BIOMETRIA LFD</t>
  </si>
  <si>
    <t>206004084</t>
  </si>
  <si>
    <t>11000052</t>
  </si>
  <si>
    <t>LAJE TRELICADA PARA PATEO DA FABRICA</t>
  </si>
  <si>
    <t>100005025</t>
  </si>
  <si>
    <t>11000054</t>
  </si>
  <si>
    <t>TIJOLAO,AREIA GROSSA,AREIA FINA,CIMENTO,SUPER</t>
  </si>
  <si>
    <t>11000058</t>
  </si>
  <si>
    <t>SACO DE CIMENTO, TIJOLINHO, TIJOLO E AREIA</t>
  </si>
  <si>
    <t>11000083</t>
  </si>
  <si>
    <t>54,60 MT DE CABOS DE ACO, 04 UN DE TRAVA GRIPE,</t>
  </si>
  <si>
    <t>SERVICO DE FRETE P/TRANSP DE  54,60 MT DE CABOS</t>
  </si>
  <si>
    <t>11000138</t>
  </si>
  <si>
    <t>GUARITA COM AREA COBERTA E PISO 44,96M2</t>
  </si>
  <si>
    <t>30001242</t>
  </si>
  <si>
    <t>30001245</t>
  </si>
  <si>
    <t>30001851</t>
  </si>
  <si>
    <t>TV SAMSUNG 49 " FH6003G LED FULL HD DTV</t>
  </si>
  <si>
    <t>30002398</t>
  </si>
  <si>
    <t>AR CONDICIONADO FRIO SPLIT HW FUJITSU 12000 BTU</t>
  </si>
  <si>
    <t>AOBG12JMCAE049027</t>
  </si>
  <si>
    <t>30002573</t>
  </si>
  <si>
    <t>CADEIRA DE CAIXA EXECUTIVA , ARANHA METAL FIXA</t>
  </si>
  <si>
    <t>30002574</t>
  </si>
  <si>
    <t>CADEIRA DE CAIXA EXECUTIVA  ARANHA METAL GIRATORIA</t>
  </si>
  <si>
    <t>30003533</t>
  </si>
  <si>
    <t>AR CONDICIONADO INT/EXT FRIO FUJITSU 12000BTUS</t>
  </si>
  <si>
    <t>8811</t>
  </si>
  <si>
    <t>30004420</t>
  </si>
  <si>
    <t>CADEIRA CAIXA EXECUTIVA C/ BRACO T E APOIO P/ PES</t>
  </si>
  <si>
    <t>9820</t>
  </si>
  <si>
    <t>32000889</t>
  </si>
  <si>
    <t>CAMERA IP VIP S3120 LENTE 3,6 MM 20 MTS</t>
  </si>
  <si>
    <t>32000890</t>
  </si>
  <si>
    <t>32000891</t>
  </si>
  <si>
    <t>32000892</t>
  </si>
  <si>
    <t>32001073</t>
  </si>
  <si>
    <t>COMPUTADOR DELL VOSTRO 3268 MEMORIA DDR3 8GB HD</t>
  </si>
  <si>
    <t>DH1LSL2</t>
  </si>
  <si>
    <t>32001368</t>
  </si>
  <si>
    <t>8WZZ9X2</t>
  </si>
  <si>
    <t>32001369</t>
  </si>
  <si>
    <t>H4FQRR2</t>
  </si>
  <si>
    <t>11000015</t>
  </si>
  <si>
    <t>PERFIL U 19X100X19MM PRE X PRIM</t>
  </si>
  <si>
    <t>100005026</t>
  </si>
  <si>
    <t>PAINEL ACO ISOJOINT 2F 100MM</t>
  </si>
  <si>
    <t>FORRO PVC GERMINADO 200X07 CCP</t>
  </si>
  <si>
    <t>SERVICO ELETRICOS EM ILUMINACAO, P/AMPLIACAO DO</t>
  </si>
  <si>
    <t>SERVICOS ELETRONICOS</t>
  </si>
  <si>
    <t>ARRUELA LISA ZI 1/4</t>
  </si>
  <si>
    <t>PARAFUSO LENT MQ 1/4 X 1/2 CISER</t>
  </si>
  <si>
    <t>DISJUSTOR MONO C25A 5SX1 125-7 SIEMENS</t>
  </si>
  <si>
    <t>CABO UTP CAT.5E CM (RETARDANTE A CHAMA) AZ</t>
  </si>
  <si>
    <t>REATOR ELETRONICO HO 2X110W 220V</t>
  </si>
  <si>
    <t>LAMPADA FLUOR 110W 220V LD PLUS</t>
  </si>
  <si>
    <t>CURVA HOR PERFILADO 38X38 MM 90 CH18</t>
  </si>
  <si>
    <t>ELETRODUTO PVC CZ LEVE 3/4 TLC-15</t>
  </si>
  <si>
    <t>FITA ISOLANTE 19MM X 20MM PRETA</t>
  </si>
  <si>
    <t>TOMADA SISTEMA RJ45 345-EN</t>
  </si>
  <si>
    <t>INTERRUPTOR SIMP 2 TC REALE 807-ES</t>
  </si>
  <si>
    <t>CONDULETE PVC 3/4</t>
  </si>
  <si>
    <t>CONDULETE PVC 3/4 T</t>
  </si>
  <si>
    <t>EMENDA INTERNA T PERFILADO 38X38 GF</t>
  </si>
  <si>
    <t>SUPORTE LONGO PERFILADO 38X38MM GE</t>
  </si>
  <si>
    <t>CABO 4X10 PT</t>
  </si>
  <si>
    <t>CABO 1,50, 750V, FLEX PT</t>
  </si>
  <si>
    <t>ABRACADEIRA NYLON 200X4,8 (T50-R)</t>
  </si>
  <si>
    <t>EMENDA INTERNA I 38X38 PERFIL GE</t>
  </si>
  <si>
    <t>ABRACADEIRA PVC CZ 3/4 PP</t>
  </si>
  <si>
    <t>VERGALHAO ROSC 1/4X3000MM</t>
  </si>
  <si>
    <t>ELETROCALHA 50X50X3MT C PERF CH18 GF</t>
  </si>
  <si>
    <t>LUMINARIA 2X100W LABS REFL BR DIF ACRILICO</t>
  </si>
  <si>
    <t>QUADRO DISTRIBUICAO EMB 28 DJ DIN 100A</t>
  </si>
  <si>
    <t>CABO 2,50MM 750 V FLEX</t>
  </si>
  <si>
    <t>CABO 10,00MM 750V FLEX</t>
  </si>
  <si>
    <t>PORCA SEXT 1/4</t>
  </si>
  <si>
    <t>TOMADA VERTICAL 2P</t>
  </si>
  <si>
    <t>LUMINARIA 2X54W FSCP REFL BR DIF POLICARB</t>
  </si>
  <si>
    <t>CHAPA ACRILICO 8.0MM</t>
  </si>
  <si>
    <t>11000096</t>
  </si>
  <si>
    <t>BARRACAO PARA DEPOSITO DE POLIETILENO 682,50 M2</t>
  </si>
  <si>
    <t>FITA VEDA ROSCA 18 X 50 E TINTA</t>
  </si>
  <si>
    <t>MATERIAIS HIDRAULICOS DIVERSOS USADO NA CONSTRUCAO</t>
  </si>
  <si>
    <t>NIPLE GALVANIZADO 3 E COTOVELO GALVANIZADO 45X3</t>
  </si>
  <si>
    <t>11000151</t>
  </si>
  <si>
    <t>CONSTRUÇÃO E MODIFICAÇÃO ALMOXARIFADO</t>
  </si>
  <si>
    <t>BARRACAO P/ DESCARGA DE POLIETILENO</t>
  </si>
  <si>
    <t>11000194</t>
  </si>
  <si>
    <t>BARRACAO ALMOXARIFADO 1.500M2 C FECHAMENTO LATERAL</t>
  </si>
  <si>
    <t>21000384</t>
  </si>
  <si>
    <t>7468</t>
  </si>
  <si>
    <t>21000386</t>
  </si>
  <si>
    <t>AR CONDICIONADO SPLIT CONSUL INTERNO 22K BTU 220V</t>
  </si>
  <si>
    <t>10000717</t>
  </si>
  <si>
    <t>7470</t>
  </si>
  <si>
    <t>AR CONDICIONADO SPLIT CONSUL EXTERNO 22K BTU 220V</t>
  </si>
  <si>
    <t>21000389</t>
  </si>
  <si>
    <t>IMPRESSORA ZEBRA GC420 203DPI EPL/ZPL.8MB SRAM/8MB</t>
  </si>
  <si>
    <t>54J141800872</t>
  </si>
  <si>
    <t>21000390</t>
  </si>
  <si>
    <t>MOTOR ELETRICO TRIFASICO 75CV 60HZ</t>
  </si>
  <si>
    <t>EMPILHADEIRA HYSTER MOD H50FT/GLP 4,80M ELEVAÇÃO</t>
  </si>
  <si>
    <t>10000197</t>
  </si>
  <si>
    <t>A977Y08958H</t>
  </si>
  <si>
    <t>21000662</t>
  </si>
  <si>
    <t>ALONGADOR DE GARFO PARA EMPILHADEIRA</t>
  </si>
  <si>
    <t>21006426</t>
  </si>
  <si>
    <t>PALETEIRA MANUAL CATARINENSE PADRAO 2.5T NY</t>
  </si>
  <si>
    <t>22541-83</t>
  </si>
  <si>
    <t>FRETE PALETEIRA MANUAL CATARINENSE PADRAO 2.5T NY</t>
  </si>
  <si>
    <t>30000106</t>
  </si>
  <si>
    <t>04 ESTANTES 6X1</t>
  </si>
  <si>
    <t>30000148</t>
  </si>
  <si>
    <t>MESA SLIM 1,2X0,6 COM GAVETEIRO FIXO 2 GAVETAS OVO</t>
  </si>
  <si>
    <t>7509</t>
  </si>
  <si>
    <t>30001413</t>
  </si>
  <si>
    <t>CADEIRA GIRATORIA SECRETARIA</t>
  </si>
  <si>
    <t>10305</t>
  </si>
  <si>
    <t>30001414</t>
  </si>
  <si>
    <t>10308</t>
  </si>
  <si>
    <t>30001878</t>
  </si>
  <si>
    <t>ASPIRADOR DE PÓ BLACK DECKER AP4850</t>
  </si>
  <si>
    <t>30002424</t>
  </si>
  <si>
    <t>30003379</t>
  </si>
  <si>
    <t>PURIFICADOR AGUA SOFT STAR 2L SIST DUPLA</t>
  </si>
  <si>
    <t>30003386</t>
  </si>
  <si>
    <t>ASPIRADOR DE PÓ PROFISSIONAL PONCIANI 2800 WATTS</t>
  </si>
  <si>
    <t>30003446</t>
  </si>
  <si>
    <t>CARRINHO PLATAFORMA TELADO TIPO ABASTECEDOR 300KG</t>
  </si>
  <si>
    <t>30003471</t>
  </si>
  <si>
    <t>30003809</t>
  </si>
  <si>
    <t>VARREDEIRA KALA 40L COM 3 ESCOVAS MANUAL</t>
  </si>
  <si>
    <t>10390</t>
  </si>
  <si>
    <t>30003933</t>
  </si>
  <si>
    <t>COLETOR DE DADOS ZEBRA MC33 GUN STANDARD ANDROID 8</t>
  </si>
  <si>
    <t>2315152302</t>
  </si>
  <si>
    <t>30003934</t>
  </si>
  <si>
    <t>133660</t>
  </si>
  <si>
    <t>30004118</t>
  </si>
  <si>
    <t>ESTANTE EM ACO CINZA 198X92X30CM 06 BANDEJAS</t>
  </si>
  <si>
    <t>30004119</t>
  </si>
  <si>
    <t>30004182</t>
  </si>
  <si>
    <t>LAVADORA DE ALTA PRESSAO WAP ECO FIT 2200/1500 PSI</t>
  </si>
  <si>
    <t>31000238</t>
  </si>
  <si>
    <t>EMPILHADEIRA COMB HYSTER H50XT GLP</t>
  </si>
  <si>
    <t>10001025</t>
  </si>
  <si>
    <t>A386Y03368U</t>
  </si>
  <si>
    <t>31000244</t>
  </si>
  <si>
    <t>348104Y02193</t>
  </si>
  <si>
    <t>31000308</t>
  </si>
  <si>
    <t>TRANSPALETEIRA ELETRICA STILL EXH-SF20C 2000KG</t>
  </si>
  <si>
    <t>342062N00086</t>
  </si>
  <si>
    <t>31000309</t>
  </si>
  <si>
    <t>EMPILHADEIRA ELETRICA STILL EGV 16 5466 TRIPLEX</t>
  </si>
  <si>
    <t>10001542</t>
  </si>
  <si>
    <t>340262N02377</t>
  </si>
  <si>
    <t>31000324</t>
  </si>
  <si>
    <t>EMPILHADEIRA STILL DE CONTRAPESO ELETRICA RCE25</t>
  </si>
  <si>
    <t>05025DN5610</t>
  </si>
  <si>
    <t>31000325</t>
  </si>
  <si>
    <t>341293N00255</t>
  </si>
  <si>
    <t>32000047</t>
  </si>
  <si>
    <t>CAIXA HERMETICA 31X25X14</t>
  </si>
  <si>
    <t>PIG TAIL P/CISCO CABO RG58 TNC MONTADO MACHO</t>
  </si>
  <si>
    <t>PONTOS DE ACESSO CISCO AIR-AP1242AG-A-K9</t>
  </si>
  <si>
    <t>ANTENAS OMNI DIRECIONAL DE 2.2 DBI</t>
  </si>
  <si>
    <t>CONECTORES DE LIGACAO VIA ETHERNET</t>
  </si>
  <si>
    <t>ANTENAS OMNIDIRECIONAL 12DBI AQUARIO</t>
  </si>
  <si>
    <t>KIT CABO RGC213/10M CONECTORIZADOS TIPO N</t>
  </si>
  <si>
    <t>2 IMPRESSORA ZEBRA MZ220 PLIS CPCL USB IRDA</t>
  </si>
  <si>
    <t>BATERIA DE ION LITIO P/ IMPRESSORA ZEBRA</t>
  </si>
  <si>
    <t>CAPA PROTETORA COM ALCA DE OMBRO</t>
  </si>
  <si>
    <t>32000074</t>
  </si>
  <si>
    <t>CAMERA DIGITAL SONY S730</t>
  </si>
  <si>
    <t>32000205</t>
  </si>
  <si>
    <t>MONITOR 18,5' SAMSUNG B1930N</t>
  </si>
  <si>
    <t>32000210</t>
  </si>
  <si>
    <t>SWITCH 24 PORTAS 3 COM 10/100/1000</t>
  </si>
  <si>
    <t>32000216</t>
  </si>
  <si>
    <t>NOTEBOOK DELL 14" LED 13 4G 1TB W8</t>
  </si>
  <si>
    <t>32000217</t>
  </si>
  <si>
    <t>32001209</t>
  </si>
  <si>
    <t>3THPBS2</t>
  </si>
  <si>
    <t>32001213</t>
  </si>
  <si>
    <t>CZFB1M2</t>
  </si>
  <si>
    <t>32001339</t>
  </si>
  <si>
    <t>APARELHO WIFI UBIQUITI AP UAP-AC-PRO</t>
  </si>
  <si>
    <t>32001340</t>
  </si>
  <si>
    <t>32001619</t>
  </si>
  <si>
    <t>5G6KSY2</t>
  </si>
  <si>
    <t>32001622</t>
  </si>
  <si>
    <t>76XQRR2</t>
  </si>
  <si>
    <t>32002113</t>
  </si>
  <si>
    <t>COMPUTADOR DELL OPTIPLEX I3 4GB SSD256GB W10P</t>
  </si>
  <si>
    <t>GVTQ9D3</t>
  </si>
  <si>
    <t>32002114</t>
  </si>
  <si>
    <t>FVTQ9D3</t>
  </si>
  <si>
    <t>32002115</t>
  </si>
  <si>
    <t>JG9FS33</t>
  </si>
  <si>
    <t>32002116</t>
  </si>
  <si>
    <t>JF2FS33</t>
  </si>
  <si>
    <t>32002636</t>
  </si>
  <si>
    <t>9S2136A03695</t>
  </si>
  <si>
    <t>32002858</t>
  </si>
  <si>
    <t>NOTEBOOK DELL INSPIRION 15 5000 CORE I5 16GB</t>
  </si>
  <si>
    <t>3M4D0X3</t>
  </si>
  <si>
    <t>32002995</t>
  </si>
  <si>
    <t>BX2LWZ3</t>
  </si>
  <si>
    <t>21000601</t>
  </si>
  <si>
    <t>4 GRUPO GERADOR GERASOL GMG 500KVA MOTOR SCANIA</t>
  </si>
  <si>
    <t>100005027</t>
  </si>
  <si>
    <t>ATENUADOR DE RUIDO ENTRADA DE AR FRIO E QUENTE</t>
  </si>
  <si>
    <t>VALVULA DE BOIA FV34-150 PP 180 STM</t>
  </si>
  <si>
    <t>MANGUEIRA DE AR 300 PSI PRETA</t>
  </si>
  <si>
    <t>CABO MULTIF 0,6 1KV 4X16 MM2</t>
  </si>
  <si>
    <t>TERMINAL TUBULAR 300M E 45M SINTEMAX</t>
  </si>
  <si>
    <t>FECHADURA DE SOBREPOR COM CHAVE</t>
  </si>
  <si>
    <t>VISOR ACUSTICO COMPOSTO DE VIDROS DUPLOS</t>
  </si>
  <si>
    <t>APARELHO TRANSFORMADOR TRIFASICO 1000 KVA CLASSE</t>
  </si>
  <si>
    <t>CABO REI, PARAFUSO, PORCA, ARRUELA, FUSIVEL...</t>
  </si>
  <si>
    <t>21000612</t>
  </si>
  <si>
    <t>DISJUNTOR INDUSTRIAL TRIF 1600A 3WL1116 2CB32 1GN4</t>
  </si>
  <si>
    <t>21000613</t>
  </si>
  <si>
    <t>SERVICO MONTAGEM E INSTALACAO DE CONJUNTO ELETRICO</t>
  </si>
  <si>
    <t>21000615</t>
  </si>
  <si>
    <t>QUADRO DE FORCA</t>
  </si>
  <si>
    <t>21000624</t>
  </si>
  <si>
    <t>PAINEL DE ENERGIA - FABRICACAO INTERNA</t>
  </si>
  <si>
    <t>MATERIAIS DIVERSOS P/ELABORACAO DE UM PAINEL DE</t>
  </si>
  <si>
    <t>AQUISICAO DE MATERIAIS DIVERSOS P/ELABORACAO DE</t>
  </si>
  <si>
    <t>PAINEL MOD 1900X800X600 COM TAMPA LATERAL</t>
  </si>
  <si>
    <t>21000697</t>
  </si>
  <si>
    <t>MOTOR SCANIA MODELO DC13072A</t>
  </si>
  <si>
    <t>8727694</t>
  </si>
  <si>
    <t>REPARO E CONSERTO MOTOR SCANIA MODELO DC13072A</t>
  </si>
  <si>
    <t>21000699</t>
  </si>
  <si>
    <t>MOTOR SCANIA DC 13072A</t>
  </si>
  <si>
    <t>7549</t>
  </si>
  <si>
    <t>21002685</t>
  </si>
  <si>
    <t>PAINEL DE MEDIÇÃO DE FATURAMENTO</t>
  </si>
  <si>
    <t>10399</t>
  </si>
  <si>
    <t>MEDIDORES ION8650C</t>
  </si>
  <si>
    <t>ADEQUAÇÃO CAVALETE DE MEDIÇÃO</t>
  </si>
  <si>
    <t>30000139</t>
  </si>
  <si>
    <t>ARMARIO DE ACO 1,98X0,90X0,40 CINZA</t>
  </si>
  <si>
    <t>7457</t>
  </si>
  <si>
    <t>7456</t>
  </si>
  <si>
    <t>30001544</t>
  </si>
  <si>
    <t>MONITOR DE TENSÃO CCK 4100S</t>
  </si>
  <si>
    <t>30001613</t>
  </si>
  <si>
    <t>AR CONDICIONADO SPLIT FUJITSU FRIO HW 12000 BTU</t>
  </si>
  <si>
    <t>10380</t>
  </si>
  <si>
    <t>12000063</t>
  </si>
  <si>
    <t>SALA DE RESIDUOS P/ PATEO</t>
  </si>
  <si>
    <t>100005029</t>
  </si>
  <si>
    <t>21000392</t>
  </si>
  <si>
    <t>SOPRADOR STIHL BR420 COSTAL 42030111633</t>
  </si>
  <si>
    <t>7485</t>
  </si>
  <si>
    <t>21000399</t>
  </si>
  <si>
    <t>ROCADEIRA STHIL FS 290DM300</t>
  </si>
  <si>
    <t>7484</t>
  </si>
  <si>
    <t>21006374</t>
  </si>
  <si>
    <t>LIMPADORA DE PISO BD FLEX KARCHER FAIXA 710MM</t>
  </si>
  <si>
    <t>30001549</t>
  </si>
  <si>
    <t>LIXADEIRA EM CHAPAS 1000X1000X4000 C/ TAMPAS</t>
  </si>
  <si>
    <t>30003516</t>
  </si>
  <si>
    <t>AR CONDICIONADO INVERTER FRIO FUJITSU 12000 BTU</t>
  </si>
  <si>
    <t>10001110</t>
  </si>
  <si>
    <t>32000896</t>
  </si>
  <si>
    <t>CAMERA IP VIP S3120 LENTE 3,6 MM 20M</t>
  </si>
  <si>
    <t>32000897</t>
  </si>
  <si>
    <t>32000898</t>
  </si>
  <si>
    <t>32000899</t>
  </si>
  <si>
    <t>32000900</t>
  </si>
  <si>
    <t>32000901</t>
  </si>
  <si>
    <t>32000902</t>
  </si>
  <si>
    <t>32000903</t>
  </si>
  <si>
    <t>10000001</t>
  </si>
  <si>
    <t>MODULOS 1 A 9 AREA 46.867,04 M2</t>
  </si>
  <si>
    <t>100005031</t>
  </si>
  <si>
    <t>11000002</t>
  </si>
  <si>
    <t>CONSTRUCAO DE UM BARRACAO INDUSTRIAL</t>
  </si>
  <si>
    <t>11000004</t>
  </si>
  <si>
    <t>MAO DE OBRA P/AJUSTE TANQUE DE AGUA REFRIGERADA</t>
  </si>
  <si>
    <t>11000007</t>
  </si>
  <si>
    <t>TANQUE HORIZONTAL ACO CARBONO CAP 30.000 LTS</t>
  </si>
  <si>
    <t>11000008</t>
  </si>
  <si>
    <t>TUBO E LUVA PARA ESGOTO 150MMX6MT</t>
  </si>
  <si>
    <t>ARAME RECOZIDO 18, CIMENTO 50KG, TABUA PINUS</t>
  </si>
  <si>
    <t>SACO DE CIMENTO</t>
  </si>
  <si>
    <t>PERFIL ENRIJ 75X40X15 CH-2,00 6M</t>
  </si>
  <si>
    <t>TUBO LIG BACIA 1.1/2X25CM E SPUD IDEAL</t>
  </si>
  <si>
    <t>TANQUE ED MAR DP 1.23X62,1 PC TORNEIRA ICO JD</t>
  </si>
  <si>
    <t>TUBO SOLDAVEL, LUVA SOL 32 MM, SIFAO EXTERNO</t>
  </si>
  <si>
    <t>PERFIS ENRIJ. 150X40X15 E 150X50X17 2MM</t>
  </si>
  <si>
    <t>11000011</t>
  </si>
  <si>
    <t>SERVIÇOS DE REPARO E AMPLIAÇÃO CIVIL</t>
  </si>
  <si>
    <t>11000013</t>
  </si>
  <si>
    <t>CABO FLEX 1KV 4X25MM, ELETRODUTO GALV. FOGO 2.1/2</t>
  </si>
  <si>
    <t>11000014</t>
  </si>
  <si>
    <t>SERVICO DE ATERRAMENTO DE TANQUES METALICOS</t>
  </si>
  <si>
    <t>11000016</t>
  </si>
  <si>
    <t>QUADRO DE COMANDO COMPLETO 400X400X300MM</t>
  </si>
  <si>
    <t>MAO FRANCESA SIMPLES 100MM</t>
  </si>
  <si>
    <t>PERFILADO 38X38X3MT PERF CH 18 GE</t>
  </si>
  <si>
    <t>DISJUNTOR MONO C25 A 5SX1 125-7 SIEMENS</t>
  </si>
  <si>
    <t>FITA ISOLANTE 19MM2 X20M PRETA</t>
  </si>
  <si>
    <t>EMENDA EXTERNA 1 LEVE PERFILADO</t>
  </si>
  <si>
    <t>EMENDA INTERNA T PERFILADO 38X38</t>
  </si>
  <si>
    <t>REATOR  INVERSOR EMERGENCIA 220 V 60HZ</t>
  </si>
  <si>
    <t>CABO 2X1MM2 750V FLEX PT</t>
  </si>
  <si>
    <t>CABO 4X4MM2 0,6 1KV 90 FLEX PT</t>
  </si>
  <si>
    <t>BUCHA S-8 COM PARAFUSO</t>
  </si>
  <si>
    <t>CABO 2X1,50MM2, 0,6/1KV 90 FLEX</t>
  </si>
  <si>
    <t>VERGALHAO ROSC (TIRANTE) 1/4X3000MM</t>
  </si>
  <si>
    <t>GANCHO CURTO PERFIL</t>
  </si>
  <si>
    <t>ARRUELA LI 1/4 ZB CISER</t>
  </si>
  <si>
    <t>PORCA SEX 1/4 CISER</t>
  </si>
  <si>
    <t>PROJETOR COMPLETO 400W</t>
  </si>
  <si>
    <t>CURVA LATERAL PARA PERFILADO</t>
  </si>
  <si>
    <t>PARAFUSO LENTILHA 1/4X1/2 CISER</t>
  </si>
  <si>
    <t>SERVICO DE INSTALACAO DE SISTEMA QUADRO DE COMANDO</t>
  </si>
  <si>
    <t>QUADRO DE COMANDO 400X400X250MM CE 40</t>
  </si>
  <si>
    <t>SERVICO DE MAO DE OBRA</t>
  </si>
  <si>
    <t>BUCHA DE ACABAMENTO AL PARA ELETRODUTO</t>
  </si>
  <si>
    <t>CONDULETE ALU 3/4</t>
  </si>
  <si>
    <t>CURVA ELETRODUTO PVC 1/2</t>
  </si>
  <si>
    <t>ELETRODUTO PVC 1/2 PARA ILUMINACAO DE EMERGENCIA</t>
  </si>
  <si>
    <t>ABRACADEIRA 1/2 TP COM PARAFUSO</t>
  </si>
  <si>
    <t>LUVA PARA ELETRODUTO PVC</t>
  </si>
  <si>
    <t>BUCHA S-6 COM PARAFUSO CISER</t>
  </si>
  <si>
    <t>CABO 2X1,50MM2, 0,6/1KV FLEX PT</t>
  </si>
  <si>
    <t>BATERIA PARA ILUMINACAO DE EMERGENCIA</t>
  </si>
  <si>
    <t>11000017</t>
  </si>
  <si>
    <t>CH 1,20 MM FF 3X1,20 SAE E PERFIL U 75 X 40</t>
  </si>
  <si>
    <t>11000019</t>
  </si>
  <si>
    <t>MAO DE OBRA P/ PERFURACAO POCO ARTESIANO</t>
  </si>
  <si>
    <t>11000020</t>
  </si>
  <si>
    <t>AMPLIACAO NA FABRICA</t>
  </si>
  <si>
    <t>11000021</t>
  </si>
  <si>
    <t>AMPLIACAO DA FABRICA</t>
  </si>
  <si>
    <t>11000022</t>
  </si>
  <si>
    <t>11000023</t>
  </si>
  <si>
    <t>ESTRUTURA METALICA 20,6X5,60M</t>
  </si>
  <si>
    <t>11000024</t>
  </si>
  <si>
    <t>SERVICOS E MATERIAS PARA CONSERTO DA TUBULACAO</t>
  </si>
  <si>
    <t>11000025</t>
  </si>
  <si>
    <t>MATERIAS PARA INSTALACAO REDE DE INCENDIO</t>
  </si>
  <si>
    <t>11000026</t>
  </si>
  <si>
    <t>MAO DE OBRA E SERVICOS P/ INSTALACAO REDE INCENDIO</t>
  </si>
  <si>
    <t>11000027</t>
  </si>
  <si>
    <t>BARRACAO COM 2.500 M2</t>
  </si>
  <si>
    <t>AMPLIAÇÃO BARRACÃO 2.500M2 E ACESSORIOS</t>
  </si>
  <si>
    <t>11000028</t>
  </si>
  <si>
    <t>TINTAS PARA PINTURA DA FABRICA</t>
  </si>
  <si>
    <t>11000029</t>
  </si>
  <si>
    <t>MATERIAIS P/INSTALACOES ELETRICAS NA FABRICA</t>
  </si>
  <si>
    <t>11000030</t>
  </si>
  <si>
    <t>11000031</t>
  </si>
  <si>
    <t>PORTAS DE BOX PARA BANHEIROS DA FABRICA</t>
  </si>
  <si>
    <t>11000033</t>
  </si>
  <si>
    <t>MATEIRIAS DE CONSTRUCAO PARA APLICACAO NA FABRICA</t>
  </si>
  <si>
    <t>11000034</t>
  </si>
  <si>
    <t>11000035</t>
  </si>
  <si>
    <t>SERVICO RETORESCAVADEIRA APLICADO NA FABRICA</t>
  </si>
  <si>
    <t>11000036</t>
  </si>
  <si>
    <t>SILO SUBTERRANEO P/ARMAZENAMENTO DE AGUA P FABRICA</t>
  </si>
  <si>
    <t>11000037</t>
  </si>
  <si>
    <t>SACO DE CIMENTO P/ BLOQUETES NO PATIO DA FABRICA</t>
  </si>
  <si>
    <t>11000038</t>
  </si>
  <si>
    <t>BRITA, AREIA GROSSA E BRITA 1</t>
  </si>
  <si>
    <t>11000039</t>
  </si>
  <si>
    <t>PO DE BRITA P/ BLOQUETES NO PATIO</t>
  </si>
  <si>
    <t>11000040</t>
  </si>
  <si>
    <t>11000041</t>
  </si>
  <si>
    <t>MATERIAL USADO AMPLIACAO PATIO DO FUNDO DA FABRICA</t>
  </si>
  <si>
    <t>11000042</t>
  </si>
  <si>
    <t>MATERIAL P/CONSTRUCAO ATERRAMENTO NOVO BARRACAO</t>
  </si>
  <si>
    <t>11000043</t>
  </si>
  <si>
    <t>CABO DE COBRE E 2198M DE CABO A/C FLEX</t>
  </si>
  <si>
    <t>11000044</t>
  </si>
  <si>
    <t>PO DE BRITA E SACOS DE CIMENTO</t>
  </si>
  <si>
    <t>11000045</t>
  </si>
  <si>
    <t>PO DE BRITA PARA CONSTRUCAO BLOQUETES</t>
  </si>
  <si>
    <t>11000046</t>
  </si>
  <si>
    <t>SUBESTACAO 13,8KV 500KVA P/AMPIACAO SUBST. FABRICA</t>
  </si>
  <si>
    <t>11000047</t>
  </si>
  <si>
    <t>MALHA DE ATERRAMENTO DE PARARAIO P/ ATERRAMENTO</t>
  </si>
  <si>
    <t>11000048</t>
  </si>
  <si>
    <t>AREIA GROSSA P/CONSTRUCAO BLOQUETES FABRICA</t>
  </si>
  <si>
    <t>11000049</t>
  </si>
  <si>
    <t>AREIA GROSSA, BRITA E SACOS DE CIMENTO</t>
  </si>
  <si>
    <t>11000050</t>
  </si>
  <si>
    <t>PO DE BRITA E SACOS DE CIMENTO P/ BLOQUETES</t>
  </si>
  <si>
    <t>11000051</t>
  </si>
  <si>
    <t>SISTEMA ILUMINACAO E ATERRAMENTO GALPÕES</t>
  </si>
  <si>
    <t>11000053</t>
  </si>
  <si>
    <t>CHAPA EXPANDIDA 320,10 FERRO CANTONEIRA 1/8 E</t>
  </si>
  <si>
    <t>11000059</t>
  </si>
  <si>
    <t>LUVA, BOX, ABRACADEIRA, TUBO E CURVA P REDE INCEND</t>
  </si>
  <si>
    <t>11000060</t>
  </si>
  <si>
    <t>MATERIAL P/INSTALACAO REDE DE INCENDIO DA FABRICA</t>
  </si>
  <si>
    <t>11000061</t>
  </si>
  <si>
    <t>CABO 30 MODULO 10 CONECTOR INST. CAMERAS</t>
  </si>
  <si>
    <t>11000062</t>
  </si>
  <si>
    <t>BATERIA 45A ILUMINACAO DE EMERGENCIA DA FABRICA</t>
  </si>
  <si>
    <t>11000063</t>
  </si>
  <si>
    <t>FRETE TRANSPORTE TANQUE ARMAZEM DE COMBUSTIVEL</t>
  </si>
  <si>
    <t>11000064</t>
  </si>
  <si>
    <t>TANQUE PARA ARMAZEM DE COMBUSTIVEL</t>
  </si>
  <si>
    <t>11000065</t>
  </si>
  <si>
    <t>FRETE TRANSPORTE DE 10 BLOCO AUTONOMO</t>
  </si>
  <si>
    <t>11000066</t>
  </si>
  <si>
    <t>BLOCO AUTONOMO PARA FABRICA</t>
  </si>
  <si>
    <t>11000067</t>
  </si>
  <si>
    <t>ALTERACAO ELETROCALHA SAIDA SALA QGBT</t>
  </si>
  <si>
    <t>11000068</t>
  </si>
  <si>
    <t>CABO FLEX ANTICHAMA E 117 MODULO ENDERECAMENTO</t>
  </si>
  <si>
    <t>11000069</t>
  </si>
  <si>
    <t>CABO BLINDADO 2X0,75 MM</t>
  </si>
  <si>
    <t>11000070</t>
  </si>
  <si>
    <t>ELETROCALHA, CURVA VERTICAL, TUBO, LUVA</t>
  </si>
  <si>
    <t>11000071</t>
  </si>
  <si>
    <t>ACIONADOR END. E DETECTOR DE FUMACA ENGESUL</t>
  </si>
  <si>
    <t>11000072</t>
  </si>
  <si>
    <t>AUDIO VISUAL CONVENCIONAL, CENTRAL DE ALARMES,</t>
  </si>
  <si>
    <t>11000073</t>
  </si>
  <si>
    <t>LUMINARIA 2X40 WT PARA FABRICA</t>
  </si>
  <si>
    <t>11000076</t>
  </si>
  <si>
    <t>SUPER FILITO, COLUNA DE FERRO E VIGA PARA FOSSA</t>
  </si>
  <si>
    <t>11000077</t>
  </si>
  <si>
    <t>TIJOLO, AREIA GR, SACO DE CIMENTO, FERRO...</t>
  </si>
  <si>
    <t>11000078</t>
  </si>
  <si>
    <t>15 EXAUSTOR EM50 PAS INOX 220/380V P/A FABRICA</t>
  </si>
  <si>
    <t>CHAPA E FERRO CANTONEIRA PARA A FABRICA</t>
  </si>
  <si>
    <t>QUADRO DE COMANDO, TRILHO E PERFILADO</t>
  </si>
  <si>
    <t>CHAPA ZINCO PARA A FABRICA</t>
  </si>
  <si>
    <t>EXAUSTOR COM PAS DE INOX 220/380V</t>
  </si>
  <si>
    <t>CABO MULTIF</t>
  </si>
  <si>
    <t>SERVICO DE CORTAR E DESDOBRAR CHAPAS</t>
  </si>
  <si>
    <t>SERVICO DE CORTE E DOBRA DE PECAS</t>
  </si>
  <si>
    <t>SINALEIRO, LAMPADA, BOTAO, CONTADOR...</t>
  </si>
  <si>
    <t>CABO FLEXIVEL</t>
  </si>
  <si>
    <t>FRETE PARA TRANSPORTE DE 4 EXAUSTOR</t>
  </si>
  <si>
    <t>EXAUSTOR AXIAL ED24 MOTOR 0,5 H P/4P 60 HZ</t>
  </si>
  <si>
    <t>CONTATOR, BOTAO, BLOCO, DISJUNTOR...</t>
  </si>
  <si>
    <t>FRETE PARA TRANSPORTE DE 160 MT ISOL.</t>
  </si>
  <si>
    <t>ISOLANTES TERMICOS E 4 RL</t>
  </si>
  <si>
    <t>CABO FLEXIVEL, DISJUNTOR...</t>
  </si>
  <si>
    <t>CHAPA ZC REV SISTEMA DE EXAUSTAO DA</t>
  </si>
  <si>
    <t>CAMPANHA ALTA POTENCIA, PORTA 1478 LAMP,</t>
  </si>
  <si>
    <t>ROLO DE MANTA ASFAL P/O SISTEMA DE EXAUSTAO</t>
  </si>
  <si>
    <t>COLA E GALAO DE TINTA P/O SISTEMA DE EXAUSTAO</t>
  </si>
  <si>
    <t>CATRACA P ARAME LISO P/O SISTEMA DE</t>
  </si>
  <si>
    <t>FRETE P/TRANSP DE 30 UNIFOIL FITA</t>
  </si>
  <si>
    <t>UNIFOIL FITA ADESIVA, ISOLANTE TERMICO TOP.</t>
  </si>
  <si>
    <t>CLORODIFLUORMETANO, FILTRO SEC E 1 UC</t>
  </si>
  <si>
    <t>11000079</t>
  </si>
  <si>
    <t>FRETE TRANSPORTE DE 6 ARMADILHA ADESIVA LX-90/220</t>
  </si>
  <si>
    <t>11000080</t>
  </si>
  <si>
    <t>ARMADILHA ADESIVA LATEX LX-90/220</t>
  </si>
  <si>
    <t>11000081</t>
  </si>
  <si>
    <t>ARMADILHA ADESIVA LATERAL</t>
  </si>
  <si>
    <t>FRETE PARATRANSPORTE DE 3 ARMADILHA ADESIVA LATERA</t>
  </si>
  <si>
    <t>11000082</t>
  </si>
  <si>
    <t>PAINEL EVAPORATIVO CELDEK 12X60X180 CM</t>
  </si>
  <si>
    <t>11000085</t>
  </si>
  <si>
    <t>CABO OPTICO MONOMODO, CONVERSOR, MODULO</t>
  </si>
  <si>
    <t>FRETE P/TRANSPORTE DE  DE 490 MTS DE CABO OPTICO</t>
  </si>
  <si>
    <t>11000086</t>
  </si>
  <si>
    <t>CABO MULTILAN-FLEX</t>
  </si>
  <si>
    <t>11000087</t>
  </si>
  <si>
    <t>GALOES DE TINTA ESM.</t>
  </si>
  <si>
    <t>11000088</t>
  </si>
  <si>
    <t>GALOES ESM. EPOXI CORAL E DILUENTE</t>
  </si>
  <si>
    <t>11000089</t>
  </si>
  <si>
    <t>CAIXA D'AGUA FIBRA BAXOF PARA FABRICA</t>
  </si>
  <si>
    <t>TUBO, JOELHO, NIPEL, VALVULA...</t>
  </si>
  <si>
    <t>SACOS DE CIMENTO, TIJOLOS, AREIA, BARRA</t>
  </si>
  <si>
    <t>11000090</t>
  </si>
  <si>
    <t>TUBO E CHAPA P/ CONST. DA RAMPA DE DESCARGA</t>
  </si>
  <si>
    <t>CHAPA EXP PARA CONSTRUCAO DA RAMPA DE DESCARGA</t>
  </si>
  <si>
    <t>11000092</t>
  </si>
  <si>
    <t>PERFIL, TELHA GAL. E CUMEIRA</t>
  </si>
  <si>
    <t>SERVICO PARA CONSTRUCAO DA SALA DE SOLVENTE</t>
  </si>
  <si>
    <t>CANTONEIRA, DISCO, ELET, FECHO DE FE, PARAFUSO</t>
  </si>
  <si>
    <t>PARAFUSO P/CONSTRUCAO DO GALPAO</t>
  </si>
  <si>
    <t>BARRA ROSCADA , PA AUTO - BROCANTE 12 X 3/4</t>
  </si>
  <si>
    <t>BOBININHA ZINC.0.50 X 400</t>
  </si>
  <si>
    <t>TELHA PARA CONSTRUCAO DO BARRACAO DE SOLVENTE</t>
  </si>
  <si>
    <t>SERVICO DE MONTAGEM DE BARRACAO DE SOLVENTE</t>
  </si>
  <si>
    <t>PERFIL, CHAPA, FERRO, CANTONEIRA</t>
  </si>
  <si>
    <t>MANTA ALUMINIZADA E DISCO DE CORTE</t>
  </si>
  <si>
    <t>COLA, DISCO, REBITE, ARRUELA LISA</t>
  </si>
  <si>
    <t>11000093</t>
  </si>
  <si>
    <t>BRITA PARA CONSTRUCAO DE BLOQUETES PATIO FABRICA</t>
  </si>
  <si>
    <t>PO BRITA PARA CONSTRUCAO DE BLOQUETES PATIO FABRIC</t>
  </si>
  <si>
    <t>BRITA 3/4</t>
  </si>
  <si>
    <t>MANGUEIRA JARD BARIFLEX VERDE1/2 X 2,0</t>
  </si>
  <si>
    <t>SACOS DE CIMENTO CIMPOR 50KG</t>
  </si>
  <si>
    <t>AREIA GROSSA</t>
  </si>
  <si>
    <t>BRITA</t>
  </si>
  <si>
    <t>BRITA 3/4 PARA CONSTRUCAO DE BLOQUETES</t>
  </si>
  <si>
    <t>CONSTRUCAO DE BLOQUETES P/O PATIO</t>
  </si>
  <si>
    <t>11000094</t>
  </si>
  <si>
    <t>TELHA TRAPEZOIDAL GALVALUME TP-40</t>
  </si>
  <si>
    <t>11000095</t>
  </si>
  <si>
    <t>DETECTORES DE FUMACA E SIRENE PARA 1000M</t>
  </si>
  <si>
    <t>11000099</t>
  </si>
  <si>
    <t>SERVICOS MEDICAO D VAZAO DO POCO, RET E INST BOMBA</t>
  </si>
  <si>
    <t>MOTOBOMBA EBARA BHS412 7.5 HP 380V</t>
  </si>
  <si>
    <t>11000100</t>
  </si>
  <si>
    <t>CHAPA CINCALUM COBERTURA SETOR MANUTENCAO</t>
  </si>
  <si>
    <t>11000101</t>
  </si>
  <si>
    <t>AREIA GROSSA CONFECÇAO BLOQUETES PATIO</t>
  </si>
  <si>
    <t>11000102</t>
  </si>
  <si>
    <t>TUBO GALVANIXADO NBR-5580L, LUVA GALVANIZADA</t>
  </si>
  <si>
    <t>CAP SOLDAVEL 75 MM</t>
  </si>
  <si>
    <t>JOELHO 45 GALVANIZADO</t>
  </si>
  <si>
    <t>CAP SOLDM 85, P/AMPLIACAO DA REDE DE HIDRANTE</t>
  </si>
  <si>
    <t>NIPEL GALV 3 PARA AMPLIACAO DA REDE DE HIDRANTE</t>
  </si>
  <si>
    <t>REDE DE HIDRANTE DA FABRICA</t>
  </si>
  <si>
    <t>CAP SOLDAVEL 85MM</t>
  </si>
  <si>
    <t>CURVA 90 GALV RF 3</t>
  </si>
  <si>
    <t>LUVA GALV 3 PARA AMPLIACAO DA REDE DE HIDRANTE</t>
  </si>
  <si>
    <t>TUBO GALV 5580 L 3'X6,000M</t>
  </si>
  <si>
    <t>TE GALV 3 PARA AMPLIACAO DA REDE DE HIDRANTE</t>
  </si>
  <si>
    <t>REG GAV INDUSTRIAL 3 PARA AMPLIACAO DA REDE DE HID</t>
  </si>
  <si>
    <t>ROSCA 2.1/2 PARA AMPLIACAO DA REDE DE HIDRANTE</t>
  </si>
  <si>
    <t>CAP GALV 2.1/2 PARA AMPLIACAO DA REDE DE HIDRANTE</t>
  </si>
  <si>
    <t>JOELHO 45 GALV 3 PARA AMPLIACAO DA REDE DE HIDRANT</t>
  </si>
  <si>
    <t>UNIAO GALV COM ASSEN BRONZE 3</t>
  </si>
  <si>
    <t>MAO DE OBRA PARA AMPLIACAO REDE DE HIDRANTE</t>
  </si>
  <si>
    <t>GALAO DE TINTA FLAMAR VERMELHO 3,6LTS E ROLO</t>
  </si>
  <si>
    <t>FITA VEDA ROSCA 18X50 E ABRACADEIRA</t>
  </si>
  <si>
    <t>TUBO GALVANIZADO 5580 L 3 X6</t>
  </si>
  <si>
    <t>MAO DE OBRA PARA AMPLIACAO DA REDE DE HIDRANTE</t>
  </si>
  <si>
    <t>LUVA REDUCAO GALV. 60X50MM</t>
  </si>
  <si>
    <t>NIPLE DUPLO GALV. 60MM BSP</t>
  </si>
  <si>
    <t>VALVULA RETENCAO VERTICAL BRONZE 3 BSP</t>
  </si>
  <si>
    <t>CAIXA  DE INCENDIO EXTERNA 120X90X17</t>
  </si>
  <si>
    <t>MANGUEIRA DE INCENDIO EM POLIESTER 1.1/2X30M</t>
  </si>
  <si>
    <t>CHAVE ADAPTADOR 2.1/2X1.1/2 INCENDIO</t>
  </si>
  <si>
    <t>GALAO ESM BR VERMELHO 3,6L CORALIT</t>
  </si>
  <si>
    <t>PLACA ACRILICA PARA INCENDIO 2MM INATIVO</t>
  </si>
  <si>
    <t>CHAVE ADAPTADOR ALUMINIO 2.1/2X1.1/2 INCENDIO</t>
  </si>
  <si>
    <t>11000103</t>
  </si>
  <si>
    <t>CONSTRUCAO DE UM POCO ARTESIANO - FABRICA GERAL</t>
  </si>
  <si>
    <t>11000104</t>
  </si>
  <si>
    <t>DIVERSAS NFS DESTINADA CONSTRUCAO BARRACAO</t>
  </si>
  <si>
    <t>12000023</t>
  </si>
  <si>
    <t>OBRA DE INSTALAÇÃO SISTEMA CONTRA INCENDIO</t>
  </si>
  <si>
    <t>20000074</t>
  </si>
  <si>
    <t>MAQUINA ENVASADORA LB1000</t>
  </si>
  <si>
    <t>7481</t>
  </si>
  <si>
    <t>LIMPEZA E TROCA DE PECAS</t>
  </si>
  <si>
    <t>20000138</t>
  </si>
  <si>
    <t>DESPESAS NO DESEMBARACO ADUANEIRO NF 52888</t>
  </si>
  <si>
    <t>SERVICO NA MONTAGEM DE MAQ.ENVASADORA SANITARIA</t>
  </si>
  <si>
    <t>CONTADOR DE LIQ CPI 1 POL C/ TRANSMISSOR DE SINAL</t>
  </si>
  <si>
    <t>5622</t>
  </si>
  <si>
    <t>5623</t>
  </si>
  <si>
    <t>21000313</t>
  </si>
  <si>
    <t>SECADOR DE MAOS VAMA SUPER 2000 - 220V</t>
  </si>
  <si>
    <t>21000316</t>
  </si>
  <si>
    <t>CONJUNTO PARA ATERRAMENTO DE REDE MEDIA TENSAO</t>
  </si>
  <si>
    <t>21000341</t>
  </si>
  <si>
    <t>CONSTRUCAO DE 2 QUADROS GERAL DE BAIXA TENSAO QCBT</t>
  </si>
  <si>
    <t>21000342</t>
  </si>
  <si>
    <t>TRANSFORMADOR ENCAPSULASO 1000 KVA 15 KV 1,2</t>
  </si>
  <si>
    <t>TERMORETRATIL 100,0/.51.00MM PT</t>
  </si>
  <si>
    <t>ISOLADOR PARALELO 70X80MM 3/8</t>
  </si>
  <si>
    <t>NITRATO FR PRATA</t>
  </si>
  <si>
    <t>CANTONEIRA 3/16 X 1.1/2 A-36</t>
  </si>
  <si>
    <t>BARRAMENTO COBRE 4X3/8 (2065A)</t>
  </si>
  <si>
    <t>FUSIVEL LIM CORRENTE HH 63A 15/17</t>
  </si>
  <si>
    <t>SERVICO MAO DE OBRA PARA INSTALACAO TRANSFORMADOR</t>
  </si>
  <si>
    <t>21000346</t>
  </si>
  <si>
    <t>GRUPO GERADOR GERASSOL 500 KVA</t>
  </si>
  <si>
    <t>21000407</t>
  </si>
  <si>
    <t>NOBREAK UPS NB 2110XX NN10KVA</t>
  </si>
  <si>
    <t>7495</t>
  </si>
  <si>
    <t>1446006</t>
  </si>
  <si>
    <t>21000429</t>
  </si>
  <si>
    <t>BARREIRA AUTOMATICA PARA PORTARIA DA INDUSTRIA</t>
  </si>
  <si>
    <t>21000440</t>
  </si>
  <si>
    <t>CABO INTTERLIGADO COUGAR BALANCA</t>
  </si>
  <si>
    <t>21000442</t>
  </si>
  <si>
    <t>MEDIDOR DE COEFICIENTE DE FRICCAO</t>
  </si>
  <si>
    <t>21000450</t>
  </si>
  <si>
    <t>21000453</t>
  </si>
  <si>
    <t>MOTOBOMBA SCX2-3-60-21 TRIFASICA</t>
  </si>
  <si>
    <t>21000454</t>
  </si>
  <si>
    <t>EMPILHADEIRA MANUAL</t>
  </si>
  <si>
    <t>21000455</t>
  </si>
  <si>
    <t>MEDIDORES DE ESPESSURA COM RELOGIO</t>
  </si>
  <si>
    <t>21000458</t>
  </si>
  <si>
    <t>21000467</t>
  </si>
  <si>
    <t>DE 110 MT DE CABO P/INST AR CONDICIONADO DA SALA</t>
  </si>
  <si>
    <t>21000479</t>
  </si>
  <si>
    <t>DE 90 MT DE CABO INDNX  FLEX 0.6/1KV 240.0MM2 PT</t>
  </si>
  <si>
    <t>DE 30 MT DE CABO INDNX  FLEX 0.6/1KV 300.0MM2 PT</t>
  </si>
  <si>
    <t>TERMINAIS A COMPRESSAO TM 240 USADOS</t>
  </si>
  <si>
    <t>DE 8 TERMINAIS OLHAL USADOS P/REFORCO DOS CABOS</t>
  </si>
  <si>
    <t>21000482</t>
  </si>
  <si>
    <t>EXAUSTOR 50 1HP 60HZ PA GALV TRIFASICO</t>
  </si>
  <si>
    <t>21000485</t>
  </si>
  <si>
    <t>DE MAO DE OBRA EM SERVICOS ELETRICOS P/REFORCO DE</t>
  </si>
  <si>
    <t>21000501</t>
  </si>
  <si>
    <t>EXAUSTOR DE 50 1HP 60HZ PA GALV</t>
  </si>
  <si>
    <t>21000614</t>
  </si>
  <si>
    <t>ALICATE HIDRAULICO LK - 300</t>
  </si>
  <si>
    <t>FRETE PARA TRANSPORTE DE ALICATE</t>
  </si>
  <si>
    <t>21000622</t>
  </si>
  <si>
    <t>BALANCA ACO CARBONO BT 004 30KG</t>
  </si>
  <si>
    <t>21000640</t>
  </si>
  <si>
    <t>LAVADORA JCATO J7000 220V</t>
  </si>
  <si>
    <t>FRETE REF COMPRA LAVADORA JCATO J7000</t>
  </si>
  <si>
    <t>21000650</t>
  </si>
  <si>
    <t>ASPIRADOR DE PO ELECTROLUX FLEX 1400W 220V</t>
  </si>
  <si>
    <t>21000671</t>
  </si>
  <si>
    <t>TRANSFORMADOR TRIFASICO A OLEO 500KVA</t>
  </si>
  <si>
    <t>587561005</t>
  </si>
  <si>
    <t>21000672</t>
  </si>
  <si>
    <t>INSTALACAO SISTEMA DE VENTILACAO</t>
  </si>
  <si>
    <t>21000673</t>
  </si>
  <si>
    <t>CORTADOR DE GRAMA</t>
  </si>
  <si>
    <t>21000674</t>
  </si>
  <si>
    <t>INSTALACAO DO SISTEMA DE VENTILACAO</t>
  </si>
  <si>
    <t>21000675</t>
  </si>
  <si>
    <t>21000678</t>
  </si>
  <si>
    <t>TANQUE OVALADO TA 6000</t>
  </si>
  <si>
    <t>21000695</t>
  </si>
  <si>
    <t>CANCELA AUTOMATICA PPA</t>
  </si>
  <si>
    <t>21000696</t>
  </si>
  <si>
    <t>CONJUNTO NOBREAK EXTERNO PRINT</t>
  </si>
  <si>
    <t>7530</t>
  </si>
  <si>
    <t>FRETE CONJUNTO NOBREAK EXTERNO PRINT</t>
  </si>
  <si>
    <t>21005789</t>
  </si>
  <si>
    <t>BALANÇA TOLEDO MOD 820</t>
  </si>
  <si>
    <t>21006102</t>
  </si>
  <si>
    <t>21006103</t>
  </si>
  <si>
    <t>21006104</t>
  </si>
  <si>
    <t>21006105</t>
  </si>
  <si>
    <t>21006106</t>
  </si>
  <si>
    <t>21006109</t>
  </si>
  <si>
    <t>21006110</t>
  </si>
  <si>
    <t>21006609</t>
  </si>
  <si>
    <t>21006614</t>
  </si>
  <si>
    <t>21006621</t>
  </si>
  <si>
    <t>30000112</t>
  </si>
  <si>
    <t>ASPIRADOR DE PO KARCHER PROF. 220V 1200E (A2104)</t>
  </si>
  <si>
    <t>30000114</t>
  </si>
  <si>
    <t>CADEIRA EXECUTIVA AZUL COM BASE GIRATORIA</t>
  </si>
  <si>
    <t>30000123</t>
  </si>
  <si>
    <t>MESA DE PEBOLIM STANDER CEDRO</t>
  </si>
  <si>
    <t>30000147</t>
  </si>
  <si>
    <t>CADEIRA POLTRONA GIRATORIA DIRETOR</t>
  </si>
  <si>
    <t>7552</t>
  </si>
  <si>
    <t>7537</t>
  </si>
  <si>
    <t>30000160</t>
  </si>
  <si>
    <t>CADEIRA POLTRONA GIRATORIA MARELLI</t>
  </si>
  <si>
    <t>30000161</t>
  </si>
  <si>
    <t>ROUPEIRO</t>
  </si>
  <si>
    <t>30000162</t>
  </si>
  <si>
    <t>ARQUIVO DE ACO</t>
  </si>
  <si>
    <t>30000173</t>
  </si>
  <si>
    <t>BEBEDOURO ACQUA AG 100</t>
  </si>
  <si>
    <t>30000175</t>
  </si>
  <si>
    <t>TOLDO PARA PORTAS DE ENTRADA</t>
  </si>
  <si>
    <t>30000184</t>
  </si>
  <si>
    <t>AR CONDICIONADO CONSUL FRIO 12000 BTU</t>
  </si>
  <si>
    <t>30000186</t>
  </si>
  <si>
    <t>LAVADORA JACTO 7000 COMIGO</t>
  </si>
  <si>
    <t>30000188</t>
  </si>
  <si>
    <t>30000195</t>
  </si>
  <si>
    <t>ESTANTE DE ACO</t>
  </si>
  <si>
    <t>30000197</t>
  </si>
  <si>
    <t>AR CONDICIONADO CONSUL CCI-10A 10000 BTU</t>
  </si>
  <si>
    <t>30001233</t>
  </si>
  <si>
    <t>ARQUIVO DE ACO C/ 4 GAVETAS</t>
  </si>
  <si>
    <t>30001715</t>
  </si>
  <si>
    <t>TV SMART LED 49” FULL HD SAMSUNG</t>
  </si>
  <si>
    <t>30001874</t>
  </si>
  <si>
    <t>CADEIRA CAVALETTI GIR PRESIDENTE 4001</t>
  </si>
  <si>
    <t>30002304</t>
  </si>
  <si>
    <t>AR CONDICIONADO Q/F FUJITSU SPLIT HW 18000 BTU</t>
  </si>
  <si>
    <t>ASBG18LFCAB007820</t>
  </si>
  <si>
    <t>30004208</t>
  </si>
  <si>
    <t>30004209</t>
  </si>
  <si>
    <t>30004210</t>
  </si>
  <si>
    <t>ESTANTE DE ACO 0,30 STYLPEN</t>
  </si>
  <si>
    <t>30004211</t>
  </si>
  <si>
    <t>30004212</t>
  </si>
  <si>
    <t>30004213</t>
  </si>
  <si>
    <t>30004214</t>
  </si>
  <si>
    <t>30004215</t>
  </si>
  <si>
    <t>30004216</t>
  </si>
  <si>
    <t>30004217</t>
  </si>
  <si>
    <t>30004218</t>
  </si>
  <si>
    <t>30004219</t>
  </si>
  <si>
    <t>ARQUIVO DE ACO FRITOLI</t>
  </si>
  <si>
    <t>30004220</t>
  </si>
  <si>
    <t>BALCAO 2 PORTAS F PLAST</t>
  </si>
  <si>
    <t>30004221</t>
  </si>
  <si>
    <t>30004222</t>
  </si>
  <si>
    <t>MESA DE FERRO 1,50M</t>
  </si>
  <si>
    <t>30004223</t>
  </si>
  <si>
    <t>MESA DE FERRO 1,20M</t>
  </si>
  <si>
    <t>32000044</t>
  </si>
  <si>
    <t>COMPUTADOR CPU SIM B2W I8800C I3 6GB 1TB W8</t>
  </si>
  <si>
    <t>32000045</t>
  </si>
  <si>
    <t>MONITOR LED 18,5 WIDESCREEN E950SW-AOC</t>
  </si>
  <si>
    <t>32000046</t>
  </si>
  <si>
    <t>COLETOR DE DADOS TELEMATICA CODIN REP 2000</t>
  </si>
  <si>
    <t>32000052</t>
  </si>
  <si>
    <t>SERVIDOR ML310E GEN8 E3-1220 4GB 500GB STA S-BUY</t>
  </si>
  <si>
    <t>5641</t>
  </si>
  <si>
    <t>32000055</t>
  </si>
  <si>
    <t>NOBREAK SMART-UP 10 KVA</t>
  </si>
  <si>
    <t>5685</t>
  </si>
  <si>
    <t>32000059</t>
  </si>
  <si>
    <t>COLETOR DE DADOS PRINTPOINT II</t>
  </si>
  <si>
    <t>7498</t>
  </si>
  <si>
    <t>32000065</t>
  </si>
  <si>
    <t>5 CAMERAS CCD SONY SS520, 5 LENTES AUTO IRIS 3,5</t>
  </si>
  <si>
    <t>32000066</t>
  </si>
  <si>
    <t>10 CAMERAS PROFICIONAIS COM LENTES AUTO IRIS</t>
  </si>
  <si>
    <t>10 CAMERAS PROF 480 LIN 9L AUTO IRIS 3,5A 8MM 1 L</t>
  </si>
  <si>
    <t>32000078</t>
  </si>
  <si>
    <t>BATERIA MP150BD PARA NOBREAK DA FABRICA</t>
  </si>
  <si>
    <t>32000079</t>
  </si>
  <si>
    <t>2 INTERFACES GSM QUADR. PINACULO, P/PABX DA</t>
  </si>
  <si>
    <t>32000080</t>
  </si>
  <si>
    <t>SCANNER DE CARTOES CARDSCAN VERSAO 7 EXECUTIVE</t>
  </si>
  <si>
    <t>32000092</t>
  </si>
  <si>
    <t>COLETOR DE DADOS PRINT POINT</t>
  </si>
  <si>
    <t>5617</t>
  </si>
  <si>
    <t>FRETE APARELHO COLETOR DE DADOS</t>
  </si>
  <si>
    <t>32000126</t>
  </si>
  <si>
    <t>12 MINI CAMERA COLOR</t>
  </si>
  <si>
    <t>32000130</t>
  </si>
  <si>
    <t>GRAVADOR DVD LG SUPER MULTI</t>
  </si>
  <si>
    <t>32000131</t>
  </si>
  <si>
    <t>SERVIDOR HP-PROLIANT ML350</t>
  </si>
  <si>
    <t>32000132</t>
  </si>
  <si>
    <t>COMPUTADOR SANSUNG INTEL PIV 3.0 HT P45800 HD</t>
  </si>
  <si>
    <t>32000133</t>
  </si>
  <si>
    <t>PLACA GERENCIAMENTO IMAGEM, CAMERAS E EQUIPAMENTOS</t>
  </si>
  <si>
    <t>32000138</t>
  </si>
  <si>
    <t>MATERIAS PARA CAIXA DE COMANDO</t>
  </si>
  <si>
    <t>32000142</t>
  </si>
  <si>
    <t>MONITOR PHILIPS 17" PARA COMPUTADOR COMPLETO</t>
  </si>
  <si>
    <t>32000143</t>
  </si>
  <si>
    <t>COMPUTADOR COMPLETO COM MONITOR SANSUNG</t>
  </si>
  <si>
    <t>32000144</t>
  </si>
  <si>
    <t>RACK FECHADO</t>
  </si>
  <si>
    <t>32000149</t>
  </si>
  <si>
    <t>16 CAMERAS COLOR CTCC2720</t>
  </si>
  <si>
    <t>TERMINAL DE BATERIA E RACK PARA CAMERAS DA FABRICA</t>
  </si>
  <si>
    <t>16 BATERIAS DUREX STRADA PARA CAMERAS DA FABRICA</t>
  </si>
  <si>
    <t>32000150</t>
  </si>
  <si>
    <t>10 LEITOR METROLOGIC</t>
  </si>
  <si>
    <t>32000151</t>
  </si>
  <si>
    <t>MATEIRAIS ELETRICOS P/INSTALACOES NO CPD DA INDUST</t>
  </si>
  <si>
    <t>32000152</t>
  </si>
  <si>
    <t>32000154</t>
  </si>
  <si>
    <t>CABOS E DEMAIS MATERIAIS P/INSTALACAO DA BALANCA</t>
  </si>
  <si>
    <t>32000158</t>
  </si>
  <si>
    <t>6 LEITORES METROLOGIC MK5145 ECLIPSE</t>
  </si>
  <si>
    <t>32000161</t>
  </si>
  <si>
    <t>5 LEITORES LASER METROLOGIC</t>
  </si>
  <si>
    <t>32000162</t>
  </si>
  <si>
    <t>COMPUTADOR COMPLETO INTEL CELERON 2.13 256 MB</t>
  </si>
  <si>
    <t>32000163</t>
  </si>
  <si>
    <t>COMPUTADOR COMPLETO AMD SEMPRON 3000 512 MB</t>
  </si>
  <si>
    <t>32000164</t>
  </si>
  <si>
    <t>5 LEITORES DE COD DE BARRAS METROLOGIC</t>
  </si>
  <si>
    <t>32000165</t>
  </si>
  <si>
    <t>6 LEITORES METROLOGIC MK 5145 ECLIPSE</t>
  </si>
  <si>
    <t>32000177</t>
  </si>
  <si>
    <t>10 MICROCOMPUTADOR DELL OPTIPLEX 740</t>
  </si>
  <si>
    <t>32000180</t>
  </si>
  <si>
    <t>CABO BLINDADO</t>
  </si>
  <si>
    <t>32000181</t>
  </si>
  <si>
    <t>COMPUTADOR SLIMTEK IDC2160004B 1.8 HD 160</t>
  </si>
  <si>
    <t>32000183</t>
  </si>
  <si>
    <t>RACK DE PISO 19" COM KIT DE VENTILACAO PARA TETO</t>
  </si>
  <si>
    <t>32000187</t>
  </si>
  <si>
    <t>ACIONADOR MANUAL ENDER</t>
  </si>
  <si>
    <t>32000189</t>
  </si>
  <si>
    <t>VENTILADOR PARA A FABRICA</t>
  </si>
  <si>
    <t>32000190</t>
  </si>
  <si>
    <t>COMPUADOR DE BORDO, SIRENE, BLOQ, BAT, CHIC PRINC</t>
  </si>
  <si>
    <t>32000191</t>
  </si>
  <si>
    <t>PRANCHA KIT PRIMEIROS SOCORROS</t>
  </si>
  <si>
    <t>FRETE TRANSPORTE DE 3 PRANCHA KIT PRIMEIROS SOCORR</t>
  </si>
  <si>
    <t>32000193</t>
  </si>
  <si>
    <t>MONITOR LCD 15"</t>
  </si>
  <si>
    <t>32000201</t>
  </si>
  <si>
    <t>32000202</t>
  </si>
  <si>
    <t>BATERIAS P/NOBREAK DA FABRICA GERAL NF 553</t>
  </si>
  <si>
    <t>32000203</t>
  </si>
  <si>
    <t>BRAKLESS AABB XYZ</t>
  </si>
  <si>
    <t>950035</t>
  </si>
  <si>
    <t>32000207</t>
  </si>
  <si>
    <t>MONITOR 15,6" SANSUNG</t>
  </si>
  <si>
    <t>32000874</t>
  </si>
  <si>
    <t>32001112</t>
  </si>
  <si>
    <t>32001331</t>
  </si>
  <si>
    <t>NOTEBOOK DELL VOSTRO 14 3468 I5 8GB RAM</t>
  </si>
  <si>
    <t>JLRK5V2</t>
  </si>
  <si>
    <t>32001710</t>
  </si>
  <si>
    <t>MONITOR LED 24" DELL ULTRASHARP U2415</t>
  </si>
  <si>
    <t>CXR0JY2</t>
  </si>
  <si>
    <t>32002194</t>
  </si>
  <si>
    <t>7W7G1G3</t>
  </si>
  <si>
    <t>32002197</t>
  </si>
  <si>
    <t>JND7D83</t>
  </si>
  <si>
    <t>32002438</t>
  </si>
  <si>
    <t>NOTEBOOK DELL VOSTRO 14 i5 8GB HD SSD240GB W10P</t>
  </si>
  <si>
    <t>8842</t>
  </si>
  <si>
    <t>BXDW5Q3</t>
  </si>
  <si>
    <t>32002502</t>
  </si>
  <si>
    <t>TELEVISAO LG TELA PLANA 42" LED FULL HD HDMI</t>
  </si>
  <si>
    <t>8827</t>
  </si>
  <si>
    <t>32002503</t>
  </si>
  <si>
    <t>COMPUTADOR DELL XPS I7 16GB HD 1TB W10P SSD240GB</t>
  </si>
  <si>
    <t>8848</t>
  </si>
  <si>
    <t>32002758</t>
  </si>
  <si>
    <t>COMPUTADOR DELL VASTRO 3681</t>
  </si>
  <si>
    <t>CSPRTJ3</t>
  </si>
  <si>
    <t>32002759</t>
  </si>
  <si>
    <t>32002907</t>
  </si>
  <si>
    <t>208008862</t>
  </si>
  <si>
    <t>32002908</t>
  </si>
  <si>
    <t>208008861</t>
  </si>
  <si>
    <t>32003018</t>
  </si>
  <si>
    <t>GK78ZM3</t>
  </si>
  <si>
    <t>32003065</t>
  </si>
  <si>
    <t>32003066</t>
  </si>
  <si>
    <t>32003067</t>
  </si>
  <si>
    <t>32003068</t>
  </si>
  <si>
    <t>32003069</t>
  </si>
  <si>
    <t>11000003</t>
  </si>
  <si>
    <t>MATERIAIS PARA ISOLAMENTO DO SETOR DE EXPEDICAO</t>
  </si>
  <si>
    <t>100005033</t>
  </si>
  <si>
    <t>METALON 30X30 CH 14 6MT</t>
  </si>
  <si>
    <t>ARAME GALVANISADO TELAO 2,76 MM</t>
  </si>
  <si>
    <t>TINTA GALAO AMAR. CAT-81</t>
  </si>
  <si>
    <t>SERVICOS PARA ISOLAMENTO DO SETOR DE EXPEDICAO</t>
  </si>
  <si>
    <t>SERVICOS EM TELA TIPO ARTISTICA 35X35X12</t>
  </si>
  <si>
    <t>11000005</t>
  </si>
  <si>
    <t>TRILHO U36X36CH14, ME30X30CH20</t>
  </si>
  <si>
    <t>CANTONEIRA 3/16 X 1.1/2  A-36 6MT</t>
  </si>
  <si>
    <t>TINTA GALAO AMAR. SLC</t>
  </si>
  <si>
    <t>SERVICO EM TELA TIPO ARTISTICA 35X35X12</t>
  </si>
  <si>
    <t>THINER E ROLO DE ESPUMA</t>
  </si>
  <si>
    <t>TINTA FLAMAR AMAR. NEW HOLLAND 3,6 L</t>
  </si>
  <si>
    <t>CORALIT ESM. A.B AMARELO P/O SETOR DE EXPEDICAO</t>
  </si>
  <si>
    <t>METALON 30X50 CHG 14 6 MT, 0,50 BR CH 4,75</t>
  </si>
  <si>
    <t>ARAME GALVANIZADO TELAO 2,76 MM</t>
  </si>
  <si>
    <t>PERFIL U 100X50 E METALON</t>
  </si>
  <si>
    <t>11000149</t>
  </si>
  <si>
    <t>SALA COORDENAÇÃO EXPEDIÇÃO</t>
  </si>
  <si>
    <t>11000185</t>
  </si>
  <si>
    <t>FECHAMENTO FRONTAL E ATERRAMENTO DAS DOCAS</t>
  </si>
  <si>
    <t>21000319</t>
  </si>
  <si>
    <t>TRANSPALETEIRA HIDRAULICA PALETRANS TM 3020 3000KG</t>
  </si>
  <si>
    <t>21000401</t>
  </si>
  <si>
    <t>COLETOR DE DADOS MC 3190 GUN</t>
  </si>
  <si>
    <t>7528</t>
  </si>
  <si>
    <t>S14166523020261</t>
  </si>
  <si>
    <t>7529</t>
  </si>
  <si>
    <t>S14172523020391</t>
  </si>
  <si>
    <t>21000415</t>
  </si>
  <si>
    <t>PORTAO PARA EXPEDICAO</t>
  </si>
  <si>
    <t>21000418</t>
  </si>
  <si>
    <t>CARRINHO HIDRAULICO PARA PALETES</t>
  </si>
  <si>
    <t>21000420</t>
  </si>
  <si>
    <t>APARELHO STRASH PLATAFORMA ESPECIAL E RAMPA</t>
  </si>
  <si>
    <t>FRETE APARELHO P/ STRASH SIST AC P/ EPFS STRAPACK</t>
  </si>
  <si>
    <t>21000424</t>
  </si>
  <si>
    <t>CARROS HIDRAULICO PARA PALETES 2,2 TON PALETRANS</t>
  </si>
  <si>
    <t>21000436</t>
  </si>
  <si>
    <t>NIVELADOR HIDRAULICO DE CARGA</t>
  </si>
  <si>
    <t>21000452</t>
  </si>
  <si>
    <t>MATERIAIS USADOS NA EMPILHADEIRA DA EXPEDICAO</t>
  </si>
  <si>
    <t>21000456</t>
  </si>
  <si>
    <t>PORTA PALETE SISTEMA DE ESTRUTURA EM ACO</t>
  </si>
  <si>
    <t>21000457</t>
  </si>
  <si>
    <t>PORTA PALETE ESTRUTURA EM ACO LONG RACK</t>
  </si>
  <si>
    <t>21000459</t>
  </si>
  <si>
    <t>SERVICO DE INSTALACAO DE PRATELEIRAS</t>
  </si>
  <si>
    <t>21000598</t>
  </si>
  <si>
    <t>CILINDRO TIPO T</t>
  </si>
  <si>
    <t>21000658</t>
  </si>
  <si>
    <t>3 CARRO HIDRAULICO TM 2220 680X1150 DUPLO NYLON</t>
  </si>
  <si>
    <t>21000661</t>
  </si>
  <si>
    <t>SERVICO DE RETIFICA COMPLETA DE MOTOR EMP. HYSTER</t>
  </si>
  <si>
    <t>EQUIPAMENTOS DIVERSOS P EMPILHADEIRA HYSTER</t>
  </si>
  <si>
    <t>21000677</t>
  </si>
  <si>
    <t>BALANCA DE 3T COM 9091 TOLEDO COM SAIDA</t>
  </si>
  <si>
    <t>21000687</t>
  </si>
  <si>
    <t>PORTA PALETE PARA EXPEDICAO</t>
  </si>
  <si>
    <t>21000688</t>
  </si>
  <si>
    <t>PORTA PALETE GP 10</t>
  </si>
  <si>
    <t>21000692</t>
  </si>
  <si>
    <t>CARRO HIDRAULICO DE LEVANTAR PALETT</t>
  </si>
  <si>
    <t>21003273</t>
  </si>
  <si>
    <t>21003274</t>
  </si>
  <si>
    <t>21004087</t>
  </si>
  <si>
    <t>PALETEIRA ELETRICA HYSTER P2.0BR-24V</t>
  </si>
  <si>
    <t>10000892</t>
  </si>
  <si>
    <t>21005793</t>
  </si>
  <si>
    <t>SISTEMA DA MAQ ENVOLVEDORA DE PALET COM PLATAFORMA</t>
  </si>
  <si>
    <t>SERVICO DE FRETE TRANSPORTE 2 ENVOLVEDORA DE PALET</t>
  </si>
  <si>
    <t>21006047</t>
  </si>
  <si>
    <t>MAQUINA DE ARQUEAR BATERIA CM40</t>
  </si>
  <si>
    <t>8891</t>
  </si>
  <si>
    <t>21006100</t>
  </si>
  <si>
    <t>21006364</t>
  </si>
  <si>
    <t>ENVOLVEDORA DE STRETCH PLT 300 TOUCH PARA PALLET</t>
  </si>
  <si>
    <t>PLT072315</t>
  </si>
  <si>
    <t>RAMPA PARA ENVOLVEDORA DE STRETCH</t>
  </si>
  <si>
    <t>21006367</t>
  </si>
  <si>
    <t>MAQUINA ENVOLVEDORA DE PALETS STRAPACK MOD 2141C</t>
  </si>
  <si>
    <t>5098 - 10000742</t>
  </si>
  <si>
    <t>LOTE 57310-8</t>
  </si>
  <si>
    <t>21006376</t>
  </si>
  <si>
    <t>CORTINA DE AR/EXAUSTOR  SH - 322</t>
  </si>
  <si>
    <t>21006455</t>
  </si>
  <si>
    <t>MAQUINA PARA CINTA PLASTICA A BATERIA FROMM P-328</t>
  </si>
  <si>
    <t>141582</t>
  </si>
  <si>
    <t>30000110</t>
  </si>
  <si>
    <t>ARMARIO DE ACO DE 0,76X0,90X0,40 CNZ</t>
  </si>
  <si>
    <t>30000128</t>
  </si>
  <si>
    <t>BEBEDOURO ACQUA GELATA PAG 100 3 TORNEIRAS 220V</t>
  </si>
  <si>
    <t>30001235</t>
  </si>
  <si>
    <t>MESA DE ESCRITÓRIO</t>
  </si>
  <si>
    <t>30001236</t>
  </si>
  <si>
    <t>30001641</t>
  </si>
  <si>
    <t>SERRA CIRCULAR KONSTRUMACK SCK3T220V</t>
  </si>
  <si>
    <t>30001649</t>
  </si>
  <si>
    <t>30001650</t>
  </si>
  <si>
    <t>30001849</t>
  </si>
  <si>
    <t>PORTA PALETE AÇO DESMONTAVEL</t>
  </si>
  <si>
    <t>30002605</t>
  </si>
  <si>
    <t>CARRINHO DESBOBINADOR P/ FITA DE ARQUEAR</t>
  </si>
  <si>
    <t>30003382</t>
  </si>
  <si>
    <t>COLETOR DADOS ZEBRA 2D QR CODE LONGA DISTANCIA</t>
  </si>
  <si>
    <t>CAPA PROTECAO P/ COLETOR ZEBRA MC3200</t>
  </si>
  <si>
    <t>30003383</t>
  </si>
  <si>
    <t>30003607</t>
  </si>
  <si>
    <t>COLETOR DE DADOS ZEBRA 2D QRCODE LONGA DISTANCIA</t>
  </si>
  <si>
    <t>30003770</t>
  </si>
  <si>
    <t>AR CONDICIONADO INT/EXT FRIO FUJITSU 24000 BTUS</t>
  </si>
  <si>
    <t>10001270</t>
  </si>
  <si>
    <t>BO12532</t>
  </si>
  <si>
    <t>30004106</t>
  </si>
  <si>
    <t>AR CONDICIONADO FRIO FUJITSU INVERTER 18000 BTU</t>
  </si>
  <si>
    <t>10001557</t>
  </si>
  <si>
    <t>B000493/B000136</t>
  </si>
  <si>
    <t>31000002</t>
  </si>
  <si>
    <t>EPILHADEIRA HYSTER H50CT /GLP CAP. 2500 KG</t>
  </si>
  <si>
    <t>10000462</t>
  </si>
  <si>
    <t>A274V01772J</t>
  </si>
  <si>
    <t>31000245</t>
  </si>
  <si>
    <t>EMPILHADEIRA HYSTER MOD. H50CT/GLP CAP. 2500 KG</t>
  </si>
  <si>
    <t>10000464</t>
  </si>
  <si>
    <t>A274V01773J</t>
  </si>
  <si>
    <t>32000064</t>
  </si>
  <si>
    <t>CONECTOR BALLUN PASSIVO 4 CANAIS</t>
  </si>
  <si>
    <t>32000141</t>
  </si>
  <si>
    <t>COMPUTADOR COMPLETO</t>
  </si>
  <si>
    <t>32000173</t>
  </si>
  <si>
    <t>COMPUTADOR INTEL CELERON 2.8 GHZ PRETO E PRATA</t>
  </si>
  <si>
    <t>32001216</t>
  </si>
  <si>
    <t>COMPUTADOR DELL VOSTRO CORE I3 4C 3.6GHZ, 4GB RAM</t>
  </si>
  <si>
    <t>FMR29T2</t>
  </si>
  <si>
    <t>32001217</t>
  </si>
  <si>
    <t>5GX91M2</t>
  </si>
  <si>
    <t>32002021</t>
  </si>
  <si>
    <t>F5CP423</t>
  </si>
  <si>
    <t>32002022</t>
  </si>
  <si>
    <t>F49N423</t>
  </si>
  <si>
    <t>32002023</t>
  </si>
  <si>
    <t>COMPUTADOR DELL VOSTRO I3 4GB SSD120GB W10P</t>
  </si>
  <si>
    <t>CGVYT73</t>
  </si>
  <si>
    <t>32002024</t>
  </si>
  <si>
    <t>BGVYT73</t>
  </si>
  <si>
    <t>32002025</t>
  </si>
  <si>
    <t>SWITCH ARUBA 2530 48G POE</t>
  </si>
  <si>
    <t>32002032</t>
  </si>
  <si>
    <t>31608</t>
  </si>
  <si>
    <t>32002033</t>
  </si>
  <si>
    <t>32002196</t>
  </si>
  <si>
    <t>5W7G1G3</t>
  </si>
  <si>
    <t>32002199</t>
  </si>
  <si>
    <t>1K7NRR2</t>
  </si>
  <si>
    <t>32002373</t>
  </si>
  <si>
    <t>8813</t>
  </si>
  <si>
    <t>32002374</t>
  </si>
  <si>
    <t>8815</t>
  </si>
  <si>
    <t>32002375</t>
  </si>
  <si>
    <t>8812</t>
  </si>
  <si>
    <t>32002504</t>
  </si>
  <si>
    <t>8862</t>
  </si>
  <si>
    <t>5BXQHH3</t>
  </si>
  <si>
    <t>32002546</t>
  </si>
  <si>
    <t>8864</t>
  </si>
  <si>
    <t>32002559</t>
  </si>
  <si>
    <t>8837</t>
  </si>
  <si>
    <t>GMDXHH3</t>
  </si>
  <si>
    <t>32002611</t>
  </si>
  <si>
    <t>BFSN9Q2</t>
  </si>
  <si>
    <t>32002813</t>
  </si>
  <si>
    <t>BM8MQK3</t>
  </si>
  <si>
    <t>32003090</t>
  </si>
  <si>
    <t>32003163</t>
  </si>
  <si>
    <t>HD78P74</t>
  </si>
  <si>
    <t>32003206</t>
  </si>
  <si>
    <t>40000305</t>
  </si>
  <si>
    <t>MAO DE BRA E MATERIAS P/TROCA DE TELHADO</t>
  </si>
  <si>
    <t>40000384</t>
  </si>
  <si>
    <t>SERVICO LAPIDACAO DE CONCRETO EXPEDICAO</t>
  </si>
  <si>
    <t>30003843</t>
  </si>
  <si>
    <t>AR CONDICIONADO INT/EXT FUJITSU 12000 BTU INVERTER</t>
  </si>
  <si>
    <t>10001327</t>
  </si>
  <si>
    <t>E068822 / 045815</t>
  </si>
  <si>
    <t>100005034</t>
  </si>
  <si>
    <t>30003877</t>
  </si>
  <si>
    <t>MESA DE ESCRITORIO TUBOLAR COM 2 GAVETAS 115X60</t>
  </si>
  <si>
    <t>10354</t>
  </si>
  <si>
    <t>30003878</t>
  </si>
  <si>
    <t>10357</t>
  </si>
  <si>
    <t>30003879</t>
  </si>
  <si>
    <t>10329</t>
  </si>
  <si>
    <t>30003880</t>
  </si>
  <si>
    <t>10340</t>
  </si>
  <si>
    <t>30003881</t>
  </si>
  <si>
    <t>10350</t>
  </si>
  <si>
    <t>30003902</t>
  </si>
  <si>
    <t>CADEIRA SECRETARIA EXECUTIVA BACK SISTEN GIRATORIA</t>
  </si>
  <si>
    <t>9897</t>
  </si>
  <si>
    <t>30003903</t>
  </si>
  <si>
    <t>9898</t>
  </si>
  <si>
    <t>30003904</t>
  </si>
  <si>
    <t>9899</t>
  </si>
  <si>
    <t>30003905</t>
  </si>
  <si>
    <t>9900</t>
  </si>
  <si>
    <t>30003906</t>
  </si>
  <si>
    <t>10358</t>
  </si>
  <si>
    <t>32002117</t>
  </si>
  <si>
    <t>NOTEBOOK DELL 14 CORE I3 4GB SSD120GB W10P</t>
  </si>
  <si>
    <t>CS8YQD3</t>
  </si>
  <si>
    <t>32002658</t>
  </si>
  <si>
    <t>NOTEBOOK DELL 15,6" CORE I5 4GB MEMORIA 1TB</t>
  </si>
  <si>
    <t>4QVMKW3</t>
  </si>
  <si>
    <t>32002669</t>
  </si>
  <si>
    <t>COMPUTADOR DELL OPTIPLEX/VOSTRO I3 4GB SSD 256GB</t>
  </si>
  <si>
    <t>85WTXW3</t>
  </si>
  <si>
    <t>32002722</t>
  </si>
  <si>
    <t>MONITOR LED 20" DELL</t>
  </si>
  <si>
    <t>32003161</t>
  </si>
  <si>
    <t>7VC0M74</t>
  </si>
  <si>
    <t>32003162</t>
  </si>
  <si>
    <t>DPB6ZM3</t>
  </si>
  <si>
    <t>30000193</t>
  </si>
  <si>
    <t>ARQUIVO DE ACO COM 04 GAVETAS</t>
  </si>
  <si>
    <t>100005041</t>
  </si>
  <si>
    <t>31000139</t>
  </si>
  <si>
    <t>CHEVROLET PRISMA 1.4 LT SEDAN 4 PORTAS BRANCO</t>
  </si>
  <si>
    <t>32000084</t>
  </si>
  <si>
    <t>COMPUTADOR ULTRABOOK SAMSUNG 530U3B-AD1</t>
  </si>
  <si>
    <t>32000139</t>
  </si>
  <si>
    <t>32000175</t>
  </si>
  <si>
    <t>MICROCOMPUTADOR INTEL DUAL CORE 1.6 GHZ 1GB</t>
  </si>
  <si>
    <t>100005042</t>
  </si>
  <si>
    <t>32000178</t>
  </si>
  <si>
    <t>31000262</t>
  </si>
  <si>
    <t>CHEVROLET ONIX PLUS AT TURBO 116 CV</t>
  </si>
  <si>
    <t>100005043</t>
  </si>
  <si>
    <t>32000963</t>
  </si>
  <si>
    <t>COMPUTADOR DELL OPTIPLEX 3020</t>
  </si>
  <si>
    <t>32001988</t>
  </si>
  <si>
    <t>COMPUTADOR DELL VOSTRO I3 4GB SSD 120GB W10P</t>
  </si>
  <si>
    <t>9DWQD53</t>
  </si>
  <si>
    <t>32001991</t>
  </si>
  <si>
    <t>GTR4C03</t>
  </si>
  <si>
    <t>12000062</t>
  </si>
  <si>
    <t>PISTA ABASTECIMENTO DIESEL</t>
  </si>
  <si>
    <t>100005051</t>
  </si>
  <si>
    <t>21000300</t>
  </si>
  <si>
    <t>RASTREADORES JABURSAT DMR-200 D SKYWARE C/</t>
  </si>
  <si>
    <t>21000665</t>
  </si>
  <si>
    <t>KIT COMPLETO P/RASTREAMENTO</t>
  </si>
  <si>
    <t>31000003</t>
  </si>
  <si>
    <t>CAMINHÃO MERCEDES BENZ ACELLO 1016</t>
  </si>
  <si>
    <t>TRANSPORTE DO CAMINHAO MERCEDES</t>
  </si>
  <si>
    <t>FURGAO ALUMINIO CARGA SECA 6,2X2,3X2,4</t>
  </si>
  <si>
    <t>31000004</t>
  </si>
  <si>
    <t>FURGAO ALUMINIO CARGA SECA 6,2X2,3X2,4 ANO 2014</t>
  </si>
  <si>
    <t>31000008</t>
  </si>
  <si>
    <t>CARROCERIA FURGAO LONADO</t>
  </si>
  <si>
    <t>31000009</t>
  </si>
  <si>
    <t>KIT TERCEIRO EIXO BALANCIM</t>
  </si>
  <si>
    <t>31000010</t>
  </si>
  <si>
    <t>KIT TERCEIRO EIXO MARCA RANDON</t>
  </si>
  <si>
    <t>31000011</t>
  </si>
  <si>
    <t>CARROCERIA FURGAO SIDER RANDON</t>
  </si>
  <si>
    <t>31000012</t>
  </si>
  <si>
    <t>KIT FURGAO ENLONADO PLANO CURTAIN SIDER</t>
  </si>
  <si>
    <t>31000013</t>
  </si>
  <si>
    <t>MAO DE OBRA PARA MONTAGEM DE UMA CARROCERIA</t>
  </si>
  <si>
    <t>31000014</t>
  </si>
  <si>
    <t>31000015</t>
  </si>
  <si>
    <t>KIT COMPLETO TERCEIRO EIXO DIANTEIRO</t>
  </si>
  <si>
    <t>31000016</t>
  </si>
  <si>
    <t>31000017</t>
  </si>
  <si>
    <t>CARROCERIA TIPO BAU FECHADA</t>
  </si>
  <si>
    <t>VLR DIFERENCIAL DE ALIQUOTA REF. NF 270 VIDEFERRO</t>
  </si>
  <si>
    <t>31000018</t>
  </si>
  <si>
    <t>CARROCERIA FURGAO ENLONADO PLANO CURTAIN</t>
  </si>
  <si>
    <t>VLR DIFERENCIAL DE ALIQUOTA REF NF 134303 RANDON</t>
  </si>
  <si>
    <t>31000077</t>
  </si>
  <si>
    <t>CAMINHAO VW 24.280 CRM 6X2</t>
  </si>
  <si>
    <t>31000079</t>
  </si>
  <si>
    <t>SERVICO DE INSTALACAO DO FURGAO</t>
  </si>
  <si>
    <t>DEFLETOR DE AR, KT MANGUEIRA E PISTOLA, COLHA DE</t>
  </si>
  <si>
    <t>PECAS PARA INSTALACAO DO FURGAO</t>
  </si>
  <si>
    <t>PROTETOR LATERAL E PRACHOQUE HOMOLOGADO COMPLETO</t>
  </si>
  <si>
    <t>SOFA CAMA, BANCO ,TAPETE VERNIZ, BANCO, MALEIRO</t>
  </si>
  <si>
    <t>COMPUTADOR DE BORDO IV ,PAINEL DE CONTROLE</t>
  </si>
  <si>
    <t>31000080</t>
  </si>
  <si>
    <t>CLIMATIZADOR, DEFLETOR DE AR, CALHA DE CHUVA,</t>
  </si>
  <si>
    <t>SERVIÇO PARA INSTALAÇÃO DE BAU</t>
  </si>
  <si>
    <t>AQUISIÇÃO DE PRESTAÇAÕ DE SERVIÇO PARA INSTALAÇÃO</t>
  </si>
  <si>
    <t>31000081</t>
  </si>
  <si>
    <t>953658240DR306901</t>
  </si>
  <si>
    <t>DEFLETOR DE AR, KIT MANGUEIRA E PISTOLA, CALHA DE</t>
  </si>
  <si>
    <t>31000087</t>
  </si>
  <si>
    <t>FURGAO LONADO SIDER TIPO CARROCERIA</t>
  </si>
  <si>
    <t>31000157</t>
  </si>
  <si>
    <t>CAMINHÃO VW 30.330 CRC 8X2</t>
  </si>
  <si>
    <t>FURGAO LONADO</t>
  </si>
  <si>
    <t>RASTREADOR</t>
  </si>
  <si>
    <t>31000211</t>
  </si>
  <si>
    <t>CAMINHAO TRATOR MODELO VW 19.360 ANO/MODELO 20/21</t>
  </si>
  <si>
    <t>9536R8278NR017636</t>
  </si>
  <si>
    <t>31000212</t>
  </si>
  <si>
    <t>DEFLETOR DE AR AEROFOLE PARA CAMINHAO</t>
  </si>
  <si>
    <t>MOLA PNEUMATICA SUSPENTECH</t>
  </si>
  <si>
    <t>31000216</t>
  </si>
  <si>
    <t>31000218</t>
  </si>
  <si>
    <t>31000224</t>
  </si>
  <si>
    <t>SEMIRREBOQUE LONADO COM 02 EIXOS JUNTOS 11.700MM</t>
  </si>
  <si>
    <t>31000229</t>
  </si>
  <si>
    <t>31000231</t>
  </si>
  <si>
    <t>31000232</t>
  </si>
  <si>
    <t>31000282</t>
  </si>
  <si>
    <t>SAVEIRO VW ROBUST CS TOTAL FLEX CAMBIO MANUAL 2023</t>
  </si>
  <si>
    <t>GASTOS ADICIONAIS COM SAVEIRO VW ROBUST</t>
  </si>
  <si>
    <t>31000310</t>
  </si>
  <si>
    <t>CAMINHAO VOLVO VM360 4X2 CAVALO BITRUCK ANO 2024</t>
  </si>
  <si>
    <t>9BVPZ60A9RE200138</t>
  </si>
  <si>
    <t>31000311</t>
  </si>
  <si>
    <t>CAMINHAO VOLVO VM290 6X2 ANO 2024</t>
  </si>
  <si>
    <t>93KP0Y1CXRE199197</t>
  </si>
  <si>
    <t>31000312</t>
  </si>
  <si>
    <t>93KP0Y1C1RE199194</t>
  </si>
  <si>
    <t>FURGAO LONADO SIDER 8,50M X 2,60M X 2,60M ANO 2013</t>
  </si>
  <si>
    <t>31000313</t>
  </si>
  <si>
    <t>93KP0Y1C4RE199195</t>
  </si>
  <si>
    <t>BAU SIDER LONADO</t>
  </si>
  <si>
    <t>31000317</t>
  </si>
  <si>
    <t>CAMINHAO VW 30320 CONSTELLATION 8X2 ANO 24/25</t>
  </si>
  <si>
    <t>9536C8TD9SR017064</t>
  </si>
  <si>
    <t>32000182</t>
  </si>
  <si>
    <t>RASTREADOR JABURSAT DMR 200 COM SIRENE</t>
  </si>
  <si>
    <t>32001334</t>
  </si>
  <si>
    <t>GMLD0K2</t>
  </si>
  <si>
    <t>30002243</t>
  </si>
  <si>
    <t>CADEIRA GIRATORIA SECRETARIA CAVALETTI 4004 SL</t>
  </si>
  <si>
    <t>100005058</t>
  </si>
  <si>
    <t>30002244</t>
  </si>
  <si>
    <t>30002312</t>
  </si>
  <si>
    <t>30003783</t>
  </si>
  <si>
    <t>ARMARIO DE ACO 1,66X0,75X0,35 CINZA</t>
  </si>
  <si>
    <t>10342</t>
  </si>
  <si>
    <t>30004030</t>
  </si>
  <si>
    <t>AR CONDICIONADO FRIO FUJITSU 24.000 BTU</t>
  </si>
  <si>
    <t>10001446</t>
  </si>
  <si>
    <t>B000780</t>
  </si>
  <si>
    <t>30004224</t>
  </si>
  <si>
    <t>RACK DESMONTAVEL 19"X40 U 600X800MM PT A2.6840.700</t>
  </si>
  <si>
    <t>9895</t>
  </si>
  <si>
    <t>32000076</t>
  </si>
  <si>
    <t>NOTEBOOK MN 4129 BLACK MEGAWARE</t>
  </si>
  <si>
    <t>4415</t>
  </si>
  <si>
    <t>32000886</t>
  </si>
  <si>
    <t>COMPUTADOR LENOVO I5 4430 4GB 500GB WIN8 PE01MJAZ</t>
  </si>
  <si>
    <t>32000994</t>
  </si>
  <si>
    <t>FIREWALL SONICWALL TZ300</t>
  </si>
  <si>
    <t>LICENÇA DE USO SONICWALL 2 ANOS</t>
  </si>
  <si>
    <t>LICENÇA ANALYSER TZ300</t>
  </si>
  <si>
    <t>FIREWALL SONICWALL SOHO</t>
  </si>
  <si>
    <t>32001000</t>
  </si>
  <si>
    <t>SERVIDOR DELL POWEREDGE</t>
  </si>
  <si>
    <t>CONJUNTO CONTENDO MEMORIA 4 GB DDR 400</t>
  </si>
  <si>
    <t>MODULO DE MEMÓRIA KVR13E9/81</t>
  </si>
  <si>
    <t>32001077</t>
  </si>
  <si>
    <t>COMPUTADOR DELL OPTIPLEX 3050SFF  I5 -7500</t>
  </si>
  <si>
    <t>B5073N2</t>
  </si>
  <si>
    <t>32001138</t>
  </si>
  <si>
    <t>COMPUTADOR DELL VOSTRO PROCESSADOR INTEL CORE I5</t>
  </si>
  <si>
    <t>32001139</t>
  </si>
  <si>
    <t>4N2C1M2</t>
  </si>
  <si>
    <t>32001220</t>
  </si>
  <si>
    <t>FIREWALL MODELO FORTIGATE -100E</t>
  </si>
  <si>
    <t>32001221</t>
  </si>
  <si>
    <t>32001238</t>
  </si>
  <si>
    <t>SWITCH ARUBA  3810M 24G JL071A_0212 I</t>
  </si>
  <si>
    <t>32001239</t>
  </si>
  <si>
    <t>32001328</t>
  </si>
  <si>
    <t>32001329</t>
  </si>
  <si>
    <t>64P59T2</t>
  </si>
  <si>
    <t>32001333</t>
  </si>
  <si>
    <t>32001582</t>
  </si>
  <si>
    <t>SWITCH ARUBA 2540 48G POE+ PERP4SFP</t>
  </si>
  <si>
    <t>32001597</t>
  </si>
  <si>
    <t>NOBREAK APC SMART UPS RT 3000 VA RM 220V</t>
  </si>
  <si>
    <t>32001626</t>
  </si>
  <si>
    <t>SWITCH ARUBA 2540 48G (JL357A) POE+ PERP4SFP</t>
  </si>
  <si>
    <t>32002215</t>
  </si>
  <si>
    <t>SERVIDOR DELL POWEREDGE T440</t>
  </si>
  <si>
    <t>32002257</t>
  </si>
  <si>
    <t>NOTEBOOK DELL VOSTRO 14 I5 8GB HD SSD240GB W10P</t>
  </si>
  <si>
    <t>HD SSD 250GB G25</t>
  </si>
  <si>
    <t>32002370</t>
  </si>
  <si>
    <t>32002376</t>
  </si>
  <si>
    <t>32002377</t>
  </si>
  <si>
    <t>8814</t>
  </si>
  <si>
    <t>928QPP3</t>
  </si>
  <si>
    <t>SERVIÇO REF LICENCIAMENTO E ACESSO DE PROGRAMA</t>
  </si>
  <si>
    <t>32002446</t>
  </si>
  <si>
    <t>GRAVADOR DIGITAL INTELBRAS DE VIDEO NVD 7132</t>
  </si>
  <si>
    <t>32002447</t>
  </si>
  <si>
    <t>CAMERA IP INTELBRAS VIP 1430B BULLET 4M</t>
  </si>
  <si>
    <t>32002448</t>
  </si>
  <si>
    <t>32002449</t>
  </si>
  <si>
    <t>32002450</t>
  </si>
  <si>
    <t>32002451</t>
  </si>
  <si>
    <t>32002452</t>
  </si>
  <si>
    <t>32002453</t>
  </si>
  <si>
    <t>32002454</t>
  </si>
  <si>
    <t>32002455</t>
  </si>
  <si>
    <t>32002456</t>
  </si>
  <si>
    <t>32002457</t>
  </si>
  <si>
    <t>32002458</t>
  </si>
  <si>
    <t>32002459</t>
  </si>
  <si>
    <t>32002460</t>
  </si>
  <si>
    <t>32002461</t>
  </si>
  <si>
    <t>32002462</t>
  </si>
  <si>
    <t>32002463</t>
  </si>
  <si>
    <t>32002513</t>
  </si>
  <si>
    <t>SWITCH UNIFI ENTERPRISE 48 POE SKU</t>
  </si>
  <si>
    <t>9501</t>
  </si>
  <si>
    <t>32002515</t>
  </si>
  <si>
    <t>9503</t>
  </si>
  <si>
    <t>32002604</t>
  </si>
  <si>
    <t>10361</t>
  </si>
  <si>
    <t>32002605</t>
  </si>
  <si>
    <t>10334</t>
  </si>
  <si>
    <t>32002606</t>
  </si>
  <si>
    <t>10365</t>
  </si>
  <si>
    <t>32002607</t>
  </si>
  <si>
    <t>10367</t>
  </si>
  <si>
    <t>32002608</t>
  </si>
  <si>
    <t>10395</t>
  </si>
  <si>
    <t>32002609</t>
  </si>
  <si>
    <t>10376</t>
  </si>
  <si>
    <t>32002724</t>
  </si>
  <si>
    <t>8ALK5000134EQ</t>
  </si>
  <si>
    <t>32002788</t>
  </si>
  <si>
    <t>307AZVN3K407</t>
  </si>
  <si>
    <t>32002817</t>
  </si>
  <si>
    <t>NOTEBOOK DELL INSPIRION 15 5000 I5 16GB SSD512GB</t>
  </si>
  <si>
    <t>HWK2CZ3</t>
  </si>
  <si>
    <t>32003070</t>
  </si>
  <si>
    <t>GRAVADOR DIGITAL INTELBRAS DE VIDEO NVD 7032</t>
  </si>
  <si>
    <t>08ALM1200399FX</t>
  </si>
  <si>
    <t>32003211</t>
  </si>
  <si>
    <t>NOBREAK APC SRV 1KVA SRV1KRI 230V</t>
  </si>
  <si>
    <t>S9S2424A00259</t>
  </si>
  <si>
    <t>32003220</t>
  </si>
  <si>
    <t>GRAVADOR DIGITAL INTELBRAS DE VIDEO INVD 7032</t>
  </si>
  <si>
    <t>8ABM4200116YW</t>
  </si>
  <si>
    <t>11000055</t>
  </si>
  <si>
    <t>CABO MULTIF P/ A DIRETORIA DA FABRICA</t>
  </si>
  <si>
    <t>100005060</t>
  </si>
  <si>
    <t>11000056</t>
  </si>
  <si>
    <t>CABO MULTIF P/DEPARTAMENTO PESSOAL FABRICA</t>
  </si>
  <si>
    <t>12000034</t>
  </si>
  <si>
    <t>AREA DE CONVIVIO</t>
  </si>
  <si>
    <t>12000084</t>
  </si>
  <si>
    <t>PORTICO E TOTEM DE IDENTIFICACAO</t>
  </si>
  <si>
    <t>30000113</t>
  </si>
  <si>
    <t>MESA TREVISO 25MM BEGE COM GAVETEIRO FIXO 2 GAVETA</t>
  </si>
  <si>
    <t>30000115</t>
  </si>
  <si>
    <t>ARMARIO ALTO TREVISO 1,60X0,90X0,40 BG LU</t>
  </si>
  <si>
    <t>30000124</t>
  </si>
  <si>
    <t>MESA REUNIAO NOBLESSE 4060 NOCE MOBITEC</t>
  </si>
  <si>
    <t>30000125</t>
  </si>
  <si>
    <t>AR CONDICIONADO COMFEE 12000 BTU</t>
  </si>
  <si>
    <t>30000142</t>
  </si>
  <si>
    <t>ARMARIO PARA TV DO SETOR ADMINISTRATIVO FABRICA</t>
  </si>
  <si>
    <t>30000152</t>
  </si>
  <si>
    <t>FAX PANASSONIC</t>
  </si>
  <si>
    <t>30000154</t>
  </si>
  <si>
    <t>CADEIRA LONGARINA 3 LUGARES</t>
  </si>
  <si>
    <t>30000157</t>
  </si>
  <si>
    <t>MESA DE SOLDA CONJUGADA DALL</t>
  </si>
  <si>
    <t>30000159</t>
  </si>
  <si>
    <t>CUBA EM ACO INOX</t>
  </si>
  <si>
    <t>30000164</t>
  </si>
  <si>
    <t>ARMARIO COM SUPORTES PARA CILINDROS</t>
  </si>
  <si>
    <t>30000165</t>
  </si>
  <si>
    <t>TV COLOR PHILCO 20 TP 2052</t>
  </si>
  <si>
    <t>30000166</t>
  </si>
  <si>
    <t>VIDEO CASSETE PVC HF 16 STEREO</t>
  </si>
  <si>
    <t>30000167</t>
  </si>
  <si>
    <t>AR CONDICIONADO CONSUL CCF 10000 BTU</t>
  </si>
  <si>
    <t>30000168</t>
  </si>
  <si>
    <t>ARQUIVO ASOF 4 GAVETAS</t>
  </si>
  <si>
    <t>30000169</t>
  </si>
  <si>
    <t>ARQUIVO COM 4 GAVETAS</t>
  </si>
  <si>
    <t>30000170</t>
  </si>
  <si>
    <t>AR CONDICONADO CONSUL AIRSLIP HIWALL 22000 BTU</t>
  </si>
  <si>
    <t>30000171</t>
  </si>
  <si>
    <t>ARMARIO PARA ARQUIVO 4 GAVETAS ROLAMENTO CH22STEEL</t>
  </si>
  <si>
    <t>30000172</t>
  </si>
  <si>
    <t>ARQUIVO 4 GAVETAS</t>
  </si>
  <si>
    <t>30000174</t>
  </si>
  <si>
    <t>TENDA</t>
  </si>
  <si>
    <t>30000176</t>
  </si>
  <si>
    <t>AR CONDIONADO CCI10A 220V 10000 BTU</t>
  </si>
  <si>
    <t>30000177</t>
  </si>
  <si>
    <t>AR CONDIONADO CONSUL 220V CC07</t>
  </si>
  <si>
    <t>30000178</t>
  </si>
  <si>
    <t>30000179</t>
  </si>
  <si>
    <t>30000181</t>
  </si>
  <si>
    <t>ARMARIO GRP516E ROUP 16VAO SOBR PIT VEGEL</t>
  </si>
  <si>
    <t>30000185</t>
  </si>
  <si>
    <t>SOFA HERVAL 1093</t>
  </si>
  <si>
    <t>30000189</t>
  </si>
  <si>
    <t>DIVISORAS PARA SALA DO CPD</t>
  </si>
  <si>
    <t>30000190</t>
  </si>
  <si>
    <t>ARMARIO PARA ARQUIVO 4 GAVETAS ROLAMENTO VEGEL</t>
  </si>
  <si>
    <t>30000191</t>
  </si>
  <si>
    <t>GELADEIRA ELETROLUX RE-26 253L BRANCA</t>
  </si>
  <si>
    <t>30000192</t>
  </si>
  <si>
    <t>BALCAO PARA RECEPCAO</t>
  </si>
  <si>
    <t>30000196</t>
  </si>
  <si>
    <t>ARMARIO FECHADO</t>
  </si>
  <si>
    <t>30000198</t>
  </si>
  <si>
    <t>ESTANTE DE ACO COM 05 BANDEJAS P/ ARQUIVO MORTO</t>
  </si>
  <si>
    <t>30000200</t>
  </si>
  <si>
    <t>AR CONDICIONADO CONSUL CCX07 7500 BTU</t>
  </si>
  <si>
    <t>30000201</t>
  </si>
  <si>
    <t>BANCADA</t>
  </si>
  <si>
    <t>30000206</t>
  </si>
  <si>
    <t>ESTANTE DE ACO 6X1 AMAPA CONZA P/ ARQUIVAMENTO DE</t>
  </si>
  <si>
    <t>30000208</t>
  </si>
  <si>
    <t>TV SEMP TSHIBA 29 2988MS STEREO</t>
  </si>
  <si>
    <t>30000209</t>
  </si>
  <si>
    <t>AR CONDICIONADO CARRIER SPACE 380V 60000 BTU</t>
  </si>
  <si>
    <t>10002</t>
  </si>
  <si>
    <t>SERVICO DE INSTALACAODE AR CONDICIONADO</t>
  </si>
  <si>
    <t>30000211</t>
  </si>
  <si>
    <t>CADEIRA FIXA</t>
  </si>
  <si>
    <t>30000220</t>
  </si>
  <si>
    <t>AR CONDICIONADO SPLIT HIWALL HITACHI 24000 BTU</t>
  </si>
  <si>
    <t>30000230</t>
  </si>
  <si>
    <t>BEBEDOURO MASTER INOX LIBEL P/A</t>
  </si>
  <si>
    <t>30000233</t>
  </si>
  <si>
    <t>ESTANTE DE ACO COM 6 BANDEJAS</t>
  </si>
  <si>
    <t>30000235</t>
  </si>
  <si>
    <t>30000242</t>
  </si>
  <si>
    <t>MESA 1,20X60X75 COM 2 GAVETAS</t>
  </si>
  <si>
    <t>AR CONDICIONADO SPLIT HW CONSUL 220V 18000 BTU</t>
  </si>
  <si>
    <t>7531</t>
  </si>
  <si>
    <t>30000245</t>
  </si>
  <si>
    <t>MESA DE REUNIAO 2,5X1,25X0,75 25MMM</t>
  </si>
  <si>
    <t>7492</t>
  </si>
  <si>
    <t>30001262</t>
  </si>
  <si>
    <t>AR CONDICIONADO MIDEA VIZE 220V 12.000 BTU</t>
  </si>
  <si>
    <t>10008 / 10000726</t>
  </si>
  <si>
    <t>30001263</t>
  </si>
  <si>
    <t>10007 / 10000727</t>
  </si>
  <si>
    <t>30001264</t>
  </si>
  <si>
    <t>10005 / 10000728</t>
  </si>
  <si>
    <t>30001537</t>
  </si>
  <si>
    <t>CADEIRA CAVALETTI GIRATORIO DIRETOR 4001</t>
  </si>
  <si>
    <t>30001538</t>
  </si>
  <si>
    <t>30001539</t>
  </si>
  <si>
    <t>30001738</t>
  </si>
  <si>
    <t>MESA DE REUNIAO 2,70X1,20 TAMPO DE 15MM</t>
  </si>
  <si>
    <t>30003380</t>
  </si>
  <si>
    <t>30003399</t>
  </si>
  <si>
    <t>AR CONDICIONADO INVERTER FRIO FUJITSU 9000 BTU</t>
  </si>
  <si>
    <t>30003410</t>
  </si>
  <si>
    <t>CADEIRA CAVALETTI GIR DIRETOR 4002 BRACO SL</t>
  </si>
  <si>
    <t>8802</t>
  </si>
  <si>
    <t>30003411</t>
  </si>
  <si>
    <t>8803</t>
  </si>
  <si>
    <t>30003412</t>
  </si>
  <si>
    <t>8804</t>
  </si>
  <si>
    <t>30003413</t>
  </si>
  <si>
    <t>8805</t>
  </si>
  <si>
    <t>30003414</t>
  </si>
  <si>
    <t>8806</t>
  </si>
  <si>
    <t>30003415</t>
  </si>
  <si>
    <t>8807</t>
  </si>
  <si>
    <t>30003416</t>
  </si>
  <si>
    <t>8808</t>
  </si>
  <si>
    <t>30003417</t>
  </si>
  <si>
    <t>8809</t>
  </si>
  <si>
    <t>30003433</t>
  </si>
  <si>
    <t>SOFA 3 LUGARES MADRI CORANO PRETO 210X77X90</t>
  </si>
  <si>
    <t>30003434</t>
  </si>
  <si>
    <t>POLTRONA CAVALETTI SPOT 36010 4P COURO VERMELHO</t>
  </si>
  <si>
    <t>30003435</t>
  </si>
  <si>
    <t>30003436</t>
  </si>
  <si>
    <t>30003593</t>
  </si>
  <si>
    <t>TV SMART LED 55" LG 4KUHD BLUETOOTH ASSIT. VIRTUAL</t>
  </si>
  <si>
    <t>8860</t>
  </si>
  <si>
    <t>30003598</t>
  </si>
  <si>
    <t>APARADOR 120 X 38 COM TAMPA DE VIDRO</t>
  </si>
  <si>
    <t>8894</t>
  </si>
  <si>
    <t>30003940</t>
  </si>
  <si>
    <t>ARMARIO EM MDF 2 PORTAS ME4149 BRANCO</t>
  </si>
  <si>
    <t>9884</t>
  </si>
  <si>
    <t>30004146</t>
  </si>
  <si>
    <t>MESA SEMI OVAL 2.40X1.20 TAMPO COM 25MM MARROM</t>
  </si>
  <si>
    <t>9885</t>
  </si>
  <si>
    <t>30004151</t>
  </si>
  <si>
    <t>9889</t>
  </si>
  <si>
    <t>30004152</t>
  </si>
  <si>
    <t>9890</t>
  </si>
  <si>
    <t>30004153</t>
  </si>
  <si>
    <t>9891</t>
  </si>
  <si>
    <t>30004154</t>
  </si>
  <si>
    <t>9892</t>
  </si>
  <si>
    <t>30004155</t>
  </si>
  <si>
    <t>9893</t>
  </si>
  <si>
    <t>30004156</t>
  </si>
  <si>
    <t>9894</t>
  </si>
  <si>
    <t>30004226</t>
  </si>
  <si>
    <t>CADEIRA GIRATORIA EXECUTIVA S/LAM 155TC AZUL</t>
  </si>
  <si>
    <t>30004227</t>
  </si>
  <si>
    <t>30004228</t>
  </si>
  <si>
    <t>30004229</t>
  </si>
  <si>
    <t>30004230</t>
  </si>
  <si>
    <t>30004231</t>
  </si>
  <si>
    <t>30004232</t>
  </si>
  <si>
    <t>30004233</t>
  </si>
  <si>
    <t>30004234</t>
  </si>
  <si>
    <t>30004235</t>
  </si>
  <si>
    <t>30004236</t>
  </si>
  <si>
    <t>30004237</t>
  </si>
  <si>
    <t>30004238</t>
  </si>
  <si>
    <t>30004239</t>
  </si>
  <si>
    <t>30004240</t>
  </si>
  <si>
    <t>30004241</t>
  </si>
  <si>
    <t>30004242</t>
  </si>
  <si>
    <t>30004243</t>
  </si>
  <si>
    <t>30004244</t>
  </si>
  <si>
    <t>30004245</t>
  </si>
  <si>
    <t>30004246</t>
  </si>
  <si>
    <t>30004247</t>
  </si>
  <si>
    <t>30004248</t>
  </si>
  <si>
    <t>30004249</t>
  </si>
  <si>
    <t>30004250</t>
  </si>
  <si>
    <t>30004251</t>
  </si>
  <si>
    <t>30004252</t>
  </si>
  <si>
    <t>30004253</t>
  </si>
  <si>
    <t>30004254</t>
  </si>
  <si>
    <t>30004255</t>
  </si>
  <si>
    <t>30004256</t>
  </si>
  <si>
    <t>30004257</t>
  </si>
  <si>
    <t>30004258</t>
  </si>
  <si>
    <t>30004259</t>
  </si>
  <si>
    <t>30004260</t>
  </si>
  <si>
    <t>30004261</t>
  </si>
  <si>
    <t>30004262</t>
  </si>
  <si>
    <t>30004263</t>
  </si>
  <si>
    <t>30004264</t>
  </si>
  <si>
    <t>30004265</t>
  </si>
  <si>
    <t>30004266</t>
  </si>
  <si>
    <t>30004267</t>
  </si>
  <si>
    <t>30004268</t>
  </si>
  <si>
    <t>30004269</t>
  </si>
  <si>
    <t>30004421</t>
  </si>
  <si>
    <t>AR CONDICIONADO GREE GTOP FRIO AUTO R32 24000 BTU</t>
  </si>
  <si>
    <t>10001554</t>
  </si>
  <si>
    <t>3J71448015985</t>
  </si>
  <si>
    <t>32000069</t>
  </si>
  <si>
    <t>NOTEBOOK HP G42-431 CB6783</t>
  </si>
  <si>
    <t>32000112</t>
  </si>
  <si>
    <t>AVER VIDEO CONFERENCIA PONTO A PONTO HD EVC100</t>
  </si>
  <si>
    <t>7459</t>
  </si>
  <si>
    <t>32000113</t>
  </si>
  <si>
    <t>MEDIDOR DE ESPESSURA SME CONF CVIII CNT</t>
  </si>
  <si>
    <t>32000114</t>
  </si>
  <si>
    <t>MONITOR 15" PHILIPS 1505S</t>
  </si>
  <si>
    <t>COYM0K2</t>
  </si>
  <si>
    <t>32000115</t>
  </si>
  <si>
    <t>AR CONDICIONADO YORK 36000 BTU</t>
  </si>
  <si>
    <t>10000736</t>
  </si>
  <si>
    <t>32000116</t>
  </si>
  <si>
    <t>COMPUTADOR</t>
  </si>
  <si>
    <t>32000118</t>
  </si>
  <si>
    <t>MONITOR 15" SANSUMG 551V</t>
  </si>
  <si>
    <t>HLZRTD2</t>
  </si>
  <si>
    <t>32000119</t>
  </si>
  <si>
    <t>COMPUTADOR MONTADO</t>
  </si>
  <si>
    <t>32000120</t>
  </si>
  <si>
    <t>NOBREAK SMS 3000 BI VISION</t>
  </si>
  <si>
    <t>32000121</t>
  </si>
  <si>
    <t>HJDRTD2</t>
  </si>
  <si>
    <t>32000122</t>
  </si>
  <si>
    <t>32000123</t>
  </si>
  <si>
    <t>32000124</t>
  </si>
  <si>
    <t>COMPUTADOR ATHLON 2000</t>
  </si>
  <si>
    <t>32000127</t>
  </si>
  <si>
    <t>COMPUTADOR ATHLON 2100 GHZ</t>
  </si>
  <si>
    <t>32000129</t>
  </si>
  <si>
    <t>COMPUTADOR SIMPLES ATHLON</t>
  </si>
  <si>
    <t>32000134</t>
  </si>
  <si>
    <t>MONITOR 17" PHILIPS</t>
  </si>
  <si>
    <t>PLB1M2</t>
  </si>
  <si>
    <t>32000135</t>
  </si>
  <si>
    <t>MONITOR SAMSUNG 15"</t>
  </si>
  <si>
    <t>32000136</t>
  </si>
  <si>
    <t>GRAVADORA DVD LG</t>
  </si>
  <si>
    <t>32000145</t>
  </si>
  <si>
    <t>IMPRESSORA HP LASERJET 3020 CFE</t>
  </si>
  <si>
    <t>32000146</t>
  </si>
  <si>
    <t>COMPUTADOR SEMPRON 2400</t>
  </si>
  <si>
    <t>32000153</t>
  </si>
  <si>
    <t>32000155</t>
  </si>
  <si>
    <t>MONITOR HP LCD 17"</t>
  </si>
  <si>
    <t>32000156</t>
  </si>
  <si>
    <t>32000157</t>
  </si>
  <si>
    <t>COMPUTADOR HP</t>
  </si>
  <si>
    <t>32000159</t>
  </si>
  <si>
    <t>MICROCOMPUTADOR SUPREME STYLISH SGK8V80</t>
  </si>
  <si>
    <t>32000160</t>
  </si>
  <si>
    <t>MONITOR 17" PHILIPHS</t>
  </si>
  <si>
    <t>32000166</t>
  </si>
  <si>
    <t>AMPLIFICADOR DE POTENCIA</t>
  </si>
  <si>
    <t>MESA DE SOM</t>
  </si>
  <si>
    <t>CAIXAS ACUSTICAS</t>
  </si>
  <si>
    <t>MICROFONE SEM FIO WM-1001</t>
  </si>
  <si>
    <t>PLUG P-10 PRATA</t>
  </si>
  <si>
    <t>FIO 0,20</t>
  </si>
  <si>
    <t>32000194</t>
  </si>
  <si>
    <t>COMPUTADOR COM MEMORIA, PLACA MAE, NVIDIA</t>
  </si>
  <si>
    <t>PLACA DE VIDEO GEFORCE FX 8500 GT 256 MB</t>
  </si>
  <si>
    <t>32000215</t>
  </si>
  <si>
    <t>SERVICO DE MONTAGEM DO SERVIDOR</t>
  </si>
  <si>
    <t>32000218</t>
  </si>
  <si>
    <t>NOTEBOOK DELL 15.6" 4G 1TB PRATA</t>
  </si>
  <si>
    <t>32000893</t>
  </si>
  <si>
    <t>32000894</t>
  </si>
  <si>
    <t>32000895</t>
  </si>
  <si>
    <t>32000966</t>
  </si>
  <si>
    <t>NOTEBOOK DELL 14 VST 3458 I3 4 SYST 4GB</t>
  </si>
  <si>
    <t>32001013</t>
  </si>
  <si>
    <t>32001344</t>
  </si>
  <si>
    <t>GFXTFV2</t>
  </si>
  <si>
    <t>32001347</t>
  </si>
  <si>
    <t>MONITOR DELL E1916H 18,5" WIDESCREEN</t>
  </si>
  <si>
    <t>32001363</t>
  </si>
  <si>
    <t>32002623</t>
  </si>
  <si>
    <t>NOTEBOOK DELL INSPIRION 15 5000 I5 16GB W11P</t>
  </si>
  <si>
    <t>H2QTXT3</t>
  </si>
  <si>
    <t>32002641</t>
  </si>
  <si>
    <t>32002646</t>
  </si>
  <si>
    <t>B3QTXT3</t>
  </si>
  <si>
    <t>32002827</t>
  </si>
  <si>
    <t>MONITOR DELL P2018H 21"</t>
  </si>
  <si>
    <t>JK1QG83</t>
  </si>
  <si>
    <t>32002984</t>
  </si>
  <si>
    <t>TV SAMSUNG SMART 4K UHD 3HDMI 50" LH50BECH</t>
  </si>
  <si>
    <t>Y5D0HX6X400614K</t>
  </si>
  <si>
    <t>32003073</t>
  </si>
  <si>
    <t>32003074</t>
  </si>
  <si>
    <t>32003075</t>
  </si>
  <si>
    <t>32003076</t>
  </si>
  <si>
    <t>MONITOR HP LCD 21"</t>
  </si>
  <si>
    <t>32003077</t>
  </si>
  <si>
    <t>32003078</t>
  </si>
  <si>
    <t>MONITOR SANSUNG 15" 591V</t>
  </si>
  <si>
    <t>32003079</t>
  </si>
  <si>
    <t>32003080</t>
  </si>
  <si>
    <t>MONITOR SANSUNG 15" 551V</t>
  </si>
  <si>
    <t>32003081</t>
  </si>
  <si>
    <t>32003082</t>
  </si>
  <si>
    <t>MONITOR SANSUNG 15" 540 N</t>
  </si>
  <si>
    <t>32003083</t>
  </si>
  <si>
    <t>32003084</t>
  </si>
  <si>
    <t>MONITOR PHILIPS 5"</t>
  </si>
  <si>
    <t>32003085</t>
  </si>
  <si>
    <t>32003086</t>
  </si>
  <si>
    <t>MONITOR SANSUNG 15"</t>
  </si>
  <si>
    <t>33000000</t>
  </si>
  <si>
    <t>LICENCA DE SOFTWARE, P/O SETOR DE LABORATORIO DA</t>
  </si>
  <si>
    <t>33000043</t>
  </si>
  <si>
    <t>SOFTWARE DE MONITORAMENTO UPS LOGWEB NB G3 8-10 KV</t>
  </si>
  <si>
    <t>30000204</t>
  </si>
  <si>
    <t>ESTANTE DE ACO 6X1</t>
  </si>
  <si>
    <t>100005064</t>
  </si>
  <si>
    <t>30000205</t>
  </si>
  <si>
    <t>30000213</t>
  </si>
  <si>
    <t>30000227</t>
  </si>
  <si>
    <t>30004270</t>
  </si>
  <si>
    <t>30004271</t>
  </si>
  <si>
    <t>30004272</t>
  </si>
  <si>
    <t>30004273</t>
  </si>
  <si>
    <t>30004274</t>
  </si>
  <si>
    <t>30004275</t>
  </si>
  <si>
    <t>30004276</t>
  </si>
  <si>
    <t>30004277</t>
  </si>
  <si>
    <t>30004278</t>
  </si>
  <si>
    <t>30004279</t>
  </si>
  <si>
    <t>30004280</t>
  </si>
  <si>
    <t>30004281</t>
  </si>
  <si>
    <t>30004282</t>
  </si>
  <si>
    <t>30004283</t>
  </si>
  <si>
    <t>30004284</t>
  </si>
  <si>
    <t>30004285</t>
  </si>
  <si>
    <t>30004286</t>
  </si>
  <si>
    <t>30004287</t>
  </si>
  <si>
    <t>30004288</t>
  </si>
  <si>
    <t>32001023</t>
  </si>
  <si>
    <t>MONITOR 18,5" LED LS19C301FSMZD</t>
  </si>
  <si>
    <t>7548</t>
  </si>
  <si>
    <t>32001024</t>
  </si>
  <si>
    <t>7544</t>
  </si>
  <si>
    <t>11000091</t>
  </si>
  <si>
    <t>ABRACADEIRA, CURVA, TAMPA CEGA, ADAPTADOR</t>
  </si>
  <si>
    <t>100005066</t>
  </si>
  <si>
    <t>CABO SINTENAX E KIT BARRAMENTO</t>
  </si>
  <si>
    <t>TERM. TUBULAR METRI.TM-150MM, LUVA EMENDA COBRE</t>
  </si>
  <si>
    <t>PAINEL EUCATEX, TRAVESSA, GUIA INFERIOR, FECHAMENT</t>
  </si>
  <si>
    <t>BAGUETE PARA VIDRO P/SALA DO CPD DA FABRICA</t>
  </si>
  <si>
    <t>21000663</t>
  </si>
  <si>
    <t>AR CONDICIONADO SPLIT HI WALL CARRIER 22.000 BTUS</t>
  </si>
  <si>
    <t>21000666</t>
  </si>
  <si>
    <t>NOBREAK UPS EATON DX 10 KVA</t>
  </si>
  <si>
    <t>7550</t>
  </si>
  <si>
    <t>30000111</t>
  </si>
  <si>
    <t>ARMARIO ALTO TREVISO 1,60X0,90X0,40</t>
  </si>
  <si>
    <t>30000134</t>
  </si>
  <si>
    <t>AR CONDICIONADO SPLIT CONSUL 220V 22000 BTU</t>
  </si>
  <si>
    <t>7441</t>
  </si>
  <si>
    <t>30000135</t>
  </si>
  <si>
    <t>7442</t>
  </si>
  <si>
    <t>30000203</t>
  </si>
  <si>
    <t>ARMARIO FECHADO DA FABRICA</t>
  </si>
  <si>
    <t>30000231</t>
  </si>
  <si>
    <t>AR CONDICIONADO CARRIER HIWALL SPRINGUER 18000 BTU</t>
  </si>
  <si>
    <t>30001695</t>
  </si>
  <si>
    <t>AR CONDICIONADO SPLIT FRIO FUJITSU 27000 BTU</t>
  </si>
  <si>
    <t>30004424</t>
  </si>
  <si>
    <t>AR CONDICIONADO FRIO FUJITSU INVERTER 12000 BTU</t>
  </si>
  <si>
    <t>10001556</t>
  </si>
  <si>
    <t>3K54148004611</t>
  </si>
  <si>
    <t>32000062</t>
  </si>
  <si>
    <t>COMPUTADOR B2W DUAL E2180 VSE TOSHIBA</t>
  </si>
  <si>
    <t>32000063</t>
  </si>
  <si>
    <t>32000071</t>
  </si>
  <si>
    <t>GRAVADOR DE IMAGEM DVR 16C RS 480X480 16 AUD</t>
  </si>
  <si>
    <t>32000072</t>
  </si>
  <si>
    <t>HD EXTERNO LACIE D2 NETWORK 2TB</t>
  </si>
  <si>
    <t>32000077</t>
  </si>
  <si>
    <t>DVR STAND ALONE 16 CANAIS</t>
  </si>
  <si>
    <t>32000085</t>
  </si>
  <si>
    <t>CAMERA PROFICIONAL 1/3 SONY 700L</t>
  </si>
  <si>
    <t>LENTE VARIF LARGA 3,5-8MM L358 HIGH</t>
  </si>
  <si>
    <t>32000090</t>
  </si>
  <si>
    <t>COMPUTADOR B2W SIM I8800 I3 6GB 1 TB W8</t>
  </si>
  <si>
    <t>32000091</t>
  </si>
  <si>
    <t>MONITOR LED 18,5" WIDESCREEN E950SW-AOC</t>
  </si>
  <si>
    <t>32000093</t>
  </si>
  <si>
    <t>COMPUTADOR VIDENET I5 8GB 500G</t>
  </si>
  <si>
    <t>2711</t>
  </si>
  <si>
    <t>32000094</t>
  </si>
  <si>
    <t>SERVIDOR HP ML350P GEN8 XEON</t>
  </si>
  <si>
    <t>4227</t>
  </si>
  <si>
    <t>32000095</t>
  </si>
  <si>
    <t>DC BALUN TRANSCEPTOR PASSIVO DE VIDEO 16 CANAIS</t>
  </si>
  <si>
    <t>32000096</t>
  </si>
  <si>
    <t>5719</t>
  </si>
  <si>
    <t>32000100</t>
  </si>
  <si>
    <t>COMPUTADOR CPU POSITIVO I3 SIM5161 4GB 1TB W8</t>
  </si>
  <si>
    <t>7031</t>
  </si>
  <si>
    <t>32000101</t>
  </si>
  <si>
    <t>7032</t>
  </si>
  <si>
    <t>32000102</t>
  </si>
  <si>
    <t>MONITOR LED 21,5" WIDSCREEN E2270SWN-AOC</t>
  </si>
  <si>
    <t>7049</t>
  </si>
  <si>
    <t>32000103</t>
  </si>
  <si>
    <t>7050</t>
  </si>
  <si>
    <t>32000104</t>
  </si>
  <si>
    <t>MONITOR LED 21,5 WIDSCREEN E2270SWN-AOC</t>
  </si>
  <si>
    <t>7051</t>
  </si>
  <si>
    <t>32000105</t>
  </si>
  <si>
    <t>7052</t>
  </si>
  <si>
    <t>32000106</t>
  </si>
  <si>
    <t>7053</t>
  </si>
  <si>
    <t>32000107</t>
  </si>
  <si>
    <t>COMPUTADOR CPU POSITIVO SIM5161 I3 4GB 1TB W8</t>
  </si>
  <si>
    <t>7044</t>
  </si>
  <si>
    <t>32000108</t>
  </si>
  <si>
    <t>7045</t>
  </si>
  <si>
    <t>32000109</t>
  </si>
  <si>
    <t>7046</t>
  </si>
  <si>
    <t>32000110</t>
  </si>
  <si>
    <t>7039</t>
  </si>
  <si>
    <t>32000111</t>
  </si>
  <si>
    <t>7040</t>
  </si>
  <si>
    <t>32000197</t>
  </si>
  <si>
    <t>MICROCOMPUTADOR SERVIDOR</t>
  </si>
  <si>
    <t>32000212</t>
  </si>
  <si>
    <t>HD/DISCO RIGIDO 500 GB SATA II</t>
  </si>
  <si>
    <t>DVR STAND ALONE 16C RS 480 X 480 4AUD COP P/O</t>
  </si>
  <si>
    <t>32000214</t>
  </si>
  <si>
    <t>FITA P/ ETIQUETADORA BROTHER PT-65/80</t>
  </si>
  <si>
    <t>CONECTOR FEMEA AUGMENTED CAT.6A</t>
  </si>
  <si>
    <t>PATCH CORD F/UTP GIGALAN CAT.6A</t>
  </si>
  <si>
    <t>32000280</t>
  </si>
  <si>
    <t>SWITCH 4210 24 PORTAS 10/100 MBPS</t>
  </si>
  <si>
    <t>32000548</t>
  </si>
  <si>
    <t>SWITCH 3 COM 48 PORTAS 500-48X</t>
  </si>
  <si>
    <t>32000869</t>
  </si>
  <si>
    <t>NOBREAK SAMART UPS RT 6KVA 4200W</t>
  </si>
  <si>
    <t>32000905</t>
  </si>
  <si>
    <t>HD WESTERN DIGITAL 6.0 TB SATA PURPLE</t>
  </si>
  <si>
    <t>32000906</t>
  </si>
  <si>
    <t>32000907</t>
  </si>
  <si>
    <t>SWITCH 24 PORTAS GIGA 4P MINI INTELBRAS POE SG 240</t>
  </si>
  <si>
    <t>32001025</t>
  </si>
  <si>
    <t>7540</t>
  </si>
  <si>
    <t>32003087</t>
  </si>
  <si>
    <t>32003088</t>
  </si>
  <si>
    <t>MONITOR 17" SANSUNG</t>
  </si>
  <si>
    <t>32003089</t>
  </si>
  <si>
    <t>30001258</t>
  </si>
  <si>
    <t>10001</t>
  </si>
  <si>
    <t>100005067</t>
  </si>
  <si>
    <t>30001259</t>
  </si>
  <si>
    <t>5368</t>
  </si>
  <si>
    <t>30001643</t>
  </si>
  <si>
    <t>BEBEDOURO BAG-40</t>
  </si>
  <si>
    <t>30001644</t>
  </si>
  <si>
    <t>PURIFICADOR RF-600 ESPECIALE</t>
  </si>
  <si>
    <t>32001327</t>
  </si>
  <si>
    <t>32001332</t>
  </si>
  <si>
    <t>DZZTHS2</t>
  </si>
  <si>
    <t>32002285</t>
  </si>
  <si>
    <t>PROJETOR EPSON FH52 + 4000 LUMENS</t>
  </si>
  <si>
    <t>8847</t>
  </si>
  <si>
    <t>11000140</t>
  </si>
  <si>
    <t>VESTIARIOS MASCULINOS E FEMININOS 185,16M2</t>
  </si>
  <si>
    <t>100005068</t>
  </si>
  <si>
    <t>ADEQUAÇÃO VESTIARIOS E RH</t>
  </si>
  <si>
    <t>30003453</t>
  </si>
  <si>
    <t>ARMARIO ACO 100 PORTAS 1140X2060X280MM</t>
  </si>
  <si>
    <t>30003498</t>
  </si>
  <si>
    <t>ARMARIO DE ACO 16 PORTAS C/ CADEADO CH26</t>
  </si>
  <si>
    <t>30003499</t>
  </si>
  <si>
    <t>30003668</t>
  </si>
  <si>
    <t>ARMARIO MDF 2 PORTAS E 4 DIVISORIAS 1800x800x400MM</t>
  </si>
  <si>
    <t>30003698</t>
  </si>
  <si>
    <t>ARMARIO 1,96X1,23X0,36 C/ CADEADO E PORTA VERMELHA</t>
  </si>
  <si>
    <t>10378</t>
  </si>
  <si>
    <t>30003699</t>
  </si>
  <si>
    <t>8867</t>
  </si>
  <si>
    <t>30003700</t>
  </si>
  <si>
    <t>8823</t>
  </si>
  <si>
    <t>30003701</t>
  </si>
  <si>
    <t>10364</t>
  </si>
  <si>
    <t>30003702</t>
  </si>
  <si>
    <t>8854</t>
  </si>
  <si>
    <t>30003703</t>
  </si>
  <si>
    <t>8833</t>
  </si>
  <si>
    <t>30003704</t>
  </si>
  <si>
    <t>8859</t>
  </si>
  <si>
    <t>30003705</t>
  </si>
  <si>
    <t>8840</t>
  </si>
  <si>
    <t>30003706</t>
  </si>
  <si>
    <t>8830</t>
  </si>
  <si>
    <t>30003707</t>
  </si>
  <si>
    <t>8832</t>
  </si>
  <si>
    <t>30003708</t>
  </si>
  <si>
    <t>8855</t>
  </si>
  <si>
    <t>30003709</t>
  </si>
  <si>
    <t>8872</t>
  </si>
  <si>
    <t>30003710</t>
  </si>
  <si>
    <t>8865</t>
  </si>
  <si>
    <t>30003711</t>
  </si>
  <si>
    <t>10387</t>
  </si>
  <si>
    <t>30003712</t>
  </si>
  <si>
    <t>8857</t>
  </si>
  <si>
    <t>30003713</t>
  </si>
  <si>
    <t>8844</t>
  </si>
  <si>
    <t>30003714</t>
  </si>
  <si>
    <t>8843</t>
  </si>
  <si>
    <t>30003715</t>
  </si>
  <si>
    <t>8852</t>
  </si>
  <si>
    <t>30003716</t>
  </si>
  <si>
    <t>8856</t>
  </si>
  <si>
    <t>30003717</t>
  </si>
  <si>
    <t>8869</t>
  </si>
  <si>
    <t>30003815</t>
  </si>
  <si>
    <t>10375</t>
  </si>
  <si>
    <t>30003816</t>
  </si>
  <si>
    <t>10344</t>
  </si>
  <si>
    <t>30003817</t>
  </si>
  <si>
    <t>10330</t>
  </si>
  <si>
    <t>30003818</t>
  </si>
  <si>
    <t>10382</t>
  </si>
  <si>
    <t>30003819</t>
  </si>
  <si>
    <t>10368</t>
  </si>
  <si>
    <t>30003820</t>
  </si>
  <si>
    <t>10388</t>
  </si>
  <si>
    <t>30003821</t>
  </si>
  <si>
    <t>10356</t>
  </si>
  <si>
    <t>30003822</t>
  </si>
  <si>
    <t>10385</t>
  </si>
  <si>
    <t>30000108</t>
  </si>
  <si>
    <t>ARQUIVO DE ACO 4 GALV. 0,70 CM</t>
  </si>
  <si>
    <t>100005069</t>
  </si>
  <si>
    <t>30000117</t>
  </si>
  <si>
    <t>MESA ESTACAO DE TARABLHO 1,50X1,50 C/ GAVETEIRO</t>
  </si>
  <si>
    <t>30000137</t>
  </si>
  <si>
    <t>AR CONDICIONADO INT SPLIT CONSUL 18000 BTU</t>
  </si>
  <si>
    <t>7446</t>
  </si>
  <si>
    <t>AR CONDICIONADO EXT SPLIT CONSUL 18000 BTU</t>
  </si>
  <si>
    <t>30001265</t>
  </si>
  <si>
    <t>10006 / 10000725</t>
  </si>
  <si>
    <t>30001283</t>
  </si>
  <si>
    <t>ROUPEIRO DE AÇO C/ 16 PORTAS 1,98X1,23X0,42</t>
  </si>
  <si>
    <t>30001284</t>
  </si>
  <si>
    <t>30001285</t>
  </si>
  <si>
    <t>30001286</t>
  </si>
  <si>
    <t>30001287</t>
  </si>
  <si>
    <t>30001288</t>
  </si>
  <si>
    <t>30001289</t>
  </si>
  <si>
    <t>30001290</t>
  </si>
  <si>
    <t>30001291</t>
  </si>
  <si>
    <t>30001292</t>
  </si>
  <si>
    <t>30001293</t>
  </si>
  <si>
    <t>30001294</t>
  </si>
  <si>
    <t>30001295</t>
  </si>
  <si>
    <t>30001296</t>
  </si>
  <si>
    <t>30001297</t>
  </si>
  <si>
    <t>30001298</t>
  </si>
  <si>
    <t>30001299</t>
  </si>
  <si>
    <t>30001300</t>
  </si>
  <si>
    <t>30001301</t>
  </si>
  <si>
    <t>30001302</t>
  </si>
  <si>
    <t>30001303</t>
  </si>
  <si>
    <t>30001304</t>
  </si>
  <si>
    <t>30001305</t>
  </si>
  <si>
    <t>30001306</t>
  </si>
  <si>
    <t>30001307</t>
  </si>
  <si>
    <t>30001308</t>
  </si>
  <si>
    <t>30001309</t>
  </si>
  <si>
    <t>30001310</t>
  </si>
  <si>
    <t>30001311</t>
  </si>
  <si>
    <t>30001312</t>
  </si>
  <si>
    <t>30001313</t>
  </si>
  <si>
    <t>30001314</t>
  </si>
  <si>
    <t>30001321</t>
  </si>
  <si>
    <t>MESA DE 1,50X0,70  40MM COM 2 GAVETAS</t>
  </si>
  <si>
    <t>30001324</t>
  </si>
  <si>
    <t>ARMARIO BAIXO 0,74X0,90X0,40 C/ 2 PORTAS</t>
  </si>
  <si>
    <t>30001327</t>
  </si>
  <si>
    <t>CADEIRA FIXA 4 PES ERGOPLAX PT</t>
  </si>
  <si>
    <t>30001328</t>
  </si>
  <si>
    <t>30001333</t>
  </si>
  <si>
    <t>LONGARINA ERGOPLAX 3 LUGARES BASE AÇO</t>
  </si>
  <si>
    <t>30001336</t>
  </si>
  <si>
    <t>POLTRONA EXECUTIVA GIRAT C/ BRAÇO COURO</t>
  </si>
  <si>
    <t>30001342</t>
  </si>
  <si>
    <t>ARMARIO ORGANIZADOR DE CHAVES PARA 254 CHAVEIROS</t>
  </si>
  <si>
    <t>30001343</t>
  </si>
  <si>
    <t>30001592</t>
  </si>
  <si>
    <t>IMPRESSORA PARA CRACHAS CD800 DUO</t>
  </si>
  <si>
    <t>8561</t>
  </si>
  <si>
    <t>30001701</t>
  </si>
  <si>
    <t>TELEVISAO LG TELA PLANA 42 LED FULL HD</t>
  </si>
  <si>
    <t>30003616</t>
  </si>
  <si>
    <t>AR CONDICIONADO EXT/INT FUJITSU 18000 BTUS 220V</t>
  </si>
  <si>
    <t>10001113</t>
  </si>
  <si>
    <t>30003626</t>
  </si>
  <si>
    <t>MESA EM MDF CINZA 3,70×0,75×1,30 DIVISÃO EM VIDRO</t>
  </si>
  <si>
    <t>10284</t>
  </si>
  <si>
    <t>30003627</t>
  </si>
  <si>
    <t>GAVETEIRO FIXO 2 GAVETAS COM CHAVE</t>
  </si>
  <si>
    <t>10264</t>
  </si>
  <si>
    <t>30003628</t>
  </si>
  <si>
    <t>10285</t>
  </si>
  <si>
    <t>30003629</t>
  </si>
  <si>
    <t>10265</t>
  </si>
  <si>
    <t>30003630</t>
  </si>
  <si>
    <t>10262</t>
  </si>
  <si>
    <t>30003631</t>
  </si>
  <si>
    <t>10242</t>
  </si>
  <si>
    <t>30003632</t>
  </si>
  <si>
    <t>10244</t>
  </si>
  <si>
    <t>30003745</t>
  </si>
  <si>
    <t>AR CONDICIONADO INT/EXT FRIO FUJITSU 9000 BTUS</t>
  </si>
  <si>
    <t>10001280</t>
  </si>
  <si>
    <t>E042973 - B028670</t>
  </si>
  <si>
    <t>30004289</t>
  </si>
  <si>
    <t>CADEIRA GIRATORIA SECRETARIA AZUL</t>
  </si>
  <si>
    <t>30004472</t>
  </si>
  <si>
    <t>CLIMATIZADOR ROTOPLAST ROTO 46 PORTATIL</t>
  </si>
  <si>
    <t>171845</t>
  </si>
  <si>
    <t>30004493</t>
  </si>
  <si>
    <t>32001026</t>
  </si>
  <si>
    <t>7543</t>
  </si>
  <si>
    <t>32001027</t>
  </si>
  <si>
    <t>7546</t>
  </si>
  <si>
    <t>32002223</t>
  </si>
  <si>
    <t>COMPUTADOR DELL OPTILEX/VOSTRO i3 4GB HD SSD256GB</t>
  </si>
  <si>
    <t>DSPRTJ3</t>
  </si>
  <si>
    <t>32002225</t>
  </si>
  <si>
    <t>7X20VJ3</t>
  </si>
  <si>
    <t>32002284</t>
  </si>
  <si>
    <t>8878</t>
  </si>
  <si>
    <t>32002403</t>
  </si>
  <si>
    <t>CATRACA FIT 4 COM LEITOR BIOMETRIA E COD. BARRAS</t>
  </si>
  <si>
    <t>8897</t>
  </si>
  <si>
    <t>32002671</t>
  </si>
  <si>
    <t>3Y3YGR3</t>
  </si>
  <si>
    <t>32002755</t>
  </si>
  <si>
    <t>TERMINAL DE AUTO ATENDIMENTO GT PRO AÇO 18,5"</t>
  </si>
  <si>
    <t>1805</t>
  </si>
  <si>
    <t>32002980</t>
  </si>
  <si>
    <t>HKXP2X3</t>
  </si>
  <si>
    <t>32002981</t>
  </si>
  <si>
    <t>JJXP2X3</t>
  </si>
  <si>
    <t>11000139</t>
  </si>
  <si>
    <t>EDIFICAÇÃO RH , SALA DE ESPERA ,BANHEIROS</t>
  </si>
  <si>
    <t>100005070</t>
  </si>
  <si>
    <t>21000321</t>
  </si>
  <si>
    <t>BALANCA DE BANCADA 50KGX5G 400X400M CARBONO</t>
  </si>
  <si>
    <t>37340-11</t>
  </si>
  <si>
    <t>100005103</t>
  </si>
  <si>
    <t>21000323</t>
  </si>
  <si>
    <t>DENSITOMETRO DE TRANSMISSAO X-RITE PORTATIL 341</t>
  </si>
  <si>
    <t>21000326</t>
  </si>
  <si>
    <t>MOTOR PNEUMATICO MOD. MA 300</t>
  </si>
  <si>
    <t>SILENCIADOR 12 NPT</t>
  </si>
  <si>
    <t>LUVA HASTE MISTURADORA 34 X 900 MM INOX</t>
  </si>
  <si>
    <t>HELICE INTERMEDIARIA DO EIXO 190MM INOX</t>
  </si>
  <si>
    <t>HELICE FUNDO DO EIXO 195 CUBO 31</t>
  </si>
  <si>
    <t>21000343</t>
  </si>
  <si>
    <t>AGITADOR MECANICO C/SUP MODELO 713</t>
  </si>
  <si>
    <t>21000495</t>
  </si>
  <si>
    <t>DENSITOMETRO DE TRANSMISSAO PORTATIL</t>
  </si>
  <si>
    <t>21006321</t>
  </si>
  <si>
    <t>MEDIDOR DE ESPESSURA FILMES PLASTICOS 0 A 1000MM</t>
  </si>
  <si>
    <t>1029-C28062023</t>
  </si>
  <si>
    <t>21006337</t>
  </si>
  <si>
    <t>ESTUFA SECAGEM MICROPROCESSADA Q317M-32 81L 200ºC</t>
  </si>
  <si>
    <t>AF041666</t>
  </si>
  <si>
    <t>21006346</t>
  </si>
  <si>
    <t>MEDIDOR DE ESTATICA FMX 003 CALIBRACAO RASTREADA</t>
  </si>
  <si>
    <t>2023622</t>
  </si>
  <si>
    <t>30000118</t>
  </si>
  <si>
    <t>ARMARIO DE ACO 4 GALVANIZADO 0,70CM P LABORATORIO</t>
  </si>
  <si>
    <t>30000212</t>
  </si>
  <si>
    <t>CADEIRA ALTA PARA CAIXA</t>
  </si>
  <si>
    <t>30000219</t>
  </si>
  <si>
    <t>30000221</t>
  </si>
  <si>
    <t>MESA DE FORMICA</t>
  </si>
  <si>
    <t>7494</t>
  </si>
  <si>
    <t>30001404</t>
  </si>
  <si>
    <t>AGITADOR PNEUMATICO MOTOREX MOD SLR 200A2</t>
  </si>
  <si>
    <t>30001753</t>
  </si>
  <si>
    <t>MICROMETRO BANCADA MAINARD M-73000</t>
  </si>
  <si>
    <t>30004290</t>
  </si>
  <si>
    <t>30004291</t>
  </si>
  <si>
    <t>30004292</t>
  </si>
  <si>
    <t>30004293</t>
  </si>
  <si>
    <t>32000171</t>
  </si>
  <si>
    <t>RACK 07UX450</t>
  </si>
  <si>
    <t>32002379</t>
  </si>
  <si>
    <t>8817</t>
  </si>
  <si>
    <t>228QPP3</t>
  </si>
  <si>
    <t>30003883</t>
  </si>
  <si>
    <t>10339</t>
  </si>
  <si>
    <t>100005104</t>
  </si>
  <si>
    <t>FRETE VARREDEIRA KALA</t>
  </si>
  <si>
    <t>30001620</t>
  </si>
  <si>
    <t>100005105</t>
  </si>
  <si>
    <t>32002268</t>
  </si>
  <si>
    <t>NOTEBOOK DELL 14 CORE i3 4GB HD SSD256GB W10P HDMI</t>
  </si>
  <si>
    <t>8876</t>
  </si>
  <si>
    <t>C4F3FM3</t>
  </si>
  <si>
    <t>32003054</t>
  </si>
  <si>
    <t>7X36ZM3</t>
  </si>
  <si>
    <t>32003055</t>
  </si>
  <si>
    <t>7NN8ZM3</t>
  </si>
  <si>
    <t>32003112</t>
  </si>
  <si>
    <t>30000217</t>
  </si>
  <si>
    <t>MESA COM TAMPA DE VIDRO</t>
  </si>
  <si>
    <t>100005106</t>
  </si>
  <si>
    <t>30003510</t>
  </si>
  <si>
    <t>AR CONDICIONADO FRIO FUJITSU 24000BTU CONDENSADORA</t>
  </si>
  <si>
    <t>30003795</t>
  </si>
  <si>
    <t>AR CONDICIONADO FRIO FUJITSU 24000 BTUS</t>
  </si>
  <si>
    <t>10001281</t>
  </si>
  <si>
    <t>B012540</t>
  </si>
  <si>
    <t>32000172</t>
  </si>
  <si>
    <t>SCANER HP SCANJET 2400</t>
  </si>
  <si>
    <t>32000176</t>
  </si>
  <si>
    <t>IMPRESSORA HP LASERJET 2600 N COLOR</t>
  </si>
  <si>
    <t>32000209</t>
  </si>
  <si>
    <t>COMPUTADOR INTEL I5 750 2.66 GHZ 2.66GHZ/8MB S1156</t>
  </si>
  <si>
    <t>32000976</t>
  </si>
  <si>
    <t>EYE-ONE PUBLISH PRO</t>
  </si>
  <si>
    <t>32001652</t>
  </si>
  <si>
    <t>COMPUTADOR DELL XPS 8930 INTEL CORE I7-9700</t>
  </si>
  <si>
    <t>97W9423</t>
  </si>
  <si>
    <t>32001653</t>
  </si>
  <si>
    <t>MONITOR LED 24" LED DELL ULTRASHARP  U2415</t>
  </si>
  <si>
    <t>32002397</t>
  </si>
  <si>
    <t>COMPUTADOR DELL XPS I7 16GBHD1TB WINDOWS 10 PRO</t>
  </si>
  <si>
    <t>8893</t>
  </si>
  <si>
    <t>32002398</t>
  </si>
  <si>
    <t>MONITOR DELL 27" P2722H FULL HD LED IPS 75 PRETO</t>
  </si>
  <si>
    <t>8871</t>
  </si>
  <si>
    <t>32002876</t>
  </si>
  <si>
    <t>IMPRESSORA MULTIFUNCIONAL EPSON ECOTANK L 4260</t>
  </si>
  <si>
    <t>XAA9209212</t>
  </si>
  <si>
    <t>32002910</t>
  </si>
  <si>
    <t>COMPUTADOR DELL XPS 8950 I7 16GB SSD512GB</t>
  </si>
  <si>
    <t>8JSV224</t>
  </si>
  <si>
    <t>32002911</t>
  </si>
  <si>
    <t>9JSV224</t>
  </si>
  <si>
    <t>32002912</t>
  </si>
  <si>
    <t>MONITOR DELL 27" P2722H VGA</t>
  </si>
  <si>
    <t>GTJZGR3</t>
  </si>
  <si>
    <t>32002913</t>
  </si>
  <si>
    <t>F8KZGR3</t>
  </si>
  <si>
    <t>32003205</t>
  </si>
  <si>
    <t>4Q0FXT3</t>
  </si>
  <si>
    <t>21000306</t>
  </si>
  <si>
    <t>CAPELA DE EXAUSTAO DE GASES PEQUENA</t>
  </si>
  <si>
    <t>100005107</t>
  </si>
  <si>
    <t>21000460</t>
  </si>
  <si>
    <t>BALANCA ANALITICA MOD AG200</t>
  </si>
  <si>
    <t>3930</t>
  </si>
  <si>
    <t>21000463</t>
  </si>
  <si>
    <t>TAMPO DE GRANITO CINZA CORUMBA 26 METROS</t>
  </si>
  <si>
    <t>21000660</t>
  </si>
  <si>
    <t>CHUVEIRO COMBAS COM LAVA-OLHOS</t>
  </si>
  <si>
    <t>BANCADA DESMEMBRADA COM TOMADAS</t>
  </si>
  <si>
    <t>30000107</t>
  </si>
  <si>
    <t>ARQUIVO DE ACO 4 GAVETAS 0,70CM AIOF4E CZ VEGEL</t>
  </si>
  <si>
    <t>30000207</t>
  </si>
  <si>
    <t>AR CONDICIONADO FUJITSU 6102 220V 30000 BTU</t>
  </si>
  <si>
    <t>30000214</t>
  </si>
  <si>
    <t>AR CONDICIONADO HIWALL CARRIER SPLIT 18000 BTU</t>
  </si>
  <si>
    <t>30000215</t>
  </si>
  <si>
    <t>MAO DE OBRA P/INSTALACAO DE ARCONDICIONADO</t>
  </si>
  <si>
    <t>30000236</t>
  </si>
  <si>
    <t>ARQUIVO DE ACO 4G 1.33AX47LX71P CINZA RCH</t>
  </si>
  <si>
    <t>30001411</t>
  </si>
  <si>
    <t>10307</t>
  </si>
  <si>
    <t>30001412</t>
  </si>
  <si>
    <t>10306</t>
  </si>
  <si>
    <t>30001459</t>
  </si>
  <si>
    <t>MEDIDOR DE ESPESSURA MAINARD MILESIMAL M-73011</t>
  </si>
  <si>
    <t>30001460</t>
  </si>
  <si>
    <t>30001461</t>
  </si>
  <si>
    <t>30001462</t>
  </si>
  <si>
    <t>30001463</t>
  </si>
  <si>
    <t>30001651</t>
  </si>
  <si>
    <t>30001652</t>
  </si>
  <si>
    <t>30001767</t>
  </si>
  <si>
    <t>BALCAO EM MDF</t>
  </si>
  <si>
    <t>30001833</t>
  </si>
  <si>
    <t>AR CONDICIONADO Q/F INVERTER HW FUJITSU 12000 BTU</t>
  </si>
  <si>
    <t>ASBG12LMCAB036674</t>
  </si>
  <si>
    <t>30002376</t>
  </si>
  <si>
    <t>AOBG18JFCBE006679</t>
  </si>
  <si>
    <t>30003351</t>
  </si>
  <si>
    <t>GAVETEIRO 3 GAVETAS</t>
  </si>
  <si>
    <t>30003352</t>
  </si>
  <si>
    <t>ARMARIO MDF ALTURA 1800MM LARGURA 800MM</t>
  </si>
  <si>
    <t>30003641</t>
  </si>
  <si>
    <t>AR CONDICIONADO INT/EXT FRIO FUJITSU 18000 BTUS</t>
  </si>
  <si>
    <t>10001125 - 10207</t>
  </si>
  <si>
    <t>B008330</t>
  </si>
  <si>
    <t>30003669</t>
  </si>
  <si>
    <t>MESA DE ESCRITORIO COM 6 GAVETEIROS FIXOS</t>
  </si>
  <si>
    <t>10362</t>
  </si>
  <si>
    <t>30004294</t>
  </si>
  <si>
    <t>32000198</t>
  </si>
  <si>
    <t>MICRO COMPUTADOR SUPREME DUAL COR 25 2 GB</t>
  </si>
  <si>
    <t>32000206</t>
  </si>
  <si>
    <t>MONITOR SAMSUNG 15,6" B1630N WIDE PRETO</t>
  </si>
  <si>
    <t>32000211</t>
  </si>
  <si>
    <t>SISTEMA COF-SCI PARA PORTA PARALELA</t>
  </si>
  <si>
    <t>32001208</t>
  </si>
  <si>
    <t>3VFNBS2</t>
  </si>
  <si>
    <t>32001212</t>
  </si>
  <si>
    <t>GMGB1M2</t>
  </si>
  <si>
    <t>32001620</t>
  </si>
  <si>
    <t>5GXMSY2</t>
  </si>
  <si>
    <t>32001623</t>
  </si>
  <si>
    <t>78TPRR2</t>
  </si>
  <si>
    <t>32001989</t>
  </si>
  <si>
    <t>31250</t>
  </si>
  <si>
    <t>8819</t>
  </si>
  <si>
    <t>C28QPP3</t>
  </si>
  <si>
    <t>32002670</t>
  </si>
  <si>
    <t>32002765</t>
  </si>
  <si>
    <t>GDTH0Z3</t>
  </si>
  <si>
    <t>32003141</t>
  </si>
  <si>
    <t>59MN8Q3</t>
  </si>
  <si>
    <t>11000084</t>
  </si>
  <si>
    <t>CONDULETE, CANAL, TOMADA, ADAPTADOR, LUVA, TOMADA</t>
  </si>
  <si>
    <t>100005109</t>
  </si>
  <si>
    <t>30000105</t>
  </si>
  <si>
    <t>TV SANSUNG LCD 40 POLEGADAS</t>
  </si>
  <si>
    <t>30000116</t>
  </si>
  <si>
    <t>ARQUIVO DE ACO 4 GAVETAS 0,70 CM AIOF4E OV VEGEL</t>
  </si>
  <si>
    <t>30000127</t>
  </si>
  <si>
    <t>PURIFICADOR BELLIERE INOX</t>
  </si>
  <si>
    <t>30000129</t>
  </si>
  <si>
    <t>AR CONDICONADO INT SPLIT CONSUL BEM ESTAR 22000BTU</t>
  </si>
  <si>
    <t>AR CONDICONADO EXT SPLIT CONSUL BEM ESTAR 22000BTU</t>
  </si>
  <si>
    <t>30000229</t>
  </si>
  <si>
    <t>CADEIRA GIRATORIA</t>
  </si>
  <si>
    <t>30003686</t>
  </si>
  <si>
    <t>8845</t>
  </si>
  <si>
    <t>30003785</t>
  </si>
  <si>
    <t>CADEIRA SEC TECIDO BACK SISTEN C/ BRACO</t>
  </si>
  <si>
    <t>10321</t>
  </si>
  <si>
    <t>30003786</t>
  </si>
  <si>
    <t>10341</t>
  </si>
  <si>
    <t>30003787</t>
  </si>
  <si>
    <t>10349</t>
  </si>
  <si>
    <t>30003788</t>
  </si>
  <si>
    <t>10351</t>
  </si>
  <si>
    <t>30003789</t>
  </si>
  <si>
    <t>10352</t>
  </si>
  <si>
    <t>30003790</t>
  </si>
  <si>
    <t>10386</t>
  </si>
  <si>
    <t>30003921</t>
  </si>
  <si>
    <t>AR CONDICONADO SPLIT CONSUL BEM ESTAR 22000 BTU</t>
  </si>
  <si>
    <t>30003922</t>
  </si>
  <si>
    <t>30004295</t>
  </si>
  <si>
    <t>30004296</t>
  </si>
  <si>
    <t>30004297</t>
  </si>
  <si>
    <t>30004298</t>
  </si>
  <si>
    <t>30004299</t>
  </si>
  <si>
    <t>30004490</t>
  </si>
  <si>
    <t>32000174</t>
  </si>
  <si>
    <t>COMPUTADOR COMPLETO PARA O SETOR DE PCP</t>
  </si>
  <si>
    <t>32000219</t>
  </si>
  <si>
    <t>7542</t>
  </si>
  <si>
    <t>7547</t>
  </si>
  <si>
    <t>32001028</t>
  </si>
  <si>
    <t>COMPUTADOR ASUS I3 3240 3,4 GHZ MB</t>
  </si>
  <si>
    <t>32001072</t>
  </si>
  <si>
    <t>DGSMSL2</t>
  </si>
  <si>
    <t>32001101</t>
  </si>
  <si>
    <t>JLPPHJ2</t>
  </si>
  <si>
    <t>32001102</t>
  </si>
  <si>
    <t>MONITOR DELL PROFESSIONAL 18,5" 1916H</t>
  </si>
  <si>
    <t>32001128</t>
  </si>
  <si>
    <t>BTGY9R2</t>
  </si>
  <si>
    <t>32001129</t>
  </si>
  <si>
    <t>BT8Z9R2</t>
  </si>
  <si>
    <t>32001130</t>
  </si>
  <si>
    <t>6WPB1M2</t>
  </si>
  <si>
    <t>32001131</t>
  </si>
  <si>
    <t>6XB91M2</t>
  </si>
  <si>
    <t>32001228</t>
  </si>
  <si>
    <t>66959T2</t>
  </si>
  <si>
    <t>32001231</t>
  </si>
  <si>
    <t>40VB9Q2</t>
  </si>
  <si>
    <t>32001598</t>
  </si>
  <si>
    <t>5GJHSY2</t>
  </si>
  <si>
    <t>32001599</t>
  </si>
  <si>
    <t>745QRR2</t>
  </si>
  <si>
    <t>AR CONDICONADO SPLIT HW FRIO CONSUL 12000 BTU</t>
  </si>
  <si>
    <t>7539</t>
  </si>
  <si>
    <t>100005110</t>
  </si>
  <si>
    <t>30001415</t>
  </si>
  <si>
    <t>10304</t>
  </si>
  <si>
    <t>32000196</t>
  </si>
  <si>
    <t>MICROCOMPUTADOR SUPREME CORE 2 DUO 2.0 4GB 750 DVD</t>
  </si>
  <si>
    <t>7541</t>
  </si>
  <si>
    <t>32002195</t>
  </si>
  <si>
    <t>6W7G1G3</t>
  </si>
  <si>
    <t>32002198</t>
  </si>
  <si>
    <t>4ZXB9Q2</t>
  </si>
  <si>
    <t>8900</t>
  </si>
  <si>
    <t>138QPP3</t>
  </si>
  <si>
    <t>30000119</t>
  </si>
  <si>
    <t>100005111</t>
  </si>
  <si>
    <t>30000130</t>
  </si>
  <si>
    <t>ARQUIVO DE ACO 4 GAVETAS 1,335X0,47X0,60, CZ VEGEL</t>
  </si>
  <si>
    <t>5217</t>
  </si>
  <si>
    <t>30000240</t>
  </si>
  <si>
    <t>ARQUIVO DE ACO COM 2 PORTAS E 4 PRATELEIRAS</t>
  </si>
  <si>
    <t>30001322</t>
  </si>
  <si>
    <t>30001323</t>
  </si>
  <si>
    <t>30001325</t>
  </si>
  <si>
    <t>30001326</t>
  </si>
  <si>
    <t>30001329</t>
  </si>
  <si>
    <t>30001330</t>
  </si>
  <si>
    <t>30001331</t>
  </si>
  <si>
    <t>30001332</t>
  </si>
  <si>
    <t>30001334</t>
  </si>
  <si>
    <t>30001335</t>
  </si>
  <si>
    <t>30001337</t>
  </si>
  <si>
    <t>30001338</t>
  </si>
  <si>
    <t>30004121</t>
  </si>
  <si>
    <t>CABINE ACUSTICA PARA AUDIOMETRIA FONOPRIME DELUXE</t>
  </si>
  <si>
    <t>30004300</t>
  </si>
  <si>
    <t>ARQUIVO DE ACO COM 4 GAVETAS P/ PASTA SUSPENSA</t>
  </si>
  <si>
    <t>32000057</t>
  </si>
  <si>
    <t>7469</t>
  </si>
  <si>
    <t>32002224</t>
  </si>
  <si>
    <t>GSPRTJ3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</si>
</sst>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1" fillId="0" borderId="1" xfId="0" applyFont="1" applyBorder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13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border outline="0">
        <top style="thin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10</v>
    <v>12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I3520" totalsRowShown="0" headerRowDxfId="12" dataDxfId="10" headerRowBorderDxfId="11" tableBorderDxfId="9">
  <autoFilter ref="A1:I3520" xr:uid="{00000000-0009-0000-0100-000001000000}"/>
  <tableColumns count="9">
    <tableColumn id="1" xr3:uid="{00000000-0010-0000-0000-000001000000}" name="Imobilizado" dataDxfId="8"/>
    <tableColumn id="2" xr3:uid="{00000000-0010-0000-0000-000002000000}" name="Subnº" dataDxfId="7"/>
    <tableColumn id="3" xr3:uid="{00000000-0010-0000-0000-000003000000}" name="Incorporação em" dataDxfId="6"/>
    <tableColumn id="4" xr3:uid="{00000000-0010-0000-0000-000004000000}" name="Denominação do imobilizado" dataDxfId="5"/>
    <tableColumn id="5" xr3:uid="{00000000-0010-0000-0000-000005000000}" name="Nº inventário" dataDxfId="4"/>
    <tableColumn id="6" xr3:uid="{00000000-0010-0000-0000-000006000000}" name="Nº de série" dataDxfId="3"/>
    <tableColumn id="7" xr3:uid="{00000000-0010-0000-0000-000007000000}" name="Centro custo" dataDxfId="2"/>
    <tableColumn id="9" xr3:uid="{73BEC531-DF80-426E-B7C2-DB010156BC8B}" name="Link" dataDxfId="1">
      <calculatedColumnFormula xml:space="preserve"> "https://videplast.com.br/consulta-imobilizado?id=" &amp; A2 &amp; "&amp;nome=" &amp; SUBSTITUTE(D2, " ", "%20")</calculatedColumnFormula>
    </tableColumn>
    <tableColumn id="8" xr3:uid="{4CAE407A-14D4-4F16-8CE6-F6B945F3F24B}" name="QRCODE" dataDxfId="0">
      <calculatedColumnFormula>_xlfn.IMAGE("https://chart.googleapis.com/chart?chs=150x150&amp;cht=qr&amp;chl=" &amp; H2)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I3520"/>
  <sheetViews>
    <sheetView showGridLines="0" tabSelected="1" topLeftCell="G1" workbookViewId="0">
      <selection activeCell="I2" sqref="I2"/>
    </sheetView>
  </sheetViews>
  <sheetFormatPr defaultRowHeight="13.2" x14ac:dyDescent="0.25"/>
  <cols>
    <col min="1" max="1" width="13" bestFit="1" customWidth="1"/>
    <col min="2" max="2" width="8.6640625" bestFit="1" customWidth="1"/>
    <col min="3" max="3" width="20" customWidth="1"/>
    <col min="4" max="4" width="61.44140625" bestFit="1" customWidth="1"/>
    <col min="5" max="5" width="15.88671875" bestFit="1" customWidth="1"/>
    <col min="6" max="6" width="21" bestFit="1" customWidth="1"/>
    <col min="7" max="7" width="14" bestFit="1" customWidth="1"/>
    <col min="8" max="8" width="156.44140625" customWidth="1"/>
    <col min="9" max="9" width="73.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</row>
    <row r="2" spans="1:9" x14ac:dyDescent="0.25">
      <c r="A2" s="2" t="s">
        <v>9</v>
      </c>
      <c r="B2" s="2" t="s">
        <v>10</v>
      </c>
      <c r="C2" s="3">
        <v>38209</v>
      </c>
      <c r="D2" t="s">
        <v>11</v>
      </c>
      <c r="E2" s="2" t="s">
        <v>12</v>
      </c>
      <c r="F2" s="2" t="s">
        <v>12</v>
      </c>
      <c r="G2" t="s">
        <v>13</v>
      </c>
      <c r="H2" t="str">
        <f xml:space="preserve"> "https://videplast.com.br/consulta-imobilizado?id=" &amp; A2 &amp; "&amp;nome=" &amp; SUBSTITUTE(D2, " ", "%20")</f>
        <v>https://videplast.com.br/consulta-imobilizado?id=10000002&amp;nome=TERRENO%2015.629,63%20M2</v>
      </c>
      <c r="I2" t="e">
        <f t="shared" ref="I2:I65" ca="1" si="0">_xlfn.IMAGE("https://chart.googleapis.com/chart?chs=150x150&amp;cht=qr&amp;chl=" &amp; H2)</f>
        <v>#NAME?</v>
      </c>
    </row>
    <row r="3" spans="1:9" x14ac:dyDescent="0.25">
      <c r="A3" s="2" t="s">
        <v>14</v>
      </c>
      <c r="B3" s="2" t="s">
        <v>10</v>
      </c>
      <c r="C3" s="3">
        <v>39599</v>
      </c>
      <c r="D3" t="s">
        <v>15</v>
      </c>
      <c r="E3" s="2" t="s">
        <v>12</v>
      </c>
      <c r="F3" s="2" t="s">
        <v>12</v>
      </c>
      <c r="G3" t="s">
        <v>16</v>
      </c>
      <c r="H3" t="str">
        <f t="shared" ref="H3:H65" si="1" xml:space="preserve"> "https://videplast.com.br/consulta-imobilizado?id=" &amp; A3 &amp; "&amp;nome=" &amp; SUBSTITUTE(D3, " ", "%20")</f>
        <v>https://videplast.com.br/consulta-imobilizado?id=11000074&amp;nome=FRETE%20TRANSPORTE%204%20ARMADILHA%20ADESIVA%20LAT%20LX%2090/220</v>
      </c>
      <c r="I3" t="e">
        <f t="shared" ca="1" si="0"/>
        <v>#NAME?</v>
      </c>
    </row>
    <row r="4" spans="1:9" x14ac:dyDescent="0.25">
      <c r="A4" s="2" t="s">
        <v>17</v>
      </c>
      <c r="B4" s="2" t="s">
        <v>10</v>
      </c>
      <c r="C4" s="3">
        <v>39599</v>
      </c>
      <c r="D4" t="s">
        <v>18</v>
      </c>
      <c r="E4" s="2" t="s">
        <v>12</v>
      </c>
      <c r="F4" s="2" t="s">
        <v>12</v>
      </c>
      <c r="G4" t="s">
        <v>16</v>
      </c>
      <c r="H4" t="str">
        <f t="shared" si="1"/>
        <v>https://videplast.com.br/consulta-imobilizado?id=11000075&amp;nome=ARMADILHA%20ADESIVA%20LATERAL%20LX%2090/220</v>
      </c>
      <c r="I4" t="e">
        <f t="shared" ca="1" si="0"/>
        <v>#NAME?</v>
      </c>
    </row>
    <row r="5" spans="1:9" x14ac:dyDescent="0.25">
      <c r="A5" s="2" t="s">
        <v>19</v>
      </c>
      <c r="B5" s="2" t="s">
        <v>10</v>
      </c>
      <c r="C5" s="3">
        <v>43684</v>
      </c>
      <c r="D5" t="s">
        <v>20</v>
      </c>
      <c r="E5" s="2" t="s">
        <v>12</v>
      </c>
      <c r="F5" s="2" t="s">
        <v>12</v>
      </c>
      <c r="G5" t="s">
        <v>16</v>
      </c>
      <c r="H5" t="str">
        <f t="shared" si="1"/>
        <v>https://videplast.com.br/consulta-imobilizado?id=11000158&amp;nome=AMPLIAÇÃO%20BARRACÃO%20300M2%20P/%20EXTRUSAO%2011000027</v>
      </c>
      <c r="I5" t="e">
        <f t="shared" ca="1" si="0"/>
        <v>#NAME?</v>
      </c>
    </row>
    <row r="6" spans="1:9" x14ac:dyDescent="0.25">
      <c r="A6" s="2" t="s">
        <v>19</v>
      </c>
      <c r="B6" s="2" t="s">
        <v>21</v>
      </c>
      <c r="C6" s="3">
        <v>43752</v>
      </c>
      <c r="D6" t="s">
        <v>22</v>
      </c>
      <c r="E6" s="2" t="s">
        <v>12</v>
      </c>
      <c r="F6" s="2" t="s">
        <v>12</v>
      </c>
      <c r="G6" t="s">
        <v>16</v>
      </c>
      <c r="H6" t="str">
        <f t="shared" si="1"/>
        <v>https://videplast.com.br/consulta-imobilizado?id=11000158&amp;nome=COBRANÇA%20DE%20MÃO%20DE%20OBRA%20PARA%20APLICAÇÃO%20DO%20BARRACÃO</v>
      </c>
      <c r="I6" t="e">
        <f t="shared" ca="1" si="0"/>
        <v>#NAME?</v>
      </c>
    </row>
    <row r="7" spans="1:9" x14ac:dyDescent="0.25">
      <c r="A7" s="2" t="s">
        <v>23</v>
      </c>
      <c r="B7" s="2" t="s">
        <v>10</v>
      </c>
      <c r="C7" s="3">
        <v>38141</v>
      </c>
      <c r="D7" t="s">
        <v>24</v>
      </c>
      <c r="E7" s="2" t="s">
        <v>25</v>
      </c>
      <c r="F7" s="2" t="s">
        <v>12</v>
      </c>
      <c r="G7" t="s">
        <v>16</v>
      </c>
      <c r="H7" t="str">
        <f t="shared" si="1"/>
        <v>https://videplast.com.br/consulta-imobilizado?id=20000076&amp;nome=MAQUINA%20EXTRUSORA%20CARNEVALLI%20P.%20MAGNUM%2075%20Nº%20005</v>
      </c>
      <c r="I7" t="e">
        <f t="shared" ca="1" si="0"/>
        <v>#NAME?</v>
      </c>
    </row>
    <row r="8" spans="1:9" x14ac:dyDescent="0.25">
      <c r="A8" s="2" t="s">
        <v>23</v>
      </c>
      <c r="B8" s="2" t="s">
        <v>26</v>
      </c>
      <c r="C8" s="3">
        <v>38149</v>
      </c>
      <c r="D8" t="s">
        <v>27</v>
      </c>
      <c r="E8" s="2" t="s">
        <v>12</v>
      </c>
      <c r="F8" s="2" t="s">
        <v>12</v>
      </c>
      <c r="G8" t="s">
        <v>16</v>
      </c>
      <c r="H8" t="str">
        <f t="shared" si="1"/>
        <v>https://videplast.com.br/consulta-imobilizado?id=20000076&amp;nome=FRETE%20SOBRE%20IMOBILIZADO%20NR%2012138</v>
      </c>
      <c r="I8" t="e">
        <f t="shared" ca="1" si="0"/>
        <v>#NAME?</v>
      </c>
    </row>
    <row r="9" spans="1:9" x14ac:dyDescent="0.25">
      <c r="A9" s="2" t="s">
        <v>23</v>
      </c>
      <c r="B9" s="2" t="s">
        <v>21</v>
      </c>
      <c r="C9" s="3">
        <v>38149</v>
      </c>
      <c r="D9" t="s">
        <v>28</v>
      </c>
      <c r="E9" s="2" t="s">
        <v>12</v>
      </c>
      <c r="F9" s="2" t="s">
        <v>12</v>
      </c>
      <c r="G9" t="s">
        <v>16</v>
      </c>
      <c r="H9" t="str">
        <f t="shared" si="1"/>
        <v>https://videplast.com.br/consulta-imobilizado?id=20000076&amp;nome=FRETE%20SOBRE%20IMOBILIZADO%20NR.12139%20TRANSP.%20PAGNO</v>
      </c>
      <c r="I9" t="e">
        <f t="shared" ca="1" si="0"/>
        <v>#NAME?</v>
      </c>
    </row>
    <row r="10" spans="1:9" x14ac:dyDescent="0.25">
      <c r="A10" s="2" t="s">
        <v>23</v>
      </c>
      <c r="B10" s="2" t="s">
        <v>29</v>
      </c>
      <c r="C10" s="3">
        <v>38149</v>
      </c>
      <c r="D10" t="s">
        <v>30</v>
      </c>
      <c r="E10" s="2" t="s">
        <v>12</v>
      </c>
      <c r="F10" s="2" t="s">
        <v>12</v>
      </c>
      <c r="G10" t="s">
        <v>16</v>
      </c>
      <c r="H10" t="str">
        <f t="shared" si="1"/>
        <v>https://videplast.com.br/consulta-imobilizado?id=20000076&amp;nome=FRETE%20SOBRE%20IMOBILIZADO%20NR.12140%20TRANSP.%20PAGNO</v>
      </c>
      <c r="I10" t="e">
        <f t="shared" ca="1" si="0"/>
        <v>#NAME?</v>
      </c>
    </row>
    <row r="11" spans="1:9" x14ac:dyDescent="0.25">
      <c r="A11" s="2" t="s">
        <v>23</v>
      </c>
      <c r="B11" s="2" t="s">
        <v>31</v>
      </c>
      <c r="C11" s="3">
        <v>38149</v>
      </c>
      <c r="D11" t="s">
        <v>32</v>
      </c>
      <c r="E11" s="2" t="s">
        <v>12</v>
      </c>
      <c r="F11" s="2" t="s">
        <v>12</v>
      </c>
      <c r="G11" t="s">
        <v>16</v>
      </c>
      <c r="H11" t="str">
        <f t="shared" si="1"/>
        <v>https://videplast.com.br/consulta-imobilizado?id=20000076&amp;nome=FRETE%20SOBRE%20IMOBILIZADO%20NR.12141%20TRANSP.%20PAGNO</v>
      </c>
      <c r="I11" t="e">
        <f t="shared" ca="1" si="0"/>
        <v>#NAME?</v>
      </c>
    </row>
    <row r="12" spans="1:9" x14ac:dyDescent="0.25">
      <c r="A12" s="2" t="s">
        <v>23</v>
      </c>
      <c r="B12" s="2" t="s">
        <v>33</v>
      </c>
      <c r="C12" s="3">
        <v>40482</v>
      </c>
      <c r="D12" t="s">
        <v>34</v>
      </c>
      <c r="E12" s="2" t="s">
        <v>12</v>
      </c>
      <c r="F12" s="2" t="s">
        <v>12</v>
      </c>
      <c r="G12" t="s">
        <v>16</v>
      </c>
      <c r="H12" t="str">
        <f t="shared" si="1"/>
        <v>https://videplast.com.br/consulta-imobilizado?id=20000076&amp;nome=SERVICO%20EM%20INVERSOR%20DE%20FREQUENCIA%20CWF09%20142</v>
      </c>
      <c r="I12" t="e">
        <f t="shared" ca="1" si="0"/>
        <v>#NAME?</v>
      </c>
    </row>
    <row r="13" spans="1:9" x14ac:dyDescent="0.25">
      <c r="A13" s="2" t="s">
        <v>23</v>
      </c>
      <c r="B13" s="2" t="s">
        <v>35</v>
      </c>
      <c r="C13" s="3">
        <v>40908</v>
      </c>
      <c r="D13" t="s">
        <v>36</v>
      </c>
      <c r="E13" s="2" t="s">
        <v>12</v>
      </c>
      <c r="F13" s="2" t="s">
        <v>12</v>
      </c>
      <c r="G13" t="s">
        <v>16</v>
      </c>
      <c r="H13" t="str">
        <f t="shared" si="1"/>
        <v>https://videplast.com.br/consulta-imobilizado?id=20000076&amp;nome=SUB%20CONJUNTO%20ROSCA%20FL/FC%20MAG.%2075-FG%20E%20BUCHA</v>
      </c>
      <c r="I13" t="e">
        <f t="shared" ca="1" si="0"/>
        <v>#NAME?</v>
      </c>
    </row>
    <row r="14" spans="1:9" x14ac:dyDescent="0.25">
      <c r="A14" s="2" t="s">
        <v>23</v>
      </c>
      <c r="B14" s="2" t="s">
        <v>37</v>
      </c>
      <c r="C14" s="3">
        <v>41029</v>
      </c>
      <c r="D14" t="s">
        <v>38</v>
      </c>
      <c r="E14" s="2" t="s">
        <v>12</v>
      </c>
      <c r="F14" s="2" t="s">
        <v>12</v>
      </c>
      <c r="G14" t="s">
        <v>16</v>
      </c>
      <c r="H14" t="str">
        <f t="shared" si="1"/>
        <v>https://videplast.com.br/consulta-imobilizado?id=20000076&amp;nome=CARTAO%20ELETRONICO%20UBR/CB-50</v>
      </c>
      <c r="I14" t="e">
        <f t="shared" ca="1" si="0"/>
        <v>#NAME?</v>
      </c>
    </row>
    <row r="15" spans="1:9" x14ac:dyDescent="0.25">
      <c r="A15" s="2" t="s">
        <v>23</v>
      </c>
      <c r="B15" s="2" t="s">
        <v>39</v>
      </c>
      <c r="C15" s="3">
        <v>41394</v>
      </c>
      <c r="D15" t="s">
        <v>40</v>
      </c>
      <c r="E15" s="2" t="s">
        <v>12</v>
      </c>
      <c r="F15" s="2" t="s">
        <v>12</v>
      </c>
      <c r="G15" t="s">
        <v>16</v>
      </c>
      <c r="H15" t="str">
        <f t="shared" si="1"/>
        <v>https://videplast.com.br/consulta-imobilizado?id=20000076&amp;nome=DOSADOR%20GRAVIMETRICO%20GRAVITEC-%20G4SL300-AC</v>
      </c>
      <c r="I15" t="e">
        <f t="shared" ca="1" si="0"/>
        <v>#NAME?</v>
      </c>
    </row>
    <row r="16" spans="1:9" x14ac:dyDescent="0.25">
      <c r="A16" s="2" t="s">
        <v>41</v>
      </c>
      <c r="B16" s="2" t="s">
        <v>10</v>
      </c>
      <c r="C16" s="3">
        <v>38755</v>
      </c>
      <c r="D16" t="s">
        <v>42</v>
      </c>
      <c r="E16" s="2" t="s">
        <v>43</v>
      </c>
      <c r="F16" s="2" t="s">
        <v>44</v>
      </c>
      <c r="G16" t="s">
        <v>16</v>
      </c>
      <c r="H16" t="str">
        <f t="shared" si="1"/>
        <v>https://videplast.com.br/consulta-imobilizado?id=20000088&amp;nome=MAQUINA%20EXTRUSORA%20CARNEVALLI%20P.%20MAGNUM%2075%20Nº%20006</v>
      </c>
      <c r="I16" t="e">
        <f t="shared" ca="1" si="0"/>
        <v>#NAME?</v>
      </c>
    </row>
    <row r="17" spans="1:9" x14ac:dyDescent="0.25">
      <c r="A17" s="2" t="s">
        <v>41</v>
      </c>
      <c r="B17" s="2" t="s">
        <v>26</v>
      </c>
      <c r="C17" s="3">
        <v>38757</v>
      </c>
      <c r="D17" t="s">
        <v>45</v>
      </c>
      <c r="E17" s="2" t="s">
        <v>12</v>
      </c>
      <c r="F17" s="2" t="s">
        <v>12</v>
      </c>
      <c r="G17" t="s">
        <v>16</v>
      </c>
      <c r="H17" t="str">
        <f t="shared" si="1"/>
        <v>https://videplast.com.br/consulta-imobilizado?id=20000088&amp;nome=FRETE%20P/TRANSPORTE%20DE%20UMA%20EXTRUSORA</v>
      </c>
      <c r="I17" t="e">
        <f t="shared" ca="1" si="0"/>
        <v>#NAME?</v>
      </c>
    </row>
    <row r="18" spans="1:9" x14ac:dyDescent="0.25">
      <c r="A18" s="2" t="s">
        <v>41</v>
      </c>
      <c r="B18" s="2" t="s">
        <v>21</v>
      </c>
      <c r="C18" s="3">
        <v>38757</v>
      </c>
      <c r="D18" t="s">
        <v>46</v>
      </c>
      <c r="E18" s="2" t="s">
        <v>12</v>
      </c>
      <c r="F18" s="2" t="s">
        <v>12</v>
      </c>
      <c r="G18" t="s">
        <v>16</v>
      </c>
      <c r="H18" t="str">
        <f t="shared" si="1"/>
        <v>https://videplast.com.br/consulta-imobilizado?id=20000088&amp;nome=FRETE%20P/TRANSPORTE%20DE%20UMA%20EXTRUSORA%20CONF%20CTR</v>
      </c>
      <c r="I18" t="e">
        <f t="shared" ca="1" si="0"/>
        <v>#NAME?</v>
      </c>
    </row>
    <row r="19" spans="1:9" x14ac:dyDescent="0.25">
      <c r="A19" s="2" t="s">
        <v>41</v>
      </c>
      <c r="B19" s="2" t="s">
        <v>29</v>
      </c>
      <c r="C19" s="3">
        <v>38757</v>
      </c>
      <c r="D19" t="s">
        <v>46</v>
      </c>
      <c r="E19" s="2" t="s">
        <v>12</v>
      </c>
      <c r="F19" s="2" t="s">
        <v>12</v>
      </c>
      <c r="G19" t="s">
        <v>16</v>
      </c>
      <c r="H19" t="str">
        <f t="shared" si="1"/>
        <v>https://videplast.com.br/consulta-imobilizado?id=20000088&amp;nome=FRETE%20P/TRANSPORTE%20DE%20UMA%20EXTRUSORA%20CONF%20CTR</v>
      </c>
      <c r="I19" t="e">
        <f t="shared" ca="1" si="0"/>
        <v>#NAME?</v>
      </c>
    </row>
    <row r="20" spans="1:9" x14ac:dyDescent="0.25">
      <c r="A20" s="2" t="s">
        <v>41</v>
      </c>
      <c r="B20" s="2" t="s">
        <v>31</v>
      </c>
      <c r="C20" s="3">
        <v>38757</v>
      </c>
      <c r="D20" t="s">
        <v>46</v>
      </c>
      <c r="E20" s="2" t="s">
        <v>12</v>
      </c>
      <c r="F20" s="2" t="s">
        <v>12</v>
      </c>
      <c r="G20" t="s">
        <v>16</v>
      </c>
      <c r="H20" t="str">
        <f t="shared" si="1"/>
        <v>https://videplast.com.br/consulta-imobilizado?id=20000088&amp;nome=FRETE%20P/TRANSPORTE%20DE%20UMA%20EXTRUSORA%20CONF%20CTR</v>
      </c>
      <c r="I20" t="e">
        <f t="shared" ca="1" si="0"/>
        <v>#NAME?</v>
      </c>
    </row>
    <row r="21" spans="1:9" x14ac:dyDescent="0.25">
      <c r="A21" s="2" t="s">
        <v>41</v>
      </c>
      <c r="B21" s="2" t="s">
        <v>33</v>
      </c>
      <c r="C21" s="3">
        <v>43418</v>
      </c>
      <c r="D21" t="s">
        <v>47</v>
      </c>
      <c r="E21" s="2" t="s">
        <v>12</v>
      </c>
      <c r="F21" s="2" t="s">
        <v>12</v>
      </c>
      <c r="G21" t="s">
        <v>16</v>
      </c>
      <c r="H21" t="str">
        <f t="shared" si="1"/>
        <v>https://videplast.com.br/consulta-imobilizado?id=20000088&amp;nome=CONVERSOR%20DE%20FREQUENCIA%20ESTATICO%20CFW-11%20124A/3AC</v>
      </c>
      <c r="I21" t="e">
        <f t="shared" ca="1" si="0"/>
        <v>#NAME?</v>
      </c>
    </row>
    <row r="22" spans="1:9" x14ac:dyDescent="0.25">
      <c r="A22" s="2" t="s">
        <v>48</v>
      </c>
      <c r="B22" s="2" t="s">
        <v>10</v>
      </c>
      <c r="C22" s="3">
        <v>37484</v>
      </c>
      <c r="D22" t="s">
        <v>49</v>
      </c>
      <c r="E22" s="2" t="s">
        <v>50</v>
      </c>
      <c r="F22" s="2" t="s">
        <v>12</v>
      </c>
      <c r="G22" t="s">
        <v>16</v>
      </c>
      <c r="H22" t="str">
        <f t="shared" si="1"/>
        <v>https://videplast.com.br/consulta-imobilizado?id=20000145&amp;nome=MAQUINA%20CARNEVALLI%20MODELO%20CL%2075%20Nº%20004</v>
      </c>
      <c r="I22" t="e">
        <f t="shared" ca="1" si="0"/>
        <v>#NAME?</v>
      </c>
    </row>
    <row r="23" spans="1:9" x14ac:dyDescent="0.25">
      <c r="A23" s="2" t="s">
        <v>48</v>
      </c>
      <c r="B23" s="2" t="s">
        <v>26</v>
      </c>
      <c r="C23" s="3">
        <v>42759</v>
      </c>
      <c r="D23" t="s">
        <v>51</v>
      </c>
      <c r="E23" s="2" t="s">
        <v>12</v>
      </c>
      <c r="F23" s="2" t="s">
        <v>12</v>
      </c>
      <c r="G23" t="s">
        <v>16</v>
      </c>
      <c r="H23" t="str">
        <f t="shared" si="1"/>
        <v>https://videplast.com.br/consulta-imobilizado?id=20000145&amp;nome=KIT%20ATUADORES%20P/SAIA%20DE%20ROLETES%20DE%20ALUMINIO</v>
      </c>
      <c r="I23" t="e">
        <f t="shared" ca="1" si="0"/>
        <v>#NAME?</v>
      </c>
    </row>
    <row r="24" spans="1:9" x14ac:dyDescent="0.25">
      <c r="A24" s="2" t="s">
        <v>48</v>
      </c>
      <c r="B24" s="2" t="s">
        <v>21</v>
      </c>
      <c r="C24" s="3">
        <v>42759</v>
      </c>
      <c r="D24" t="s">
        <v>52</v>
      </c>
      <c r="E24" s="2" t="s">
        <v>12</v>
      </c>
      <c r="F24" s="2" t="s">
        <v>12</v>
      </c>
      <c r="G24" t="s">
        <v>16</v>
      </c>
      <c r="H24" t="str">
        <f t="shared" si="1"/>
        <v>https://videplast.com.br/consulta-imobilizado?id=20000145&amp;nome=KIT%20DE%20REGULAGEM%20SAIA%20DE%20ROLETES</v>
      </c>
      <c r="I24" t="e">
        <f t="shared" ca="1" si="0"/>
        <v>#NAME?</v>
      </c>
    </row>
    <row r="25" spans="1:9" x14ac:dyDescent="0.25">
      <c r="A25" s="2" t="s">
        <v>48</v>
      </c>
      <c r="B25" s="2" t="s">
        <v>29</v>
      </c>
      <c r="C25" s="3">
        <v>42759</v>
      </c>
      <c r="D25" t="s">
        <v>53</v>
      </c>
      <c r="E25" s="2" t="s">
        <v>12</v>
      </c>
      <c r="F25" s="2" t="s">
        <v>12</v>
      </c>
      <c r="G25" t="s">
        <v>16</v>
      </c>
      <c r="H25" t="str">
        <f t="shared" si="1"/>
        <v>https://videplast.com.br/consulta-imobilizado?id=20000145&amp;nome=CONJUNTO%20COMPLETO%20TRIANGULOS%20SANFONADORES</v>
      </c>
      <c r="I25" t="e">
        <f t="shared" ca="1" si="0"/>
        <v>#NAME?</v>
      </c>
    </row>
    <row r="26" spans="1:9" x14ac:dyDescent="0.25">
      <c r="A26" s="2" t="s">
        <v>54</v>
      </c>
      <c r="B26" s="2" t="s">
        <v>10</v>
      </c>
      <c r="C26" s="3">
        <v>36764</v>
      </c>
      <c r="D26" t="s">
        <v>55</v>
      </c>
      <c r="E26" s="2" t="s">
        <v>56</v>
      </c>
      <c r="F26" s="2" t="s">
        <v>12</v>
      </c>
      <c r="G26" t="s">
        <v>16</v>
      </c>
      <c r="H26" t="str">
        <f t="shared" si="1"/>
        <v>https://videplast.com.br/consulta-imobilizado?id=20000154&amp;nome=LINHA%20COMPLETA%20POLIT%20BAIXA%20DENSIDADE%20LINEAR%20Nº%20002</v>
      </c>
      <c r="I26" t="e">
        <f t="shared" ca="1" si="0"/>
        <v>#NAME?</v>
      </c>
    </row>
    <row r="27" spans="1:9" x14ac:dyDescent="0.25">
      <c r="A27" s="2" t="s">
        <v>54</v>
      </c>
      <c r="B27" s="2" t="s">
        <v>26</v>
      </c>
      <c r="C27" s="3">
        <v>40602</v>
      </c>
      <c r="D27" t="s">
        <v>57</v>
      </c>
      <c r="E27" s="2" t="s">
        <v>12</v>
      </c>
      <c r="F27" s="2" t="s">
        <v>12</v>
      </c>
      <c r="G27" t="s">
        <v>16</v>
      </c>
      <c r="H27" t="str">
        <f t="shared" si="1"/>
        <v>https://videplast.com.br/consulta-imobilizado?id=20000154&amp;nome=VENTILAÇÃO%20FORÇADA%20DZ90-100%20VS%20230V</v>
      </c>
      <c r="I27" t="e">
        <f t="shared" ca="1" si="0"/>
        <v>#NAME?</v>
      </c>
    </row>
    <row r="28" spans="1:9" x14ac:dyDescent="0.25">
      <c r="A28" s="2" t="s">
        <v>54</v>
      </c>
      <c r="B28" s="2" t="s">
        <v>21</v>
      </c>
      <c r="C28" s="3">
        <v>45439</v>
      </c>
      <c r="D28" t="s">
        <v>58</v>
      </c>
      <c r="E28" s="2" t="s">
        <v>12</v>
      </c>
      <c r="F28" s="2" t="s">
        <v>12</v>
      </c>
      <c r="G28" t="s">
        <v>16</v>
      </c>
      <c r="H28" t="str">
        <f t="shared" si="1"/>
        <v>https://videplast.com.br/consulta-imobilizado?id=20000154&amp;nome=CONJUNTO%20CILINDRO%20E%20ROSCA%20COM%20BUCHA%20RANHURADA</v>
      </c>
      <c r="I28" t="e">
        <f t="shared" ca="1" si="0"/>
        <v>#NAME?</v>
      </c>
    </row>
    <row r="29" spans="1:9" x14ac:dyDescent="0.25">
      <c r="A29" s="2" t="s">
        <v>59</v>
      </c>
      <c r="B29" s="2" t="s">
        <v>10</v>
      </c>
      <c r="C29" s="3">
        <v>40107</v>
      </c>
      <c r="D29" t="s">
        <v>60</v>
      </c>
      <c r="E29" s="2" t="s">
        <v>61</v>
      </c>
      <c r="F29" s="2" t="s">
        <v>62</v>
      </c>
      <c r="G29" t="s">
        <v>16</v>
      </c>
      <c r="H29" t="str">
        <f t="shared" si="1"/>
        <v>https://videplast.com.br/consulta-imobilizado?id=20000256&amp;nome=EXTRUSORA%20BALAO%20COMPLETA%20MOD%20GD/HL-50EZ%20Nº%20012</v>
      </c>
      <c r="I29" t="e">
        <f t="shared" ca="1" si="0"/>
        <v>#NAME?</v>
      </c>
    </row>
    <row r="30" spans="1:9" x14ac:dyDescent="0.25">
      <c r="A30" s="2" t="s">
        <v>59</v>
      </c>
      <c r="B30" s="2" t="s">
        <v>26</v>
      </c>
      <c r="C30" s="3">
        <v>40109</v>
      </c>
      <c r="D30" t="s">
        <v>63</v>
      </c>
      <c r="E30" s="2" t="s">
        <v>12</v>
      </c>
      <c r="F30" s="2" t="s">
        <v>12</v>
      </c>
      <c r="G30" t="s">
        <v>16</v>
      </c>
      <c r="H30" t="str">
        <f t="shared" si="1"/>
        <v>https://videplast.com.br/consulta-imobilizado?id=20000256&amp;nome=FRETE%20EXTRUSORAS</v>
      </c>
      <c r="I30" t="e">
        <f t="shared" ca="1" si="0"/>
        <v>#NAME?</v>
      </c>
    </row>
    <row r="31" spans="1:9" x14ac:dyDescent="0.25">
      <c r="A31" s="2" t="s">
        <v>59</v>
      </c>
      <c r="B31" s="2" t="s">
        <v>21</v>
      </c>
      <c r="C31" s="3">
        <v>40107</v>
      </c>
      <c r="D31" t="s">
        <v>64</v>
      </c>
      <c r="E31" s="2" t="s">
        <v>12</v>
      </c>
      <c r="F31" s="2" t="s">
        <v>12</v>
      </c>
      <c r="G31" t="s">
        <v>16</v>
      </c>
      <c r="H31" t="str">
        <f t="shared" si="1"/>
        <v>https://videplast.com.br/consulta-imobilizado?id=20000256&amp;nome=GASTOS%20COM%20IMPORTACAO</v>
      </c>
      <c r="I31" t="e">
        <f t="shared" ca="1" si="0"/>
        <v>#NAME?</v>
      </c>
    </row>
    <row r="32" spans="1:9" x14ac:dyDescent="0.25">
      <c r="A32" s="2" t="s">
        <v>59</v>
      </c>
      <c r="B32" s="2" t="s">
        <v>29</v>
      </c>
      <c r="C32" s="3">
        <v>40176</v>
      </c>
      <c r="D32" t="s">
        <v>65</v>
      </c>
      <c r="E32" s="2" t="s">
        <v>12</v>
      </c>
      <c r="F32" s="2" t="s">
        <v>12</v>
      </c>
      <c r="G32" t="s">
        <v>16</v>
      </c>
      <c r="H32" t="str">
        <f t="shared" si="1"/>
        <v>https://videplast.com.br/consulta-imobilizado?id=20000256&amp;nome=INVERSOR%20CFW-08</v>
      </c>
      <c r="I32" t="e">
        <f t="shared" ca="1" si="0"/>
        <v>#NAME?</v>
      </c>
    </row>
    <row r="33" spans="1:9" x14ac:dyDescent="0.25">
      <c r="A33" s="2" t="s">
        <v>59</v>
      </c>
      <c r="B33" s="2" t="s">
        <v>31</v>
      </c>
      <c r="C33" s="3">
        <v>40148</v>
      </c>
      <c r="D33" t="s">
        <v>66</v>
      </c>
      <c r="E33" s="2" t="s">
        <v>12</v>
      </c>
      <c r="F33" s="2" t="s">
        <v>12</v>
      </c>
      <c r="G33" t="s">
        <v>16</v>
      </c>
      <c r="H33" t="str">
        <f t="shared" si="1"/>
        <v>https://videplast.com.br/consulta-imobilizado?id=20000256&amp;nome=ALINHADOR%20DF%202/165/2000/1700</v>
      </c>
      <c r="I33" t="e">
        <f t="shared" ca="1" si="0"/>
        <v>#NAME?</v>
      </c>
    </row>
    <row r="34" spans="1:9" x14ac:dyDescent="0.25">
      <c r="A34" s="2" t="s">
        <v>59</v>
      </c>
      <c r="B34" s="2" t="s">
        <v>33</v>
      </c>
      <c r="C34" s="3">
        <v>40210</v>
      </c>
      <c r="D34" t="s">
        <v>67</v>
      </c>
      <c r="E34" s="2" t="s">
        <v>12</v>
      </c>
      <c r="F34" s="2" t="s">
        <v>12</v>
      </c>
      <c r="G34" t="s">
        <v>16</v>
      </c>
      <c r="H34" t="str">
        <f t="shared" si="1"/>
        <v>https://videplast.com.br/consulta-imobilizado?id=20000256&amp;nome=TUBO%20MECANICO%20EXT%20140</v>
      </c>
      <c r="I34" t="e">
        <f t="shared" ca="1" si="0"/>
        <v>#NAME?</v>
      </c>
    </row>
    <row r="35" spans="1:9" x14ac:dyDescent="0.25">
      <c r="A35" s="2" t="s">
        <v>59</v>
      </c>
      <c r="B35" s="2" t="s">
        <v>35</v>
      </c>
      <c r="C35" s="3">
        <v>40451</v>
      </c>
      <c r="D35" t="s">
        <v>68</v>
      </c>
      <c r="E35" s="2" t="s">
        <v>12</v>
      </c>
      <c r="F35" s="2" t="s">
        <v>12</v>
      </c>
      <c r="G35" t="s">
        <v>16</v>
      </c>
      <c r="H35" t="str">
        <f t="shared" si="1"/>
        <v>https://videplast.com.br/consulta-imobilizado?id=20000256&amp;nome=CONTROLADOR%20DIGITAL%20MICROPROCESSADO</v>
      </c>
      <c r="I35" t="e">
        <f t="shared" ca="1" si="0"/>
        <v>#NAME?</v>
      </c>
    </row>
    <row r="36" spans="1:9" x14ac:dyDescent="0.25">
      <c r="A36" s="2" t="s">
        <v>59</v>
      </c>
      <c r="B36" s="2" t="s">
        <v>37</v>
      </c>
      <c r="C36" s="3">
        <v>41060</v>
      </c>
      <c r="D36" t="s">
        <v>69</v>
      </c>
      <c r="E36" s="2" t="s">
        <v>12</v>
      </c>
      <c r="F36" s="2" t="s">
        <v>12</v>
      </c>
      <c r="G36" t="s">
        <v>16</v>
      </c>
      <c r="H36" t="str">
        <f t="shared" si="1"/>
        <v>https://videplast.com.br/consulta-imobilizado?id=20000256&amp;nome=TUBO%20DE%20ACO</v>
      </c>
      <c r="I36" t="e">
        <f t="shared" ca="1" si="0"/>
        <v>#NAME?</v>
      </c>
    </row>
    <row r="37" spans="1:9" x14ac:dyDescent="0.25">
      <c r="A37" s="2" t="s">
        <v>59</v>
      </c>
      <c r="B37" s="2" t="s">
        <v>39</v>
      </c>
      <c r="C37" s="3">
        <v>42577</v>
      </c>
      <c r="D37" t="s">
        <v>70</v>
      </c>
      <c r="E37" s="2" t="s">
        <v>12</v>
      </c>
      <c r="F37" s="2" t="s">
        <v>12</v>
      </c>
      <c r="G37" t="s">
        <v>16</v>
      </c>
      <c r="H37" t="str">
        <f t="shared" si="1"/>
        <v>https://videplast.com.br/consulta-imobilizado?id=20000256&amp;nome=TROCADOR%20DE%20CALOR%20REFRISAT%20TC-30-W/AR</v>
      </c>
      <c r="I37" t="e">
        <f t="shared" ca="1" si="0"/>
        <v>#NAME?</v>
      </c>
    </row>
    <row r="38" spans="1:9" x14ac:dyDescent="0.25">
      <c r="A38" s="2" t="s">
        <v>71</v>
      </c>
      <c r="B38" s="2" t="s">
        <v>10</v>
      </c>
      <c r="C38" s="3">
        <v>44182</v>
      </c>
      <c r="D38" t="s">
        <v>72</v>
      </c>
      <c r="E38" s="2" t="s">
        <v>73</v>
      </c>
      <c r="F38" s="2" t="s">
        <v>12</v>
      </c>
      <c r="G38" t="s">
        <v>16</v>
      </c>
      <c r="H38" t="str">
        <f t="shared" si="1"/>
        <v>https://videplast.com.br/consulta-imobilizado?id=20000582&amp;nome=MAQUINA%20EXTRUSORA%20HOSOKAWA%20ALPINE%203%20CAM%20Nº%20015</v>
      </c>
      <c r="I38" t="e">
        <f t="shared" ca="1" si="0"/>
        <v>#NAME?</v>
      </c>
    </row>
    <row r="39" spans="1:9" x14ac:dyDescent="0.25">
      <c r="A39" s="2" t="s">
        <v>71</v>
      </c>
      <c r="B39" s="2" t="s">
        <v>26</v>
      </c>
      <c r="C39" s="3">
        <v>44182</v>
      </c>
      <c r="D39" t="s">
        <v>74</v>
      </c>
      <c r="E39" s="2" t="s">
        <v>73</v>
      </c>
      <c r="F39" s="2" t="s">
        <v>12</v>
      </c>
      <c r="G39" t="s">
        <v>16</v>
      </c>
      <c r="H39" t="str">
        <f t="shared" si="1"/>
        <v>https://videplast.com.br/consulta-imobilizado?id=20000582&amp;nome=FRETES%20E%20SERVIÇOS%20INSTALAÇAO%20MAQUINA%2020000450</v>
      </c>
      <c r="I39" t="e">
        <f t="shared" ca="1" si="0"/>
        <v>#NAME?</v>
      </c>
    </row>
    <row r="40" spans="1:9" x14ac:dyDescent="0.25">
      <c r="A40" s="2" t="s">
        <v>71</v>
      </c>
      <c r="B40" s="2" t="s">
        <v>21</v>
      </c>
      <c r="C40" s="3">
        <v>44182</v>
      </c>
      <c r="D40" t="s">
        <v>75</v>
      </c>
      <c r="E40" s="2" t="s">
        <v>73</v>
      </c>
      <c r="F40" s="2" t="s">
        <v>12</v>
      </c>
      <c r="G40" t="s">
        <v>16</v>
      </c>
      <c r="H40" t="str">
        <f t="shared" si="1"/>
        <v>https://videplast.com.br/consulta-imobilizado?id=20000582&amp;nome=SERVIÇOS%20INSTALAÇAO%20MAQUINA%2020000450</v>
      </c>
      <c r="I40" t="e">
        <f t="shared" ca="1" si="0"/>
        <v>#NAME?</v>
      </c>
    </row>
    <row r="41" spans="1:9" x14ac:dyDescent="0.25">
      <c r="A41" s="2" t="s">
        <v>71</v>
      </c>
      <c r="B41" s="2" t="s">
        <v>29</v>
      </c>
      <c r="C41" s="3">
        <v>44182</v>
      </c>
      <c r="D41" t="s">
        <v>74</v>
      </c>
      <c r="E41" s="2" t="s">
        <v>73</v>
      </c>
      <c r="F41" s="2" t="s">
        <v>12</v>
      </c>
      <c r="G41" t="s">
        <v>16</v>
      </c>
      <c r="H41" t="str">
        <f t="shared" si="1"/>
        <v>https://videplast.com.br/consulta-imobilizado?id=20000582&amp;nome=FRETES%20E%20SERVIÇOS%20INSTALAÇAO%20MAQUINA%2020000450</v>
      </c>
      <c r="I41" t="e">
        <f t="shared" ca="1" si="0"/>
        <v>#NAME?</v>
      </c>
    </row>
    <row r="42" spans="1:9" x14ac:dyDescent="0.25">
      <c r="A42" s="2" t="s">
        <v>71</v>
      </c>
      <c r="B42" s="2" t="s">
        <v>33</v>
      </c>
      <c r="C42" s="3">
        <v>45617</v>
      </c>
      <c r="D42" t="s">
        <v>76</v>
      </c>
      <c r="E42" s="2" t="s">
        <v>12</v>
      </c>
      <c r="F42" s="2" t="s">
        <v>12</v>
      </c>
      <c r="G42" t="s">
        <v>16</v>
      </c>
      <c r="H42" t="str">
        <f t="shared" si="1"/>
        <v>https://videplast.com.br/consulta-imobilizado?id=20000582&amp;nome=MOTOR%20ELETRICO%20DE%20PASSO%20MOVIMENTACAO%20MEDIDOR%20DE</v>
      </c>
      <c r="I42" t="e">
        <f t="shared" ca="1" si="0"/>
        <v>#NAME?</v>
      </c>
    </row>
    <row r="43" spans="1:9" x14ac:dyDescent="0.25">
      <c r="A43" s="2" t="s">
        <v>71</v>
      </c>
      <c r="B43" s="2" t="s">
        <v>35</v>
      </c>
      <c r="C43" s="3">
        <v>45635</v>
      </c>
      <c r="D43" t="s">
        <v>77</v>
      </c>
      <c r="E43" s="2" t="s">
        <v>12</v>
      </c>
      <c r="F43" s="2" t="s">
        <v>12</v>
      </c>
      <c r="G43" t="s">
        <v>16</v>
      </c>
      <c r="H43" t="str">
        <f t="shared" si="1"/>
        <v>https://videplast.com.br/consulta-imobilizado?id=20000582&amp;nome=SIMATIC%20IPC427E%20MICROBOX%20OD%20WINDOWS%2010</v>
      </c>
      <c r="I43" t="e">
        <f t="shared" ca="1" si="0"/>
        <v>#NAME?</v>
      </c>
    </row>
    <row r="44" spans="1:9" x14ac:dyDescent="0.25">
      <c r="A44" s="2" t="s">
        <v>71</v>
      </c>
      <c r="B44" s="2" t="s">
        <v>37</v>
      </c>
      <c r="C44" s="3">
        <v>45687</v>
      </c>
      <c r="D44" t="s">
        <v>78</v>
      </c>
      <c r="E44" s="2" t="s">
        <v>12</v>
      </c>
      <c r="F44" s="2" t="s">
        <v>12</v>
      </c>
      <c r="G44" t="s">
        <v>16</v>
      </c>
      <c r="H44" t="str">
        <f t="shared" si="1"/>
        <v>https://videplast.com.br/consulta-imobilizado?id=20000582&amp;nome=MEDIDOR%20DE%20ESPESSURA%20E-1250%20COM%20MOTOR%20DE%20PASSO</v>
      </c>
      <c r="I44" t="e">
        <f t="shared" ca="1" si="0"/>
        <v>#NAME?</v>
      </c>
    </row>
    <row r="45" spans="1:9" x14ac:dyDescent="0.25">
      <c r="A45" s="2" t="s">
        <v>79</v>
      </c>
      <c r="B45" s="2" t="s">
        <v>10</v>
      </c>
      <c r="C45" s="3">
        <v>44183</v>
      </c>
      <c r="D45" t="s">
        <v>80</v>
      </c>
      <c r="E45" s="2" t="s">
        <v>81</v>
      </c>
      <c r="F45" s="2" t="s">
        <v>82</v>
      </c>
      <c r="G45" t="s">
        <v>16</v>
      </c>
      <c r="H45" t="str">
        <f t="shared" si="1"/>
        <v>https://videplast.com.br/consulta-imobilizado?id=20000591&amp;nome=COEXTRUSORA%205%20CAMADAS%20WINDMOLLER%20VAREX%20Nº%20014</v>
      </c>
      <c r="I45" t="e">
        <f t="shared" ca="1" si="0"/>
        <v>#NAME?</v>
      </c>
    </row>
    <row r="46" spans="1:9" x14ac:dyDescent="0.25">
      <c r="A46" s="2" t="s">
        <v>79</v>
      </c>
      <c r="B46" s="2" t="s">
        <v>26</v>
      </c>
      <c r="C46" s="3">
        <v>44183</v>
      </c>
      <c r="D46" t="s">
        <v>83</v>
      </c>
      <c r="E46" s="2" t="s">
        <v>81</v>
      </c>
      <c r="F46" s="2" t="s">
        <v>12</v>
      </c>
      <c r="G46" t="s">
        <v>16</v>
      </c>
      <c r="H46" t="str">
        <f t="shared" si="1"/>
        <v>https://videplast.com.br/consulta-imobilizado?id=20000591&amp;nome=ESTRUTURA%20DA%20COEXTRUSORA%20VAREX%205%20CAMADA%20WINDMOLLER</v>
      </c>
      <c r="I46" t="e">
        <f t="shared" ca="1" si="0"/>
        <v>#NAME?</v>
      </c>
    </row>
    <row r="47" spans="1:9" x14ac:dyDescent="0.25">
      <c r="A47" s="2" t="s">
        <v>79</v>
      </c>
      <c r="B47" s="2" t="s">
        <v>21</v>
      </c>
      <c r="C47" s="3">
        <v>44183</v>
      </c>
      <c r="D47" t="s">
        <v>83</v>
      </c>
      <c r="E47" s="2" t="s">
        <v>81</v>
      </c>
      <c r="F47" s="2" t="s">
        <v>12</v>
      </c>
      <c r="G47" t="s">
        <v>16</v>
      </c>
      <c r="H47" t="str">
        <f t="shared" si="1"/>
        <v>https://videplast.com.br/consulta-imobilizado?id=20000591&amp;nome=ESTRUTURA%20DA%20COEXTRUSORA%20VAREX%205%20CAMADA%20WINDMOLLER</v>
      </c>
      <c r="I47" t="e">
        <f t="shared" ca="1" si="0"/>
        <v>#NAME?</v>
      </c>
    </row>
    <row r="48" spans="1:9" x14ac:dyDescent="0.25">
      <c r="A48" s="2" t="s">
        <v>79</v>
      </c>
      <c r="B48" s="2" t="s">
        <v>29</v>
      </c>
      <c r="C48" s="3">
        <v>44183</v>
      </c>
      <c r="D48" t="s">
        <v>84</v>
      </c>
      <c r="E48" s="2" t="s">
        <v>81</v>
      </c>
      <c r="F48" s="2" t="s">
        <v>12</v>
      </c>
      <c r="G48" t="s">
        <v>16</v>
      </c>
      <c r="H48" t="str">
        <f t="shared" si="1"/>
        <v>https://videplast.com.br/consulta-imobilizado?id=20000591&amp;nome=FRETES%20COEXTRUSORA%205%20CAMADAS%20WINDMOLLER%20VAREX</v>
      </c>
      <c r="I48" t="e">
        <f t="shared" ca="1" si="0"/>
        <v>#NAME?</v>
      </c>
    </row>
    <row r="49" spans="1:9" x14ac:dyDescent="0.25">
      <c r="A49" s="2" t="s">
        <v>79</v>
      </c>
      <c r="B49" s="2" t="s">
        <v>31</v>
      </c>
      <c r="C49" s="3">
        <v>44183</v>
      </c>
      <c r="D49" t="s">
        <v>85</v>
      </c>
      <c r="E49" s="2" t="s">
        <v>81</v>
      </c>
      <c r="F49" s="2" t="s">
        <v>12</v>
      </c>
      <c r="G49" t="s">
        <v>16</v>
      </c>
      <c r="H49" t="str">
        <f t="shared" si="1"/>
        <v>https://videplast.com.br/consulta-imobilizado?id=20000591&amp;nome=MATERIAS%20E%20SERVIÇOS%20REF%20MONTAGEM%20EXTRUSORA%20VAREX</v>
      </c>
      <c r="I49" t="e">
        <f t="shared" ca="1" si="0"/>
        <v>#NAME?</v>
      </c>
    </row>
    <row r="50" spans="1:9" x14ac:dyDescent="0.25">
      <c r="A50" s="2" t="s">
        <v>79</v>
      </c>
      <c r="B50" s="2" t="s">
        <v>33</v>
      </c>
      <c r="C50" s="3">
        <v>45049</v>
      </c>
      <c r="D50" t="s">
        <v>86</v>
      </c>
      <c r="E50" s="2" t="s">
        <v>12</v>
      </c>
      <c r="F50" s="2" t="s">
        <v>12</v>
      </c>
      <c r="G50" t="s">
        <v>16</v>
      </c>
      <c r="H50" t="str">
        <f t="shared" si="1"/>
        <v>https://videplast.com.br/consulta-imobilizado?id=20000591&amp;nome=EIXO%20EXPANSIVO%20DE%206%20POLEGADAS%20VAREX%20NEUENHAUSER</v>
      </c>
      <c r="I50" t="e">
        <f t="shared" ca="1" si="0"/>
        <v>#NAME?</v>
      </c>
    </row>
    <row r="51" spans="1:9" x14ac:dyDescent="0.25">
      <c r="A51" s="2" t="s">
        <v>79</v>
      </c>
      <c r="B51" s="2" t="s">
        <v>35</v>
      </c>
      <c r="C51" s="3">
        <v>45049</v>
      </c>
      <c r="D51" t="s">
        <v>86</v>
      </c>
      <c r="E51" s="2" t="s">
        <v>12</v>
      </c>
      <c r="F51" s="2" t="s">
        <v>12</v>
      </c>
      <c r="G51" t="s">
        <v>16</v>
      </c>
      <c r="H51" t="str">
        <f t="shared" si="1"/>
        <v>https://videplast.com.br/consulta-imobilizado?id=20000591&amp;nome=EIXO%20EXPANSIVO%20DE%206%20POLEGADAS%20VAREX%20NEUENHAUSER</v>
      </c>
      <c r="I51" t="e">
        <f t="shared" ca="1" si="0"/>
        <v>#NAME?</v>
      </c>
    </row>
    <row r="52" spans="1:9" x14ac:dyDescent="0.25">
      <c r="A52" s="2" t="s">
        <v>87</v>
      </c>
      <c r="B52" s="2" t="s">
        <v>10</v>
      </c>
      <c r="C52" s="3">
        <v>40050</v>
      </c>
      <c r="D52" t="s">
        <v>88</v>
      </c>
      <c r="E52" s="2" t="s">
        <v>12</v>
      </c>
      <c r="F52" s="2" t="s">
        <v>12</v>
      </c>
      <c r="G52" t="s">
        <v>16</v>
      </c>
      <c r="H52" t="str">
        <f t="shared" si="1"/>
        <v>https://videplast.com.br/consulta-imobilizado?id=21000296&amp;nome=INVERSOR%20DE%20FREQUENCIA%20WEG%20CFW%2009%20105A%20380/480V</v>
      </c>
      <c r="I52" t="e">
        <f t="shared" ca="1" si="0"/>
        <v>#NAME?</v>
      </c>
    </row>
    <row r="53" spans="1:9" x14ac:dyDescent="0.25">
      <c r="A53" s="2" t="s">
        <v>89</v>
      </c>
      <c r="B53" s="2" t="s">
        <v>10</v>
      </c>
      <c r="C53" s="3">
        <v>40543</v>
      </c>
      <c r="D53" t="s">
        <v>90</v>
      </c>
      <c r="E53" s="2" t="s">
        <v>12</v>
      </c>
      <c r="F53" s="2" t="s">
        <v>12</v>
      </c>
      <c r="G53" t="s">
        <v>16</v>
      </c>
      <c r="H53" t="str">
        <f t="shared" si="1"/>
        <v>https://videplast.com.br/consulta-imobilizado?id=21000297&amp;nome=RECUPERADORES%20DE%20REFILE%20P/ACOPLAR%20NAS%20EXTRUSORAS</v>
      </c>
      <c r="I53" t="e">
        <f t="shared" ca="1" si="0"/>
        <v>#NAME?</v>
      </c>
    </row>
    <row r="54" spans="1:9" x14ac:dyDescent="0.25">
      <c r="A54" s="2" t="s">
        <v>89</v>
      </c>
      <c r="B54" s="2" t="s">
        <v>26</v>
      </c>
      <c r="C54" s="3">
        <v>40179</v>
      </c>
      <c r="D54" t="s">
        <v>91</v>
      </c>
      <c r="E54" s="2" t="s">
        <v>12</v>
      </c>
      <c r="F54" s="2" t="s">
        <v>12</v>
      </c>
      <c r="G54" t="s">
        <v>16</v>
      </c>
      <c r="H54" t="str">
        <f t="shared" si="1"/>
        <v>https://videplast.com.br/consulta-imobilizado?id=21000297&amp;nome=GASTOS%20P/CONSTRUCAO%20DE%201%20RECUPERADORES%20DE%20REFILE</v>
      </c>
      <c r="I54" t="e">
        <f t="shared" ca="1" si="0"/>
        <v>#NAME?</v>
      </c>
    </row>
    <row r="55" spans="1:9" x14ac:dyDescent="0.25">
      <c r="A55" s="2" t="s">
        <v>89</v>
      </c>
      <c r="B55" s="2" t="s">
        <v>21</v>
      </c>
      <c r="C55" s="3">
        <v>40179</v>
      </c>
      <c r="D55" t="s">
        <v>91</v>
      </c>
      <c r="E55" s="2" t="s">
        <v>12</v>
      </c>
      <c r="F55" s="2" t="s">
        <v>12</v>
      </c>
      <c r="G55" t="s">
        <v>16</v>
      </c>
      <c r="H55" t="str">
        <f t="shared" si="1"/>
        <v>https://videplast.com.br/consulta-imobilizado?id=21000297&amp;nome=GASTOS%20P/CONSTRUCAO%20DE%201%20RECUPERADORES%20DE%20REFILE</v>
      </c>
      <c r="I55" t="e">
        <f t="shared" ca="1" si="0"/>
        <v>#NAME?</v>
      </c>
    </row>
    <row r="56" spans="1:9" x14ac:dyDescent="0.25">
      <c r="A56" s="2" t="s">
        <v>92</v>
      </c>
      <c r="B56" s="2" t="s">
        <v>10</v>
      </c>
      <c r="C56" s="3">
        <v>40543</v>
      </c>
      <c r="D56" t="s">
        <v>90</v>
      </c>
      <c r="E56" s="2" t="s">
        <v>12</v>
      </c>
      <c r="F56" s="2" t="s">
        <v>12</v>
      </c>
      <c r="G56" t="s">
        <v>16</v>
      </c>
      <c r="H56" t="str">
        <f t="shared" si="1"/>
        <v>https://videplast.com.br/consulta-imobilizado?id=21000298&amp;nome=RECUPERADORES%20DE%20REFILE%20P/ACOPLAR%20NAS%20EXTRUSORAS</v>
      </c>
      <c r="I56" t="e">
        <f t="shared" ca="1" si="0"/>
        <v>#NAME?</v>
      </c>
    </row>
    <row r="57" spans="1:9" x14ac:dyDescent="0.25">
      <c r="A57" s="2" t="s">
        <v>92</v>
      </c>
      <c r="B57" s="2" t="s">
        <v>26</v>
      </c>
      <c r="C57" s="3">
        <v>40179</v>
      </c>
      <c r="D57" t="s">
        <v>91</v>
      </c>
      <c r="E57" s="2" t="s">
        <v>12</v>
      </c>
      <c r="F57" s="2" t="s">
        <v>12</v>
      </c>
      <c r="G57" t="s">
        <v>16</v>
      </c>
      <c r="H57" t="str">
        <f t="shared" si="1"/>
        <v>https://videplast.com.br/consulta-imobilizado?id=21000298&amp;nome=GASTOS%20P/CONSTRUCAO%20DE%201%20RECUPERADORES%20DE%20REFILE</v>
      </c>
      <c r="I57" t="e">
        <f t="shared" ca="1" si="0"/>
        <v>#NAME?</v>
      </c>
    </row>
    <row r="58" spans="1:9" x14ac:dyDescent="0.25">
      <c r="A58" s="2" t="s">
        <v>92</v>
      </c>
      <c r="B58" s="2" t="s">
        <v>21</v>
      </c>
      <c r="C58" s="3">
        <v>40179</v>
      </c>
      <c r="D58" t="s">
        <v>91</v>
      </c>
      <c r="E58" s="2" t="s">
        <v>12</v>
      </c>
      <c r="F58" s="2" t="s">
        <v>12</v>
      </c>
      <c r="G58" t="s">
        <v>16</v>
      </c>
      <c r="H58" t="str">
        <f t="shared" si="1"/>
        <v>https://videplast.com.br/consulta-imobilizado?id=21000298&amp;nome=GASTOS%20P/CONSTRUCAO%20DE%201%20RECUPERADORES%20DE%20REFILE</v>
      </c>
      <c r="I58" t="e">
        <f t="shared" ca="1" si="0"/>
        <v>#NAME?</v>
      </c>
    </row>
    <row r="59" spans="1:9" x14ac:dyDescent="0.25">
      <c r="A59" s="2" t="s">
        <v>93</v>
      </c>
      <c r="B59" s="2" t="s">
        <v>10</v>
      </c>
      <c r="C59" s="3">
        <v>40543</v>
      </c>
      <c r="D59" t="s">
        <v>90</v>
      </c>
      <c r="E59" s="2" t="s">
        <v>12</v>
      </c>
      <c r="F59" s="2" t="s">
        <v>12</v>
      </c>
      <c r="G59" t="s">
        <v>16</v>
      </c>
      <c r="H59" t="str">
        <f t="shared" si="1"/>
        <v>https://videplast.com.br/consulta-imobilizado?id=21000299&amp;nome=RECUPERADORES%20DE%20REFILE%20P/ACOPLAR%20NAS%20EXTRUSORAS</v>
      </c>
      <c r="I59" t="e">
        <f t="shared" ca="1" si="0"/>
        <v>#NAME?</v>
      </c>
    </row>
    <row r="60" spans="1:9" x14ac:dyDescent="0.25">
      <c r="A60" s="2" t="s">
        <v>93</v>
      </c>
      <c r="B60" s="2" t="s">
        <v>26</v>
      </c>
      <c r="C60" s="3">
        <v>40179</v>
      </c>
      <c r="D60" t="s">
        <v>91</v>
      </c>
      <c r="E60" s="2" t="s">
        <v>12</v>
      </c>
      <c r="F60" s="2" t="s">
        <v>12</v>
      </c>
      <c r="G60" t="s">
        <v>16</v>
      </c>
      <c r="H60" t="str">
        <f t="shared" si="1"/>
        <v>https://videplast.com.br/consulta-imobilizado?id=21000299&amp;nome=GASTOS%20P/CONSTRUCAO%20DE%201%20RECUPERADORES%20DE%20REFILE</v>
      </c>
      <c r="I60" t="e">
        <f t="shared" ca="1" si="0"/>
        <v>#NAME?</v>
      </c>
    </row>
    <row r="61" spans="1:9" x14ac:dyDescent="0.25">
      <c r="A61" s="2" t="s">
        <v>93</v>
      </c>
      <c r="B61" s="2" t="s">
        <v>21</v>
      </c>
      <c r="C61" s="3">
        <v>40179</v>
      </c>
      <c r="D61" t="s">
        <v>91</v>
      </c>
      <c r="E61" s="2" t="s">
        <v>12</v>
      </c>
      <c r="F61" s="2" t="s">
        <v>12</v>
      </c>
      <c r="G61" t="s">
        <v>16</v>
      </c>
      <c r="H61" t="str">
        <f t="shared" si="1"/>
        <v>https://videplast.com.br/consulta-imobilizado?id=21000299&amp;nome=GASTOS%20P/CONSTRUCAO%20DE%201%20RECUPERADORES%20DE%20REFILE</v>
      </c>
      <c r="I61" t="e">
        <f t="shared" ca="1" si="0"/>
        <v>#NAME?</v>
      </c>
    </row>
    <row r="62" spans="1:9" x14ac:dyDescent="0.25">
      <c r="A62" s="2" t="s">
        <v>94</v>
      </c>
      <c r="B62" s="2" t="s">
        <v>10</v>
      </c>
      <c r="C62" s="3">
        <v>40663</v>
      </c>
      <c r="D62" t="s">
        <v>95</v>
      </c>
      <c r="E62" s="2" t="s">
        <v>12</v>
      </c>
      <c r="F62" s="2" t="s">
        <v>12</v>
      </c>
      <c r="G62" t="s">
        <v>16</v>
      </c>
      <c r="H62" t="str">
        <f t="shared" si="1"/>
        <v>https://videplast.com.br/consulta-imobilizado?id=21000302&amp;nome=CONJUNTO%20DE%20ANEL%20DE%20AR%20EXTRUSORA%20350MM</v>
      </c>
      <c r="I62" t="e">
        <f t="shared" ca="1" si="0"/>
        <v>#NAME?</v>
      </c>
    </row>
    <row r="63" spans="1:9" x14ac:dyDescent="0.25">
      <c r="A63" s="2" t="s">
        <v>96</v>
      </c>
      <c r="B63" s="2" t="s">
        <v>10</v>
      </c>
      <c r="C63" s="3">
        <v>40724</v>
      </c>
      <c r="D63" t="s">
        <v>97</v>
      </c>
      <c r="E63" s="2" t="s">
        <v>12</v>
      </c>
      <c r="F63" s="2" t="s">
        <v>12</v>
      </c>
      <c r="G63" t="s">
        <v>16</v>
      </c>
      <c r="H63" t="str">
        <f t="shared" si="1"/>
        <v>https://videplast.com.br/consulta-imobilizado?id=21000303&amp;nome=LONGARINA%20P/CONSTRUCAO%20DE%20PRATELEIRAS</v>
      </c>
      <c r="I63" t="e">
        <f t="shared" ca="1" si="0"/>
        <v>#NAME?</v>
      </c>
    </row>
    <row r="64" spans="1:9" x14ac:dyDescent="0.25">
      <c r="A64" s="2" t="s">
        <v>96</v>
      </c>
      <c r="B64" s="2" t="s">
        <v>26</v>
      </c>
      <c r="C64" s="3">
        <v>40724</v>
      </c>
      <c r="D64" t="s">
        <v>97</v>
      </c>
      <c r="E64" s="2" t="s">
        <v>12</v>
      </c>
      <c r="F64" s="2" t="s">
        <v>12</v>
      </c>
      <c r="G64" t="s">
        <v>16</v>
      </c>
      <c r="H64" t="str">
        <f t="shared" si="1"/>
        <v>https://videplast.com.br/consulta-imobilizado?id=21000303&amp;nome=LONGARINA%20P/CONSTRUCAO%20DE%20PRATELEIRAS</v>
      </c>
      <c r="I64" t="e">
        <f t="shared" ca="1" si="0"/>
        <v>#NAME?</v>
      </c>
    </row>
    <row r="65" spans="1:9" x14ac:dyDescent="0.25">
      <c r="A65" s="2" t="s">
        <v>96</v>
      </c>
      <c r="B65" s="2" t="s">
        <v>21</v>
      </c>
      <c r="C65" s="3">
        <v>40877</v>
      </c>
      <c r="D65" t="s">
        <v>98</v>
      </c>
      <c r="E65" s="2" t="s">
        <v>12</v>
      </c>
      <c r="F65" s="2" t="s">
        <v>12</v>
      </c>
      <c r="G65" t="s">
        <v>16</v>
      </c>
      <c r="H65" t="str">
        <f t="shared" si="1"/>
        <v>https://videplast.com.br/consulta-imobilizado?id=21000303&amp;nome=CANTONEIRA%203/16X2A-36%206MT,136,%2083M%20FERRO</v>
      </c>
      <c r="I65" t="e">
        <f t="shared" ca="1" si="0"/>
        <v>#NAME?</v>
      </c>
    </row>
    <row r="66" spans="1:9" x14ac:dyDescent="0.25">
      <c r="A66" s="2" t="s">
        <v>99</v>
      </c>
      <c r="B66" s="2" t="s">
        <v>10</v>
      </c>
      <c r="C66" s="3">
        <v>40786</v>
      </c>
      <c r="D66" t="s">
        <v>100</v>
      </c>
      <c r="E66" s="2" t="s">
        <v>12</v>
      </c>
      <c r="F66" s="2" t="s">
        <v>12</v>
      </c>
      <c r="G66" t="s">
        <v>16</v>
      </c>
      <c r="H66" t="str">
        <f t="shared" ref="H66:H129" si="2" xml:space="preserve"> "https://videplast.com.br/consulta-imobilizado?id=" &amp; A66 &amp; "&amp;nome=" &amp; SUBSTITUTE(D66, " ", "%20")</f>
        <v>https://videplast.com.br/consulta-imobilizado?id=21000307&amp;nome=170%20KG%20DE%20CANTONEIRA1/4X1/2%20A36%20P/REFORCO%20DE</v>
      </c>
      <c r="I66" t="e">
        <f t="shared" ref="I66:I129" ca="1" si="3">_xlfn.IMAGE("https://chart.googleapis.com/chart?chs=150x150&amp;cht=qr&amp;chl=" &amp; H66)</f>
        <v>#NAME?</v>
      </c>
    </row>
    <row r="67" spans="1:9" x14ac:dyDescent="0.25">
      <c r="A67" s="2" t="s">
        <v>99</v>
      </c>
      <c r="B67" s="2" t="s">
        <v>26</v>
      </c>
      <c r="C67" s="3">
        <v>40786</v>
      </c>
      <c r="D67" t="s">
        <v>101</v>
      </c>
      <c r="E67" s="2" t="s">
        <v>12</v>
      </c>
      <c r="F67" s="2" t="s">
        <v>12</v>
      </c>
      <c r="G67" t="s">
        <v>16</v>
      </c>
      <c r="H67" t="str">
        <f t="shared" si="2"/>
        <v>https://videplast.com.br/consulta-imobilizado?id=21000307&amp;nome=13%20KG%20DE%20PERFIL%20ENRIJ%20100X50X15%20P/REFORCO%20DE</v>
      </c>
      <c r="I67" t="e">
        <f t="shared" ca="1" si="3"/>
        <v>#NAME?</v>
      </c>
    </row>
    <row r="68" spans="1:9" x14ac:dyDescent="0.25">
      <c r="A68" s="2" t="s">
        <v>99</v>
      </c>
      <c r="B68" s="2" t="s">
        <v>21</v>
      </c>
      <c r="C68" s="3">
        <v>40786</v>
      </c>
      <c r="D68" t="s">
        <v>102</v>
      </c>
      <c r="E68" s="2" t="s">
        <v>12</v>
      </c>
      <c r="F68" s="2" t="s">
        <v>12</v>
      </c>
      <c r="G68" t="s">
        <v>16</v>
      </c>
      <c r="H68" t="str">
        <f t="shared" si="2"/>
        <v>https://videplast.com.br/consulta-imobilizado?id=21000307&amp;nome=22,33%20KG%20DE%20FERRO%20CHATO%201/AX1.1/2%20A36%20P/REFORCO</v>
      </c>
      <c r="I68" t="e">
        <f t="shared" ca="1" si="3"/>
        <v>#NAME?</v>
      </c>
    </row>
    <row r="69" spans="1:9" x14ac:dyDescent="0.25">
      <c r="A69" s="2" t="s">
        <v>103</v>
      </c>
      <c r="B69" s="2" t="s">
        <v>10</v>
      </c>
      <c r="C69" s="3">
        <v>40847</v>
      </c>
      <c r="D69" t="s">
        <v>104</v>
      </c>
      <c r="E69" s="2" t="s">
        <v>12</v>
      </c>
      <c r="F69" s="2" t="s">
        <v>12</v>
      </c>
      <c r="G69" t="s">
        <v>16</v>
      </c>
      <c r="H69" t="str">
        <f t="shared" si="2"/>
        <v>https://videplast.com.br/consulta-imobilizado?id=21000311&amp;nome=N1200%20C/%20RS485+3%20RELE,%2002%20AIRGATE-MODBUS</v>
      </c>
      <c r="I69" t="e">
        <f t="shared" ca="1" si="3"/>
        <v>#NAME?</v>
      </c>
    </row>
    <row r="70" spans="1:9" x14ac:dyDescent="0.25">
      <c r="A70" s="2" t="s">
        <v>105</v>
      </c>
      <c r="B70" s="2" t="s">
        <v>10</v>
      </c>
      <c r="C70" s="3">
        <v>40847</v>
      </c>
      <c r="D70" t="s">
        <v>106</v>
      </c>
      <c r="E70" s="2" t="s">
        <v>12</v>
      </c>
      <c r="F70" s="2" t="s">
        <v>12</v>
      </c>
      <c r="G70" t="s">
        <v>16</v>
      </c>
      <c r="H70" t="str">
        <f t="shared" si="2"/>
        <v>https://videplast.com.br/consulta-imobilizado?id=21000312&amp;nome=CHICOTE%202M%20X%201/2%20TRIFASICO%20ME1.5%20C-B</v>
      </c>
      <c r="I70" t="e">
        <f t="shared" ca="1" si="3"/>
        <v>#NAME?</v>
      </c>
    </row>
    <row r="71" spans="1:9" x14ac:dyDescent="0.25">
      <c r="A71" s="2" t="s">
        <v>107</v>
      </c>
      <c r="B71" s="2" t="s">
        <v>10</v>
      </c>
      <c r="C71" s="3">
        <v>40968</v>
      </c>
      <c r="D71" t="s">
        <v>108</v>
      </c>
      <c r="E71" s="2" t="s">
        <v>12</v>
      </c>
      <c r="F71" s="2" t="s">
        <v>12</v>
      </c>
      <c r="G71" t="s">
        <v>16</v>
      </c>
      <c r="H71" t="str">
        <f t="shared" si="2"/>
        <v>https://videplast.com.br/consulta-imobilizado?id=21000314&amp;nome=DUROMETRO%20P/%20BORRACHA%20SHORE%20-%20A/1%20RESOLUCAO</v>
      </c>
      <c r="I71" t="e">
        <f t="shared" ca="1" si="3"/>
        <v>#NAME?</v>
      </c>
    </row>
    <row r="72" spans="1:9" x14ac:dyDescent="0.25">
      <c r="A72" s="2" t="s">
        <v>109</v>
      </c>
      <c r="B72" s="2" t="s">
        <v>10</v>
      </c>
      <c r="C72" s="3">
        <v>40968</v>
      </c>
      <c r="D72" t="s">
        <v>110</v>
      </c>
      <c r="E72" s="2" t="s">
        <v>12</v>
      </c>
      <c r="F72" s="2" t="s">
        <v>12</v>
      </c>
      <c r="G72" t="s">
        <v>16</v>
      </c>
      <c r="H72" t="str">
        <f t="shared" si="2"/>
        <v>https://videplast.com.br/consulta-imobilizado?id=21000315&amp;nome=APLICADOR%20PARA%20FITA%20GOMADA%20THR%202010</v>
      </c>
      <c r="I72" t="e">
        <f t="shared" ca="1" si="3"/>
        <v>#NAME?</v>
      </c>
    </row>
    <row r="73" spans="1:9" x14ac:dyDescent="0.25">
      <c r="A73" s="2" t="s">
        <v>111</v>
      </c>
      <c r="B73" s="2" t="s">
        <v>10</v>
      </c>
      <c r="C73" s="3">
        <v>40999</v>
      </c>
      <c r="D73" t="s">
        <v>112</v>
      </c>
      <c r="E73" s="2" t="s">
        <v>12</v>
      </c>
      <c r="F73" s="2" t="s">
        <v>12</v>
      </c>
      <c r="G73" t="s">
        <v>16</v>
      </c>
      <c r="H73" t="str">
        <f t="shared" si="2"/>
        <v>https://videplast.com.br/consulta-imobilizado?id=21000320&amp;nome=36%20MT%20DE%20TUBO%20GALV%20A%20FOGO%202,%2030%20MT%20DE%20TUBO%20GALV%20A</v>
      </c>
      <c r="I73" t="e">
        <f t="shared" ca="1" si="3"/>
        <v>#NAME?</v>
      </c>
    </row>
    <row r="74" spans="1:9" x14ac:dyDescent="0.25">
      <c r="A74" s="2" t="s">
        <v>113</v>
      </c>
      <c r="B74" s="2" t="s">
        <v>10</v>
      </c>
      <c r="C74" s="3">
        <v>41060</v>
      </c>
      <c r="D74" t="s">
        <v>114</v>
      </c>
      <c r="E74" s="2" t="s">
        <v>12</v>
      </c>
      <c r="F74" s="2" t="s">
        <v>12</v>
      </c>
      <c r="G74" t="s">
        <v>16</v>
      </c>
      <c r="H74" t="str">
        <f t="shared" si="2"/>
        <v>https://videplast.com.br/consulta-imobilizado?id=21000324&amp;nome=ROSCA%20POLARIS%2075%20BIMETALICA</v>
      </c>
      <c r="I74" t="e">
        <f t="shared" ca="1" si="3"/>
        <v>#NAME?</v>
      </c>
    </row>
    <row r="75" spans="1:9" x14ac:dyDescent="0.25">
      <c r="A75" s="2" t="s">
        <v>115</v>
      </c>
      <c r="B75" s="2" t="s">
        <v>10</v>
      </c>
      <c r="C75" s="3">
        <v>41152</v>
      </c>
      <c r="D75" t="s">
        <v>116</v>
      </c>
      <c r="E75" s="2" t="s">
        <v>12</v>
      </c>
      <c r="F75" s="2" t="s">
        <v>12</v>
      </c>
      <c r="G75" t="s">
        <v>16</v>
      </c>
      <c r="H75" t="str">
        <f t="shared" si="2"/>
        <v>https://videplast.com.br/consulta-imobilizado?id=21000332&amp;nome=MOTOR%20SIEMENS%20TRIF%2075CV%204P%204T%20A%20REND%20CAR%20225M</v>
      </c>
      <c r="I75" t="e">
        <f t="shared" ca="1" si="3"/>
        <v>#NAME?</v>
      </c>
    </row>
    <row r="76" spans="1:9" x14ac:dyDescent="0.25">
      <c r="A76" s="2" t="s">
        <v>117</v>
      </c>
      <c r="B76" s="2" t="s">
        <v>10</v>
      </c>
      <c r="C76" s="3">
        <v>41152</v>
      </c>
      <c r="D76" t="s">
        <v>118</v>
      </c>
      <c r="E76" s="2" t="s">
        <v>12</v>
      </c>
      <c r="F76" s="2" t="s">
        <v>12</v>
      </c>
      <c r="G76" t="s">
        <v>16</v>
      </c>
      <c r="H76" t="str">
        <f t="shared" si="2"/>
        <v>https://videplast.com.br/consulta-imobilizado?id=21000333&amp;nome=INVERSOR%20CFW-09%20105A%203AC%20380V</v>
      </c>
      <c r="I76" t="e">
        <f t="shared" ca="1" si="3"/>
        <v>#NAME?</v>
      </c>
    </row>
    <row r="77" spans="1:9" x14ac:dyDescent="0.25">
      <c r="A77" s="2" t="s">
        <v>119</v>
      </c>
      <c r="B77" s="2" t="s">
        <v>10</v>
      </c>
      <c r="C77" s="3">
        <v>41152</v>
      </c>
      <c r="D77" t="s">
        <v>120</v>
      </c>
      <c r="E77" s="2" t="s">
        <v>12</v>
      </c>
      <c r="F77" s="2" t="s">
        <v>12</v>
      </c>
      <c r="G77" t="s">
        <v>16</v>
      </c>
      <c r="H77" t="str">
        <f t="shared" si="2"/>
        <v>https://videplast.com.br/consulta-imobilizado?id=21000334&amp;nome=ROSCA%20BIMETALICA%20063,5X2039%20LD</v>
      </c>
      <c r="I77" t="e">
        <f t="shared" ca="1" si="3"/>
        <v>#NAME?</v>
      </c>
    </row>
    <row r="78" spans="1:9" x14ac:dyDescent="0.25">
      <c r="A78" s="2" t="s">
        <v>121</v>
      </c>
      <c r="B78" s="2" t="s">
        <v>10</v>
      </c>
      <c r="C78" s="3">
        <v>41182</v>
      </c>
      <c r="D78" t="s">
        <v>122</v>
      </c>
      <c r="E78" s="2" t="s">
        <v>12</v>
      </c>
      <c r="F78" s="2" t="s">
        <v>12</v>
      </c>
      <c r="G78" t="s">
        <v>16</v>
      </c>
      <c r="H78" t="str">
        <f t="shared" si="2"/>
        <v>https://videplast.com.br/consulta-imobilizado?id=21000337&amp;nome=EMPILHADEIRA%20MANUAL%20LM%20510N</v>
      </c>
      <c r="I78" t="e">
        <f t="shared" ca="1" si="3"/>
        <v>#NAME?</v>
      </c>
    </row>
    <row r="79" spans="1:9" x14ac:dyDescent="0.25">
      <c r="A79" s="2" t="s">
        <v>121</v>
      </c>
      <c r="B79" s="2" t="s">
        <v>26</v>
      </c>
      <c r="C79" s="3">
        <v>41182</v>
      </c>
      <c r="D79" t="s">
        <v>123</v>
      </c>
      <c r="E79" s="2" t="s">
        <v>12</v>
      </c>
      <c r="F79" s="2" t="s">
        <v>12</v>
      </c>
      <c r="G79" t="s">
        <v>16</v>
      </c>
      <c r="H79" t="str">
        <f t="shared" si="2"/>
        <v>https://videplast.com.br/consulta-imobilizado?id=21000337&amp;nome=3%20TRANSPALETE%20MANUAL%20680X1150%20TM%203020,%20P/O%20SETOR</v>
      </c>
      <c r="I79" t="e">
        <f t="shared" ca="1" si="3"/>
        <v>#NAME?</v>
      </c>
    </row>
    <row r="80" spans="1:9" x14ac:dyDescent="0.25">
      <c r="A80" s="2" t="s">
        <v>124</v>
      </c>
      <c r="B80" s="2" t="s">
        <v>10</v>
      </c>
      <c r="C80" s="3">
        <v>41394</v>
      </c>
      <c r="D80" t="s">
        <v>125</v>
      </c>
      <c r="E80" s="2" t="s">
        <v>12</v>
      </c>
      <c r="F80" s="2" t="s">
        <v>12</v>
      </c>
      <c r="G80" t="s">
        <v>16</v>
      </c>
      <c r="H80" t="str">
        <f t="shared" si="2"/>
        <v>https://videplast.com.br/consulta-imobilizado?id=21000353&amp;nome=INVERSOR%20CFW-11%207A/3AC%20380V</v>
      </c>
      <c r="I80" t="e">
        <f t="shared" ca="1" si="3"/>
        <v>#NAME?</v>
      </c>
    </row>
    <row r="81" spans="1:9" x14ac:dyDescent="0.25">
      <c r="A81" s="2" t="s">
        <v>124</v>
      </c>
      <c r="B81" s="2" t="s">
        <v>26</v>
      </c>
      <c r="C81" s="3">
        <v>41394</v>
      </c>
      <c r="D81" t="s">
        <v>125</v>
      </c>
      <c r="E81" s="2" t="s">
        <v>12</v>
      </c>
      <c r="F81" s="2" t="s">
        <v>12</v>
      </c>
      <c r="G81" t="s">
        <v>16</v>
      </c>
      <c r="H81" t="str">
        <f t="shared" si="2"/>
        <v>https://videplast.com.br/consulta-imobilizado?id=21000353&amp;nome=INVERSOR%20CFW-11%207A/3AC%20380V</v>
      </c>
      <c r="I81" t="e">
        <f t="shared" ca="1" si="3"/>
        <v>#NAME?</v>
      </c>
    </row>
    <row r="82" spans="1:9" x14ac:dyDescent="0.25">
      <c r="A82" s="2" t="s">
        <v>124</v>
      </c>
      <c r="B82" s="2" t="s">
        <v>21</v>
      </c>
      <c r="C82" s="3">
        <v>41394</v>
      </c>
      <c r="D82" t="s">
        <v>125</v>
      </c>
      <c r="E82" s="2" t="s">
        <v>12</v>
      </c>
      <c r="F82" s="2" t="s">
        <v>12</v>
      </c>
      <c r="G82" t="s">
        <v>16</v>
      </c>
      <c r="H82" t="str">
        <f t="shared" si="2"/>
        <v>https://videplast.com.br/consulta-imobilizado?id=21000353&amp;nome=INVERSOR%20CFW-11%207A/3AC%20380V</v>
      </c>
      <c r="I82" t="e">
        <f t="shared" ca="1" si="3"/>
        <v>#NAME?</v>
      </c>
    </row>
    <row r="83" spans="1:9" x14ac:dyDescent="0.25">
      <c r="A83" s="2" t="s">
        <v>124</v>
      </c>
      <c r="B83" s="2" t="s">
        <v>29</v>
      </c>
      <c r="C83" s="3">
        <v>41394</v>
      </c>
      <c r="D83" t="s">
        <v>125</v>
      </c>
      <c r="E83" s="2" t="s">
        <v>12</v>
      </c>
      <c r="F83" s="2" t="s">
        <v>12</v>
      </c>
      <c r="G83" t="s">
        <v>16</v>
      </c>
      <c r="H83" t="str">
        <f t="shared" si="2"/>
        <v>https://videplast.com.br/consulta-imobilizado?id=21000353&amp;nome=INVERSOR%20CFW-11%207A/3AC%20380V</v>
      </c>
      <c r="I83" t="e">
        <f t="shared" ca="1" si="3"/>
        <v>#NAME?</v>
      </c>
    </row>
    <row r="84" spans="1:9" x14ac:dyDescent="0.25">
      <c r="A84" s="2" t="s">
        <v>124</v>
      </c>
      <c r="B84" s="2" t="s">
        <v>31</v>
      </c>
      <c r="C84" s="3">
        <v>41394</v>
      </c>
      <c r="D84" t="s">
        <v>125</v>
      </c>
      <c r="E84" s="2" t="s">
        <v>12</v>
      </c>
      <c r="F84" s="2" t="s">
        <v>12</v>
      </c>
      <c r="G84" t="s">
        <v>16</v>
      </c>
      <c r="H84" t="str">
        <f t="shared" si="2"/>
        <v>https://videplast.com.br/consulta-imobilizado?id=21000353&amp;nome=INVERSOR%20CFW-11%207A/3AC%20380V</v>
      </c>
      <c r="I84" t="e">
        <f t="shared" ca="1" si="3"/>
        <v>#NAME?</v>
      </c>
    </row>
    <row r="85" spans="1:9" x14ac:dyDescent="0.25">
      <c r="A85" s="2" t="s">
        <v>124</v>
      </c>
      <c r="B85" s="2" t="s">
        <v>33</v>
      </c>
      <c r="C85" s="3">
        <v>41394</v>
      </c>
      <c r="D85" t="s">
        <v>125</v>
      </c>
      <c r="E85" s="2" t="s">
        <v>12</v>
      </c>
      <c r="F85" s="2" t="s">
        <v>12</v>
      </c>
      <c r="G85" t="s">
        <v>16</v>
      </c>
      <c r="H85" t="str">
        <f t="shared" si="2"/>
        <v>https://videplast.com.br/consulta-imobilizado?id=21000353&amp;nome=INVERSOR%20CFW-11%207A/3AC%20380V</v>
      </c>
      <c r="I85" t="e">
        <f t="shared" ca="1" si="3"/>
        <v>#NAME?</v>
      </c>
    </row>
    <row r="86" spans="1:9" x14ac:dyDescent="0.25">
      <c r="A86" s="2" t="s">
        <v>124</v>
      </c>
      <c r="B86" s="2" t="s">
        <v>35</v>
      </c>
      <c r="C86" s="3">
        <v>41394</v>
      </c>
      <c r="D86" t="s">
        <v>125</v>
      </c>
      <c r="E86" s="2" t="s">
        <v>12</v>
      </c>
      <c r="F86" s="2" t="s">
        <v>12</v>
      </c>
      <c r="G86" t="s">
        <v>16</v>
      </c>
      <c r="H86" t="str">
        <f t="shared" si="2"/>
        <v>https://videplast.com.br/consulta-imobilizado?id=21000353&amp;nome=INVERSOR%20CFW-11%207A/3AC%20380V</v>
      </c>
      <c r="I86" t="e">
        <f t="shared" ca="1" si="3"/>
        <v>#NAME?</v>
      </c>
    </row>
    <row r="87" spans="1:9" x14ac:dyDescent="0.25">
      <c r="A87" s="2" t="s">
        <v>124</v>
      </c>
      <c r="B87" s="2" t="s">
        <v>37</v>
      </c>
      <c r="C87" s="3">
        <v>41394</v>
      </c>
      <c r="D87" t="s">
        <v>125</v>
      </c>
      <c r="E87" s="2" t="s">
        <v>12</v>
      </c>
      <c r="F87" s="2" t="s">
        <v>12</v>
      </c>
      <c r="G87" t="s">
        <v>16</v>
      </c>
      <c r="H87" t="str">
        <f t="shared" si="2"/>
        <v>https://videplast.com.br/consulta-imobilizado?id=21000353&amp;nome=INVERSOR%20CFW-11%207A/3AC%20380V</v>
      </c>
      <c r="I87" t="e">
        <f t="shared" ca="1" si="3"/>
        <v>#NAME?</v>
      </c>
    </row>
    <row r="88" spans="1:9" x14ac:dyDescent="0.25">
      <c r="A88" s="2" t="s">
        <v>124</v>
      </c>
      <c r="B88" s="2" t="s">
        <v>39</v>
      </c>
      <c r="C88" s="3">
        <v>41394</v>
      </c>
      <c r="D88" t="s">
        <v>125</v>
      </c>
      <c r="E88" s="2" t="s">
        <v>12</v>
      </c>
      <c r="F88" s="2" t="s">
        <v>12</v>
      </c>
      <c r="G88" t="s">
        <v>16</v>
      </c>
      <c r="H88" t="str">
        <f t="shared" si="2"/>
        <v>https://videplast.com.br/consulta-imobilizado?id=21000353&amp;nome=INVERSOR%20CFW-11%207A/3AC%20380V</v>
      </c>
      <c r="I88" t="e">
        <f t="shared" ca="1" si="3"/>
        <v>#NAME?</v>
      </c>
    </row>
    <row r="89" spans="1:9" x14ac:dyDescent="0.25">
      <c r="A89" s="2" t="s">
        <v>124</v>
      </c>
      <c r="B89" s="2" t="s">
        <v>126</v>
      </c>
      <c r="C89" s="3">
        <v>41394</v>
      </c>
      <c r="D89" t="s">
        <v>125</v>
      </c>
      <c r="E89" s="2" t="s">
        <v>12</v>
      </c>
      <c r="F89" s="2" t="s">
        <v>12</v>
      </c>
      <c r="G89" t="s">
        <v>16</v>
      </c>
      <c r="H89" t="str">
        <f t="shared" si="2"/>
        <v>https://videplast.com.br/consulta-imobilizado?id=21000353&amp;nome=INVERSOR%20CFW-11%207A/3AC%20380V</v>
      </c>
      <c r="I89" t="e">
        <f t="shared" ca="1" si="3"/>
        <v>#NAME?</v>
      </c>
    </row>
    <row r="90" spans="1:9" x14ac:dyDescent="0.25">
      <c r="A90" s="2" t="s">
        <v>124</v>
      </c>
      <c r="B90" s="2" t="s">
        <v>127</v>
      </c>
      <c r="C90" s="3">
        <v>41394</v>
      </c>
      <c r="D90" t="s">
        <v>125</v>
      </c>
      <c r="E90" s="2" t="s">
        <v>12</v>
      </c>
      <c r="F90" s="2" t="s">
        <v>12</v>
      </c>
      <c r="G90" t="s">
        <v>16</v>
      </c>
      <c r="H90" t="str">
        <f t="shared" si="2"/>
        <v>https://videplast.com.br/consulta-imobilizado?id=21000353&amp;nome=INVERSOR%20CFW-11%207A/3AC%20380V</v>
      </c>
      <c r="I90" t="e">
        <f t="shared" ca="1" si="3"/>
        <v>#NAME?</v>
      </c>
    </row>
    <row r="91" spans="1:9" x14ac:dyDescent="0.25">
      <c r="A91" s="2" t="s">
        <v>124</v>
      </c>
      <c r="B91" s="2" t="s">
        <v>128</v>
      </c>
      <c r="C91" s="3">
        <v>41394</v>
      </c>
      <c r="D91" t="s">
        <v>125</v>
      </c>
      <c r="E91" s="2" t="s">
        <v>12</v>
      </c>
      <c r="F91" s="2" t="s">
        <v>12</v>
      </c>
      <c r="G91" t="s">
        <v>16</v>
      </c>
      <c r="H91" t="str">
        <f t="shared" si="2"/>
        <v>https://videplast.com.br/consulta-imobilizado?id=21000353&amp;nome=INVERSOR%20CFW-11%207A/3AC%20380V</v>
      </c>
      <c r="I91" t="e">
        <f t="shared" ca="1" si="3"/>
        <v>#NAME?</v>
      </c>
    </row>
    <row r="92" spans="1:9" x14ac:dyDescent="0.25">
      <c r="A92" s="2" t="s">
        <v>129</v>
      </c>
      <c r="B92" s="2" t="s">
        <v>26</v>
      </c>
      <c r="C92" s="3">
        <v>41517</v>
      </c>
      <c r="D92" t="s">
        <v>130</v>
      </c>
      <c r="E92" s="2" t="s">
        <v>131</v>
      </c>
      <c r="F92" s="2" t="s">
        <v>12</v>
      </c>
      <c r="G92" t="s">
        <v>16</v>
      </c>
      <c r="H92" t="str">
        <f t="shared" si="2"/>
        <v>https://videplast.com.br/consulta-imobilizado?id=21000356&amp;nome=IMPRESSOR%20TERMICOS%20ZEBRAGC%20420%20203%20DPI%20COM%20PEEL%20OF</v>
      </c>
      <c r="I92" t="e">
        <f t="shared" ca="1" si="3"/>
        <v>#NAME?</v>
      </c>
    </row>
    <row r="93" spans="1:9" x14ac:dyDescent="0.25">
      <c r="A93" s="2" t="s">
        <v>132</v>
      </c>
      <c r="B93" s="2" t="s">
        <v>10</v>
      </c>
      <c r="C93" s="3">
        <v>41698</v>
      </c>
      <c r="D93" t="s">
        <v>133</v>
      </c>
      <c r="E93" s="2" t="s">
        <v>134</v>
      </c>
      <c r="F93" s="2" t="s">
        <v>12</v>
      </c>
      <c r="G93" t="s">
        <v>16</v>
      </c>
      <c r="H93" t="str">
        <f t="shared" si="2"/>
        <v>https://videplast.com.br/consulta-imobilizado?id=21000369&amp;nome=CARRO%20HIDRAULICO%20PALETRANS</v>
      </c>
      <c r="I93" t="e">
        <f t="shared" ca="1" si="3"/>
        <v>#NAME?</v>
      </c>
    </row>
    <row r="94" spans="1:9" x14ac:dyDescent="0.25">
      <c r="A94" s="2" t="s">
        <v>132</v>
      </c>
      <c r="B94" s="2" t="s">
        <v>26</v>
      </c>
      <c r="C94" s="3">
        <v>41698</v>
      </c>
      <c r="D94" t="s">
        <v>133</v>
      </c>
      <c r="E94" s="2" t="s">
        <v>135</v>
      </c>
      <c r="F94" s="2" t="s">
        <v>12</v>
      </c>
      <c r="G94" t="s">
        <v>16</v>
      </c>
      <c r="H94" t="str">
        <f t="shared" si="2"/>
        <v>https://videplast.com.br/consulta-imobilizado?id=21000369&amp;nome=CARRO%20HIDRAULICO%20PALETRANS</v>
      </c>
      <c r="I94" t="e">
        <f t="shared" ca="1" si="3"/>
        <v>#NAME?</v>
      </c>
    </row>
    <row r="95" spans="1:9" x14ac:dyDescent="0.25">
      <c r="A95" s="2" t="s">
        <v>132</v>
      </c>
      <c r="B95" s="2" t="s">
        <v>21</v>
      </c>
      <c r="C95" s="3">
        <v>41698</v>
      </c>
      <c r="D95" t="s">
        <v>133</v>
      </c>
      <c r="E95" s="2" t="s">
        <v>136</v>
      </c>
      <c r="F95" s="2" t="s">
        <v>12</v>
      </c>
      <c r="G95" t="s">
        <v>16</v>
      </c>
      <c r="H95" t="str">
        <f t="shared" si="2"/>
        <v>https://videplast.com.br/consulta-imobilizado?id=21000369&amp;nome=CARRO%20HIDRAULICO%20PALETRANS</v>
      </c>
      <c r="I95" t="e">
        <f t="shared" ca="1" si="3"/>
        <v>#NAME?</v>
      </c>
    </row>
    <row r="96" spans="1:9" x14ac:dyDescent="0.25">
      <c r="A96" s="2" t="s">
        <v>137</v>
      </c>
      <c r="B96" s="2" t="s">
        <v>10</v>
      </c>
      <c r="C96" s="3">
        <v>41729</v>
      </c>
      <c r="D96" t="s">
        <v>138</v>
      </c>
      <c r="E96" s="2" t="s">
        <v>12</v>
      </c>
      <c r="F96" s="2" t="s">
        <v>12</v>
      </c>
      <c r="G96" t="s">
        <v>16</v>
      </c>
      <c r="H96" t="str">
        <f t="shared" si="2"/>
        <v>https://videplast.com.br/consulta-imobilizado?id=21000371&amp;nome=CONJUNTO%20CANHAO%20RULLI%20075X0135X1909MM</v>
      </c>
      <c r="I96" t="e">
        <f t="shared" ca="1" si="3"/>
        <v>#NAME?</v>
      </c>
    </row>
    <row r="97" spans="1:9" x14ac:dyDescent="0.25">
      <c r="A97" s="2" t="s">
        <v>139</v>
      </c>
      <c r="B97" s="2" t="s">
        <v>10</v>
      </c>
      <c r="C97" s="3">
        <v>41729</v>
      </c>
      <c r="D97" t="s">
        <v>140</v>
      </c>
      <c r="E97" s="2" t="s">
        <v>12</v>
      </c>
      <c r="F97" s="2" t="s">
        <v>12</v>
      </c>
      <c r="G97" t="s">
        <v>16</v>
      </c>
      <c r="H97" t="str">
        <f t="shared" si="2"/>
        <v>https://videplast.com.br/consulta-imobilizado?id=21000372&amp;nome=ROSCA%20075X2631%20BIMETALICO%2081MM%20RULLI</v>
      </c>
      <c r="I97" t="e">
        <f t="shared" ca="1" si="3"/>
        <v>#NAME?</v>
      </c>
    </row>
    <row r="98" spans="1:9" x14ac:dyDescent="0.25">
      <c r="A98" s="2" t="s">
        <v>141</v>
      </c>
      <c r="B98" s="2" t="s">
        <v>10</v>
      </c>
      <c r="C98" s="3">
        <v>41729</v>
      </c>
      <c r="D98" t="s">
        <v>142</v>
      </c>
      <c r="E98" s="2" t="s">
        <v>143</v>
      </c>
      <c r="F98" s="2" t="s">
        <v>144</v>
      </c>
      <c r="G98" t="s">
        <v>16</v>
      </c>
      <c r="H98" t="str">
        <f t="shared" si="2"/>
        <v>https://videplast.com.br/consulta-imobilizado?id=21000373&amp;nome=EMPILHADEIRA%20HYSTER%20H50%20CT</v>
      </c>
      <c r="I98" t="e">
        <f t="shared" ca="1" si="3"/>
        <v>#NAME?</v>
      </c>
    </row>
    <row r="99" spans="1:9" x14ac:dyDescent="0.25">
      <c r="A99" s="2" t="s">
        <v>145</v>
      </c>
      <c r="B99" s="2" t="s">
        <v>10</v>
      </c>
      <c r="C99" s="3">
        <v>41820</v>
      </c>
      <c r="D99" t="s">
        <v>146</v>
      </c>
      <c r="E99" s="2" t="s">
        <v>12</v>
      </c>
      <c r="F99" s="2" t="s">
        <v>12</v>
      </c>
      <c r="G99" t="s">
        <v>16</v>
      </c>
      <c r="H99" t="str">
        <f t="shared" si="2"/>
        <v>https://videplast.com.br/consulta-imobilizado?id=21000380&amp;nome=ALINHADOR%20ELETROMECANICO%20DF</v>
      </c>
      <c r="I99" t="e">
        <f t="shared" ca="1" si="3"/>
        <v>#NAME?</v>
      </c>
    </row>
    <row r="100" spans="1:9" x14ac:dyDescent="0.25">
      <c r="A100" s="2" t="s">
        <v>147</v>
      </c>
      <c r="B100" s="2" t="s">
        <v>29</v>
      </c>
      <c r="C100" s="3">
        <v>41882</v>
      </c>
      <c r="D100" t="s">
        <v>148</v>
      </c>
      <c r="E100" s="2" t="s">
        <v>12</v>
      </c>
      <c r="F100" s="2" t="s">
        <v>12</v>
      </c>
      <c r="G100" t="s">
        <v>16</v>
      </c>
      <c r="H100" t="str">
        <f t="shared" si="2"/>
        <v>https://videplast.com.br/consulta-imobilizado?id=21000387&amp;nome=CARRO%20HIDRAULICO%20TM%202220%20680X1150%20SIMPLES%20NYLON</v>
      </c>
      <c r="I100" t="e">
        <f t="shared" ca="1" si="3"/>
        <v>#NAME?</v>
      </c>
    </row>
    <row r="101" spans="1:9" x14ac:dyDescent="0.25">
      <c r="A101" s="2" t="s">
        <v>149</v>
      </c>
      <c r="B101" s="2" t="s">
        <v>10</v>
      </c>
      <c r="C101" s="3">
        <v>41943</v>
      </c>
      <c r="D101" t="s">
        <v>150</v>
      </c>
      <c r="E101" s="2" t="s">
        <v>12</v>
      </c>
      <c r="F101" s="2" t="s">
        <v>12</v>
      </c>
      <c r="G101" t="s">
        <v>16</v>
      </c>
      <c r="H101" t="str">
        <f t="shared" si="2"/>
        <v>https://videplast.com.br/consulta-imobilizado?id=21000393&amp;nome=INVERSOR%20CFW11%20142A/3AC</v>
      </c>
      <c r="I101" t="e">
        <f t="shared" ca="1" si="3"/>
        <v>#NAME?</v>
      </c>
    </row>
    <row r="102" spans="1:9" x14ac:dyDescent="0.25">
      <c r="A102" s="2" t="s">
        <v>149</v>
      </c>
      <c r="B102" s="2" t="s">
        <v>26</v>
      </c>
      <c r="C102" s="3">
        <v>41943</v>
      </c>
      <c r="D102" t="s">
        <v>151</v>
      </c>
      <c r="E102" s="2" t="s">
        <v>12</v>
      </c>
      <c r="F102" s="2" t="s">
        <v>12</v>
      </c>
      <c r="G102" t="s">
        <v>16</v>
      </c>
      <c r="H102" t="str">
        <f t="shared" si="2"/>
        <v>https://videplast.com.br/consulta-imobilizado?id=21000393&amp;nome=MOTOR%20TRIFASICO%20AR%20100CV%204PT%204T</v>
      </c>
      <c r="I102" t="e">
        <f t="shared" ca="1" si="3"/>
        <v>#NAME?</v>
      </c>
    </row>
    <row r="103" spans="1:9" x14ac:dyDescent="0.25">
      <c r="A103" s="2" t="s">
        <v>152</v>
      </c>
      <c r="B103" s="2" t="s">
        <v>10</v>
      </c>
      <c r="C103" s="3">
        <v>41943</v>
      </c>
      <c r="D103" t="s">
        <v>153</v>
      </c>
      <c r="E103" s="2" t="s">
        <v>12</v>
      </c>
      <c r="F103" s="2" t="s">
        <v>12</v>
      </c>
      <c r="G103" t="s">
        <v>16</v>
      </c>
      <c r="H103" t="str">
        <f t="shared" si="2"/>
        <v>https://videplast.com.br/consulta-imobilizado?id=21000394&amp;nome=MOTOR%20ELETRICO%20WEG%20TRIFASICO%20100%20CV%2002%20225S/M%20380</v>
      </c>
      <c r="I103" t="e">
        <f t="shared" ca="1" si="3"/>
        <v>#NAME?</v>
      </c>
    </row>
    <row r="104" spans="1:9" x14ac:dyDescent="0.25">
      <c r="A104" s="2" t="s">
        <v>154</v>
      </c>
      <c r="B104" s="2" t="s">
        <v>10</v>
      </c>
      <c r="C104" s="3">
        <v>41943</v>
      </c>
      <c r="D104" t="s">
        <v>155</v>
      </c>
      <c r="E104" s="2" t="s">
        <v>12</v>
      </c>
      <c r="F104" s="2" t="s">
        <v>12</v>
      </c>
      <c r="G104" t="s">
        <v>16</v>
      </c>
      <c r="H104" t="str">
        <f t="shared" si="2"/>
        <v>https://videplast.com.br/consulta-imobilizado?id=21000395&amp;nome=TROCADOR%20DE%20CALOR%20TC%20060%20W/AR</v>
      </c>
      <c r="I104" t="e">
        <f t="shared" ca="1" si="3"/>
        <v>#NAME?</v>
      </c>
    </row>
    <row r="105" spans="1:9" x14ac:dyDescent="0.25">
      <c r="A105" s="2" t="s">
        <v>156</v>
      </c>
      <c r="B105" s="2" t="s">
        <v>10</v>
      </c>
      <c r="C105" s="3">
        <v>41943</v>
      </c>
      <c r="D105" t="s">
        <v>157</v>
      </c>
      <c r="E105" s="2" t="s">
        <v>12</v>
      </c>
      <c r="F105" s="2" t="s">
        <v>12</v>
      </c>
      <c r="G105" t="s">
        <v>16</v>
      </c>
      <c r="H105" t="str">
        <f t="shared" si="2"/>
        <v>https://videplast.com.br/consulta-imobilizado?id=21000398&amp;nome=3%20VENTILADOR%2020CV%20HGR</v>
      </c>
      <c r="I105" t="e">
        <f t="shared" ca="1" si="3"/>
        <v>#NAME?</v>
      </c>
    </row>
    <row r="106" spans="1:9" x14ac:dyDescent="0.25">
      <c r="A106" s="2" t="s">
        <v>158</v>
      </c>
      <c r="B106" s="2" t="s">
        <v>10</v>
      </c>
      <c r="C106" s="3">
        <v>41973</v>
      </c>
      <c r="D106" t="s">
        <v>159</v>
      </c>
      <c r="E106" s="2" t="s">
        <v>160</v>
      </c>
      <c r="F106" s="2" t="s">
        <v>12</v>
      </c>
      <c r="G106" t="s">
        <v>16</v>
      </c>
      <c r="H106" t="str">
        <f t="shared" si="2"/>
        <v>https://videplast.com.br/consulta-imobilizado?id=21000402&amp;nome=SLIT%20SEALER%20CARNEVALLI%20500%20KVA%20220V</v>
      </c>
      <c r="I106" t="e">
        <f t="shared" ca="1" si="3"/>
        <v>#NAME?</v>
      </c>
    </row>
    <row r="107" spans="1:9" x14ac:dyDescent="0.25">
      <c r="A107" s="2" t="s">
        <v>158</v>
      </c>
      <c r="B107" s="2" t="s">
        <v>26</v>
      </c>
      <c r="C107" s="3">
        <v>41973</v>
      </c>
      <c r="D107" t="s">
        <v>159</v>
      </c>
      <c r="E107" s="2" t="s">
        <v>161</v>
      </c>
      <c r="F107" s="2" t="s">
        <v>12</v>
      </c>
      <c r="G107" t="s">
        <v>16</v>
      </c>
      <c r="H107" t="str">
        <f t="shared" si="2"/>
        <v>https://videplast.com.br/consulta-imobilizado?id=21000402&amp;nome=SLIT%20SEALER%20CARNEVALLI%20500%20KVA%20220V</v>
      </c>
      <c r="I107" t="e">
        <f t="shared" ca="1" si="3"/>
        <v>#NAME?</v>
      </c>
    </row>
    <row r="108" spans="1:9" x14ac:dyDescent="0.25">
      <c r="A108" s="2" t="s">
        <v>162</v>
      </c>
      <c r="B108" s="2" t="s">
        <v>10</v>
      </c>
      <c r="C108" s="3">
        <v>41973</v>
      </c>
      <c r="D108" t="s">
        <v>163</v>
      </c>
      <c r="E108" s="2" t="s">
        <v>12</v>
      </c>
      <c r="F108" s="2" t="s">
        <v>12</v>
      </c>
      <c r="G108" t="s">
        <v>16</v>
      </c>
      <c r="H108" t="str">
        <f t="shared" si="2"/>
        <v>https://videplast.com.br/consulta-imobilizado?id=21000403&amp;nome=CABECOTE%20DE%20EXTRUSORA%20MONOCAMADA%20HGR%2024</v>
      </c>
      <c r="I108" t="e">
        <f t="shared" ca="1" si="3"/>
        <v>#NAME?</v>
      </c>
    </row>
    <row r="109" spans="1:9" x14ac:dyDescent="0.25">
      <c r="A109" s="2" t="s">
        <v>164</v>
      </c>
      <c r="B109" s="2" t="s">
        <v>10</v>
      </c>
      <c r="C109" s="3">
        <v>41790</v>
      </c>
      <c r="D109" t="s">
        <v>165</v>
      </c>
      <c r="E109" s="2" t="s">
        <v>12</v>
      </c>
      <c r="F109" s="2" t="s">
        <v>12</v>
      </c>
      <c r="G109" t="s">
        <v>16</v>
      </c>
      <c r="H109" t="str">
        <f t="shared" si="2"/>
        <v>https://videplast.com.br/consulta-imobilizado?id=21000408&amp;nome=EQUIPAMENTO%20TRATAMENTO%20CORONA%20ESTAÇAO%20CSS%202200X5</v>
      </c>
      <c r="I109" t="e">
        <f t="shared" ca="1" si="3"/>
        <v>#NAME?</v>
      </c>
    </row>
    <row r="110" spans="1:9" x14ac:dyDescent="0.25">
      <c r="A110" s="2" t="s">
        <v>166</v>
      </c>
      <c r="B110" s="2" t="s">
        <v>10</v>
      </c>
      <c r="C110" s="3">
        <v>38159</v>
      </c>
      <c r="D110" t="s">
        <v>167</v>
      </c>
      <c r="E110" s="2" t="s">
        <v>12</v>
      </c>
      <c r="F110" s="2" t="s">
        <v>12</v>
      </c>
      <c r="G110" t="s">
        <v>16</v>
      </c>
      <c r="H110" t="str">
        <f t="shared" si="2"/>
        <v>https://videplast.com.br/consulta-imobilizado?id=21000411&amp;nome=ELETROCALHA%20PERF.%20GALV%20PARA%20EXTRUSAO</v>
      </c>
      <c r="I110" t="e">
        <f t="shared" ca="1" si="3"/>
        <v>#NAME?</v>
      </c>
    </row>
    <row r="111" spans="1:9" x14ac:dyDescent="0.25">
      <c r="A111" s="2" t="s">
        <v>168</v>
      </c>
      <c r="B111" s="2" t="s">
        <v>10</v>
      </c>
      <c r="C111" s="3">
        <v>38219</v>
      </c>
      <c r="D111" t="s">
        <v>169</v>
      </c>
      <c r="E111" s="2" t="s">
        <v>12</v>
      </c>
      <c r="F111" s="2" t="s">
        <v>12</v>
      </c>
      <c r="G111" t="s">
        <v>16</v>
      </c>
      <c r="H111" t="str">
        <f t="shared" si="2"/>
        <v>https://videplast.com.br/consulta-imobilizado?id=21000413&amp;nome=PAINEL%20MONTADO%20COM%20INVERSOR</v>
      </c>
      <c r="I111" t="e">
        <f t="shared" ca="1" si="3"/>
        <v>#NAME?</v>
      </c>
    </row>
    <row r="112" spans="1:9" x14ac:dyDescent="0.25">
      <c r="A112" s="2" t="s">
        <v>170</v>
      </c>
      <c r="B112" s="2" t="s">
        <v>10</v>
      </c>
      <c r="C112" s="3">
        <v>38218</v>
      </c>
      <c r="D112" t="s">
        <v>171</v>
      </c>
      <c r="E112" s="2" t="s">
        <v>12</v>
      </c>
      <c r="F112" s="2" t="s">
        <v>12</v>
      </c>
      <c r="G112" t="s">
        <v>16</v>
      </c>
      <c r="H112" t="str">
        <f t="shared" si="2"/>
        <v>https://videplast.com.br/consulta-imobilizado?id=21000414&amp;nome=4%20CACAMBA%20PALLETIZADA%20%20CONFORME</v>
      </c>
      <c r="I112" t="e">
        <f t="shared" ca="1" si="3"/>
        <v>#NAME?</v>
      </c>
    </row>
    <row r="113" spans="1:9" x14ac:dyDescent="0.25">
      <c r="A113" s="2" t="s">
        <v>172</v>
      </c>
      <c r="B113" s="2" t="s">
        <v>10</v>
      </c>
      <c r="C113" s="3">
        <v>38716</v>
      </c>
      <c r="D113" t="s">
        <v>173</v>
      </c>
      <c r="E113" s="2" t="s">
        <v>12</v>
      </c>
      <c r="F113" s="2" t="s">
        <v>12</v>
      </c>
      <c r="G113" t="s">
        <v>16</v>
      </c>
      <c r="H113" t="str">
        <f t="shared" si="2"/>
        <v>https://videplast.com.br/consulta-imobilizado?id=21000427&amp;nome=MISTURADOR%20VERTICAL%20PEROZIN%20MP%20502</v>
      </c>
      <c r="I113" t="e">
        <f t="shared" ca="1" si="3"/>
        <v>#NAME?</v>
      </c>
    </row>
    <row r="114" spans="1:9" x14ac:dyDescent="0.25">
      <c r="A114" s="2" t="s">
        <v>174</v>
      </c>
      <c r="B114" s="2" t="s">
        <v>10</v>
      </c>
      <c r="C114" s="3">
        <v>38770</v>
      </c>
      <c r="D114" t="s">
        <v>175</v>
      </c>
      <c r="E114" s="2" t="s">
        <v>12</v>
      </c>
      <c r="F114" s="2" t="s">
        <v>12</v>
      </c>
      <c r="G114" t="s">
        <v>16</v>
      </c>
      <c r="H114" t="str">
        <f t="shared" si="2"/>
        <v>https://videplast.com.br/consulta-imobilizado?id=21000437&amp;nome=4%20CACAMBA%20PALETIZADA</v>
      </c>
      <c r="I114" t="e">
        <f t="shared" ca="1" si="3"/>
        <v>#NAME?</v>
      </c>
    </row>
    <row r="115" spans="1:9" x14ac:dyDescent="0.25">
      <c r="A115" s="2" t="s">
        <v>176</v>
      </c>
      <c r="B115" s="2" t="s">
        <v>10</v>
      </c>
      <c r="C115" s="3">
        <v>38770</v>
      </c>
      <c r="D115" t="s">
        <v>177</v>
      </c>
      <c r="E115" s="2" t="s">
        <v>12</v>
      </c>
      <c r="F115" s="2" t="s">
        <v>12</v>
      </c>
      <c r="G115" t="s">
        <v>16</v>
      </c>
      <c r="H115" t="str">
        <f t="shared" si="2"/>
        <v>https://videplast.com.br/consulta-imobilizado?id=21000438&amp;nome=CABOS%20E%20ACESSORIOS%20P/%20INSTALACAO%20EXTRUSORA%20POLARIS</v>
      </c>
      <c r="I115" t="e">
        <f t="shared" ca="1" si="3"/>
        <v>#NAME?</v>
      </c>
    </row>
    <row r="116" spans="1:9" x14ac:dyDescent="0.25">
      <c r="A116" s="2" t="s">
        <v>178</v>
      </c>
      <c r="B116" s="2" t="s">
        <v>10</v>
      </c>
      <c r="C116" s="3">
        <v>39104</v>
      </c>
      <c r="D116" t="s">
        <v>179</v>
      </c>
      <c r="E116" s="2" t="s">
        <v>12</v>
      </c>
      <c r="F116" s="2" t="s">
        <v>12</v>
      </c>
      <c r="G116" t="s">
        <v>16</v>
      </c>
      <c r="H116" t="str">
        <f t="shared" si="2"/>
        <v>https://videplast.com.br/consulta-imobilizado?id=21000461&amp;nome=SERVICOS%20ELETRICOS%20P/O%20SETOR%20DE%20EXTRUSAO%20CONF</v>
      </c>
      <c r="I116" t="e">
        <f t="shared" ca="1" si="3"/>
        <v>#NAME?</v>
      </c>
    </row>
    <row r="117" spans="1:9" x14ac:dyDescent="0.25">
      <c r="A117" s="2" t="s">
        <v>180</v>
      </c>
      <c r="B117" s="2" t="s">
        <v>10</v>
      </c>
      <c r="C117" s="3">
        <v>39169</v>
      </c>
      <c r="D117" t="s">
        <v>181</v>
      </c>
      <c r="E117" s="2" t="s">
        <v>12</v>
      </c>
      <c r="F117" s="2" t="s">
        <v>12</v>
      </c>
      <c r="G117" t="s">
        <v>16</v>
      </c>
      <c r="H117" t="str">
        <f t="shared" si="2"/>
        <v>https://videplast.com.br/consulta-imobilizado?id=21000465&amp;nome=MOTOR%20TRIFASICO%20WEG%2015CV%202P%20220V</v>
      </c>
      <c r="I117" t="e">
        <f t="shared" ca="1" si="3"/>
        <v>#NAME?</v>
      </c>
    </row>
    <row r="118" spans="1:9" x14ac:dyDescent="0.25">
      <c r="A118" s="2" t="s">
        <v>180</v>
      </c>
      <c r="B118" s="2" t="s">
        <v>26</v>
      </c>
      <c r="C118" s="3">
        <v>39169</v>
      </c>
      <c r="D118" t="s">
        <v>182</v>
      </c>
      <c r="E118" s="2" t="s">
        <v>12</v>
      </c>
      <c r="F118" s="2" t="s">
        <v>12</v>
      </c>
      <c r="G118" t="s">
        <v>16</v>
      </c>
      <c r="H118" t="str">
        <f t="shared" si="2"/>
        <v>https://videplast.com.br/consulta-imobilizado?id=21000465&amp;nome=INVERSOR%20DE%20FREQUENCIA%20WEG%20CFW080240T3848P%20SZ</v>
      </c>
      <c r="I118" t="e">
        <f t="shared" ca="1" si="3"/>
        <v>#NAME?</v>
      </c>
    </row>
    <row r="119" spans="1:9" x14ac:dyDescent="0.25">
      <c r="A119" s="2" t="s">
        <v>183</v>
      </c>
      <c r="B119" s="2" t="s">
        <v>10</v>
      </c>
      <c r="C119" s="3">
        <v>39171</v>
      </c>
      <c r="D119" t="s">
        <v>184</v>
      </c>
      <c r="E119" s="2" t="s">
        <v>12</v>
      </c>
      <c r="F119" s="2" t="s">
        <v>12</v>
      </c>
      <c r="G119" t="s">
        <v>16</v>
      </c>
      <c r="H119" t="str">
        <f t="shared" si="2"/>
        <v>https://videplast.com.br/consulta-imobilizado?id=21000466&amp;nome=4%20ALIMENTADORES%20AW%20600</v>
      </c>
      <c r="I119" t="e">
        <f t="shared" ca="1" si="3"/>
        <v>#NAME?</v>
      </c>
    </row>
    <row r="120" spans="1:9" x14ac:dyDescent="0.25">
      <c r="A120" s="2" t="s">
        <v>185</v>
      </c>
      <c r="B120" s="2" t="s">
        <v>10</v>
      </c>
      <c r="C120" s="3">
        <v>39196</v>
      </c>
      <c r="D120" t="s">
        <v>186</v>
      </c>
      <c r="E120" s="2" t="s">
        <v>12</v>
      </c>
      <c r="F120" s="2" t="s">
        <v>12</v>
      </c>
      <c r="G120" t="s">
        <v>16</v>
      </c>
      <c r="H120" t="str">
        <f t="shared" si="2"/>
        <v>https://videplast.com.br/consulta-imobilizado?id=21000473&amp;nome=SERVICOS%20EM%20LIGACAO%20DA%20EXTRUSORA%209</v>
      </c>
      <c r="I120" t="e">
        <f t="shared" ca="1" si="3"/>
        <v>#NAME?</v>
      </c>
    </row>
    <row r="121" spans="1:9" x14ac:dyDescent="0.25">
      <c r="A121" s="2" t="s">
        <v>187</v>
      </c>
      <c r="B121" s="2" t="s">
        <v>10</v>
      </c>
      <c r="C121" s="3">
        <v>39230</v>
      </c>
      <c r="D121" t="s">
        <v>188</v>
      </c>
      <c r="E121" s="2" t="s">
        <v>12</v>
      </c>
      <c r="F121" s="2" t="s">
        <v>12</v>
      </c>
      <c r="G121" t="s">
        <v>16</v>
      </c>
      <c r="H121" t="str">
        <f t="shared" si="2"/>
        <v>https://videplast.com.br/consulta-imobilizado?id=21000477&amp;nome=MATERIAIS%20PARA%20MONTAGEM%20DA%20EXTRUSORA%20Nº%209</v>
      </c>
      <c r="I121" t="e">
        <f t="shared" ca="1" si="3"/>
        <v>#NAME?</v>
      </c>
    </row>
    <row r="122" spans="1:9" x14ac:dyDescent="0.25">
      <c r="A122" s="2" t="s">
        <v>189</v>
      </c>
      <c r="B122" s="2" t="s">
        <v>10</v>
      </c>
      <c r="C122" s="3">
        <v>39230</v>
      </c>
      <c r="D122" t="s">
        <v>190</v>
      </c>
      <c r="E122" s="2" t="s">
        <v>12</v>
      </c>
      <c r="F122" s="2" t="s">
        <v>12</v>
      </c>
      <c r="G122" t="s">
        <v>16</v>
      </c>
      <c r="H122" t="str">
        <f t="shared" si="2"/>
        <v>https://videplast.com.br/consulta-imobilizado?id=21000483&amp;nome=SERVICOS%20ELETRICOS%20INSTALACAO%20EXTRUSORA%20Nº%209</v>
      </c>
      <c r="I122" t="e">
        <f t="shared" ca="1" si="3"/>
        <v>#NAME?</v>
      </c>
    </row>
    <row r="123" spans="1:9" x14ac:dyDescent="0.25">
      <c r="A123" s="2" t="s">
        <v>191</v>
      </c>
      <c r="B123" s="2" t="s">
        <v>10</v>
      </c>
      <c r="C123" s="3">
        <v>39373</v>
      </c>
      <c r="D123" t="s">
        <v>192</v>
      </c>
      <c r="E123" s="2" t="s">
        <v>193</v>
      </c>
      <c r="F123" s="2" t="s">
        <v>12</v>
      </c>
      <c r="G123" t="s">
        <v>16</v>
      </c>
      <c r="H123" t="str">
        <f t="shared" si="2"/>
        <v>https://videplast.com.br/consulta-imobilizado?id=21000498&amp;nome=PALETEIRA%20HIDRAULICA%20LINDE%20M25%202500KG</v>
      </c>
      <c r="I123" t="e">
        <f t="shared" ca="1" si="3"/>
        <v>#NAME?</v>
      </c>
    </row>
    <row r="124" spans="1:9" x14ac:dyDescent="0.25">
      <c r="A124" s="2" t="s">
        <v>191</v>
      </c>
      <c r="B124" s="2" t="s">
        <v>26</v>
      </c>
      <c r="C124" s="3">
        <v>45498</v>
      </c>
      <c r="D124" t="s">
        <v>194</v>
      </c>
      <c r="E124" s="2" t="s">
        <v>193</v>
      </c>
      <c r="F124" s="2" t="s">
        <v>12</v>
      </c>
      <c r="G124" t="s">
        <v>16</v>
      </c>
      <c r="H124" t="str">
        <f t="shared" si="2"/>
        <v>https://videplast.com.br/consulta-imobilizado?id=21000498&amp;nome=FRETE%20REF%20TRANSPALETEIRAS</v>
      </c>
      <c r="I124" t="e">
        <f t="shared" ca="1" si="3"/>
        <v>#NAME?</v>
      </c>
    </row>
    <row r="125" spans="1:9" x14ac:dyDescent="0.25">
      <c r="A125" s="2" t="s">
        <v>195</v>
      </c>
      <c r="B125" s="2" t="s">
        <v>10</v>
      </c>
      <c r="C125" s="3">
        <v>39398</v>
      </c>
      <c r="D125" t="s">
        <v>196</v>
      </c>
      <c r="E125" s="2" t="s">
        <v>12</v>
      </c>
      <c r="F125" s="2" t="s">
        <v>12</v>
      </c>
      <c r="G125" t="s">
        <v>16</v>
      </c>
      <c r="H125" t="str">
        <f t="shared" si="2"/>
        <v>https://videplast.com.br/consulta-imobilizado?id=21000500&amp;nome=8%20CACAMBA%20PALLETIZADA%20600%20LITROS</v>
      </c>
      <c r="I125" t="e">
        <f t="shared" ca="1" si="3"/>
        <v>#NAME?</v>
      </c>
    </row>
    <row r="126" spans="1:9" x14ac:dyDescent="0.25">
      <c r="A126" s="2" t="s">
        <v>195</v>
      </c>
      <c r="B126" s="2" t="s">
        <v>26</v>
      </c>
      <c r="C126" s="3">
        <v>45498</v>
      </c>
      <c r="D126" t="s">
        <v>197</v>
      </c>
      <c r="E126" s="2" t="s">
        <v>12</v>
      </c>
      <c r="F126" s="2" t="s">
        <v>12</v>
      </c>
      <c r="G126" t="s">
        <v>16</v>
      </c>
      <c r="H126" t="str">
        <f t="shared" si="2"/>
        <v>https://videplast.com.br/consulta-imobilizado?id=21000500&amp;nome=FRETE%20P/CACAMBA%20PALETIZADA</v>
      </c>
      <c r="I126" t="e">
        <f t="shared" ca="1" si="3"/>
        <v>#NAME?</v>
      </c>
    </row>
    <row r="127" spans="1:9" x14ac:dyDescent="0.25">
      <c r="A127" s="2" t="s">
        <v>198</v>
      </c>
      <c r="B127" s="2" t="s">
        <v>10</v>
      </c>
      <c r="C127" s="3">
        <v>39444</v>
      </c>
      <c r="D127" t="s">
        <v>199</v>
      </c>
      <c r="E127" s="2" t="s">
        <v>12</v>
      </c>
      <c r="F127" s="2" t="s">
        <v>12</v>
      </c>
      <c r="G127" t="s">
        <v>16</v>
      </c>
      <c r="H127" t="str">
        <f t="shared" si="2"/>
        <v>https://videplast.com.br/consulta-imobilizado?id=21000505&amp;nome=CACAMBA%20PALETIZADA%20600%20L%20QUADRADA</v>
      </c>
      <c r="I127" t="e">
        <f t="shared" ca="1" si="3"/>
        <v>#NAME?</v>
      </c>
    </row>
    <row r="128" spans="1:9" x14ac:dyDescent="0.25">
      <c r="A128" s="2" t="s">
        <v>200</v>
      </c>
      <c r="B128" s="2" t="s">
        <v>10</v>
      </c>
      <c r="C128" s="3">
        <v>39447</v>
      </c>
      <c r="D128" t="s">
        <v>201</v>
      </c>
      <c r="E128" s="2" t="s">
        <v>12</v>
      </c>
      <c r="F128" s="2" t="s">
        <v>12</v>
      </c>
      <c r="G128" t="s">
        <v>16</v>
      </c>
      <c r="H128" t="str">
        <f t="shared" si="2"/>
        <v>https://videplast.com.br/consulta-imobilizado?id=21000507&amp;nome=DE%20450%20MTS%20DE%20CABO%200,6/1KV%20P/O%20SETOR%20DE%20EXTRUSAO</v>
      </c>
      <c r="I128" t="e">
        <f t="shared" ca="1" si="3"/>
        <v>#NAME?</v>
      </c>
    </row>
    <row r="129" spans="1:9" x14ac:dyDescent="0.25">
      <c r="A129" s="2" t="s">
        <v>202</v>
      </c>
      <c r="B129" s="2" t="s">
        <v>10</v>
      </c>
      <c r="C129" s="3">
        <v>39437</v>
      </c>
      <c r="D129" t="s">
        <v>203</v>
      </c>
      <c r="E129" s="2" t="s">
        <v>12</v>
      </c>
      <c r="F129" s="2" t="s">
        <v>12</v>
      </c>
      <c r="G129" t="s">
        <v>16</v>
      </c>
      <c r="H129" t="str">
        <f t="shared" si="2"/>
        <v>https://videplast.com.br/consulta-imobilizado?id=21000508&amp;nome=DE%2075%20MTS%20CABO%20REI%201X50,%2075%20MTS%20CABO%20REI%201X70%20E</v>
      </c>
      <c r="I129" t="e">
        <f t="shared" ca="1" si="3"/>
        <v>#NAME?</v>
      </c>
    </row>
    <row r="130" spans="1:9" x14ac:dyDescent="0.25">
      <c r="A130" s="2" t="s">
        <v>204</v>
      </c>
      <c r="B130" s="2" t="s">
        <v>10</v>
      </c>
      <c r="C130" s="3">
        <v>39462</v>
      </c>
      <c r="D130" t="s">
        <v>205</v>
      </c>
      <c r="E130" s="2" t="s">
        <v>12</v>
      </c>
      <c r="F130" s="2" t="s">
        <v>206</v>
      </c>
      <c r="G130" t="s">
        <v>16</v>
      </c>
      <c r="H130" t="str">
        <f t="shared" ref="H130:H193" si="4" xml:space="preserve"> "https://videplast.com.br/consulta-imobilizado?id=" &amp; A130 &amp; "&amp;nome=" &amp; SUBSTITUTE(D130, " ", "%20")</f>
        <v>https://videplast.com.br/consulta-imobilizado?id=21000515&amp;nome=MISTURADOR%20DE%20RACAO%20VERTICAL%20MP-502</v>
      </c>
      <c r="I130" t="e">
        <f t="shared" ref="I130:I193" ca="1" si="5">_xlfn.IMAGE("https://chart.googleapis.com/chart?chs=150x150&amp;cht=qr&amp;chl=" &amp; H130)</f>
        <v>#NAME?</v>
      </c>
    </row>
    <row r="131" spans="1:9" x14ac:dyDescent="0.25">
      <c r="A131" s="2" t="s">
        <v>207</v>
      </c>
      <c r="B131" s="2" t="s">
        <v>10</v>
      </c>
      <c r="C131" s="3">
        <v>39462</v>
      </c>
      <c r="D131" t="s">
        <v>208</v>
      </c>
      <c r="E131" s="2" t="s">
        <v>12</v>
      </c>
      <c r="F131" s="2" t="s">
        <v>12</v>
      </c>
      <c r="G131" t="s">
        <v>16</v>
      </c>
      <c r="H131" t="str">
        <f t="shared" si="4"/>
        <v>https://videplast.com.br/consulta-imobilizado?id=21000518&amp;nome=SISTEMA%20DE%20RECUPERACAO%20DE%20REFILE%20MEGA%20ESTEEL</v>
      </c>
      <c r="I131" t="e">
        <f t="shared" ca="1" si="5"/>
        <v>#NAME?</v>
      </c>
    </row>
    <row r="132" spans="1:9" x14ac:dyDescent="0.25">
      <c r="A132" s="2" t="s">
        <v>209</v>
      </c>
      <c r="B132" s="2" t="s">
        <v>10</v>
      </c>
      <c r="C132" s="3">
        <v>39462</v>
      </c>
      <c r="D132" t="s">
        <v>210</v>
      </c>
      <c r="E132" s="2" t="s">
        <v>12</v>
      </c>
      <c r="F132" s="2" t="s">
        <v>12</v>
      </c>
      <c r="G132" t="s">
        <v>16</v>
      </c>
      <c r="H132" t="str">
        <f t="shared" si="4"/>
        <v>https://videplast.com.br/consulta-imobilizado?id=21000524&amp;nome=4%20EIXO%20PNEUMATICO</v>
      </c>
      <c r="I132" t="e">
        <f t="shared" ca="1" si="5"/>
        <v>#NAME?</v>
      </c>
    </row>
    <row r="133" spans="1:9" x14ac:dyDescent="0.25">
      <c r="A133" s="2" t="s">
        <v>209</v>
      </c>
      <c r="B133" s="2" t="s">
        <v>26</v>
      </c>
      <c r="C133" s="3">
        <v>45498</v>
      </c>
      <c r="D133" t="s">
        <v>211</v>
      </c>
      <c r="E133" s="2" t="s">
        <v>12</v>
      </c>
      <c r="F133" s="2" t="s">
        <v>12</v>
      </c>
      <c r="G133" t="s">
        <v>16</v>
      </c>
      <c r="H133" t="str">
        <f t="shared" si="4"/>
        <v>https://videplast.com.br/consulta-imobilizado?id=21000524&amp;nome=FRETE%20PARA%20TRANSPORTE%20DE%204%20EIXO</v>
      </c>
      <c r="I133" t="e">
        <f t="shared" ca="1" si="5"/>
        <v>#NAME?</v>
      </c>
    </row>
    <row r="134" spans="1:9" x14ac:dyDescent="0.25">
      <c r="A134" s="2" t="s">
        <v>212</v>
      </c>
      <c r="B134" s="2" t="s">
        <v>10</v>
      </c>
      <c r="C134" s="3">
        <v>39489</v>
      </c>
      <c r="D134" t="s">
        <v>213</v>
      </c>
      <c r="E134" s="2" t="s">
        <v>12</v>
      </c>
      <c r="F134" s="2" t="s">
        <v>12</v>
      </c>
      <c r="G134" t="s">
        <v>16</v>
      </c>
      <c r="H134" t="str">
        <f t="shared" si="4"/>
        <v>https://videplast.com.br/consulta-imobilizado?id=21000528&amp;nome=EMPILHADEIRA%20HIDRAULICA%20MANUAL%20PALETRANS%20LM%20510</v>
      </c>
      <c r="I134" t="e">
        <f t="shared" ca="1" si="5"/>
        <v>#NAME?</v>
      </c>
    </row>
    <row r="135" spans="1:9" x14ac:dyDescent="0.25">
      <c r="A135" s="2" t="s">
        <v>214</v>
      </c>
      <c r="B135" s="2" t="s">
        <v>10</v>
      </c>
      <c r="C135" s="3">
        <v>39497</v>
      </c>
      <c r="D135" t="s">
        <v>215</v>
      </c>
      <c r="E135" s="2" t="s">
        <v>12</v>
      </c>
      <c r="F135" s="2" t="s">
        <v>12</v>
      </c>
      <c r="G135" t="s">
        <v>16</v>
      </c>
      <c r="H135" t="str">
        <f t="shared" si="4"/>
        <v>https://videplast.com.br/consulta-imobilizado?id=21000530&amp;nome=PINHAO%20RULLI%20STAN%20P/O%20SETOR%20DE%20EXTRUSAO%20DA%20FABRICA</v>
      </c>
      <c r="I135" t="e">
        <f t="shared" ca="1" si="5"/>
        <v>#NAME?</v>
      </c>
    </row>
    <row r="136" spans="1:9" x14ac:dyDescent="0.25">
      <c r="A136" s="2" t="s">
        <v>214</v>
      </c>
      <c r="B136" s="2" t="s">
        <v>26</v>
      </c>
      <c r="C136" s="3">
        <v>45498</v>
      </c>
      <c r="D136" t="s">
        <v>216</v>
      </c>
      <c r="E136" s="2" t="s">
        <v>12</v>
      </c>
      <c r="F136" s="2" t="s">
        <v>12</v>
      </c>
      <c r="G136" t="s">
        <v>16</v>
      </c>
      <c r="H136" t="str">
        <f t="shared" si="4"/>
        <v>https://videplast.com.br/consulta-imobilizado?id=21000530&amp;nome=FRETE%20PARA%20TRANSPORTE%20DE%20PINHAO</v>
      </c>
      <c r="I136" t="e">
        <f t="shared" ca="1" si="5"/>
        <v>#NAME?</v>
      </c>
    </row>
    <row r="137" spans="1:9" x14ac:dyDescent="0.25">
      <c r="A137" s="2" t="s">
        <v>217</v>
      </c>
      <c r="B137" s="2" t="s">
        <v>10</v>
      </c>
      <c r="C137" s="3">
        <v>39490</v>
      </c>
      <c r="D137" t="s">
        <v>218</v>
      </c>
      <c r="E137" s="2" t="s">
        <v>12</v>
      </c>
      <c r="F137" s="2" t="s">
        <v>12</v>
      </c>
      <c r="G137" t="s">
        <v>16</v>
      </c>
      <c r="H137" t="str">
        <f t="shared" si="4"/>
        <v>https://videplast.com.br/consulta-imobilizado?id=21000536&amp;nome=PALETEIRA%20MANUAL%20LINDEMOD%20M25</v>
      </c>
      <c r="I137" t="e">
        <f t="shared" ca="1" si="5"/>
        <v>#NAME?</v>
      </c>
    </row>
    <row r="138" spans="1:9" x14ac:dyDescent="0.25">
      <c r="A138" s="2" t="s">
        <v>217</v>
      </c>
      <c r="B138" s="2" t="s">
        <v>26</v>
      </c>
      <c r="C138" s="3">
        <v>45498</v>
      </c>
      <c r="D138" t="s">
        <v>219</v>
      </c>
      <c r="E138" s="2" t="s">
        <v>12</v>
      </c>
      <c r="F138" s="2" t="s">
        <v>12</v>
      </c>
      <c r="G138" t="s">
        <v>16</v>
      </c>
      <c r="H138" t="str">
        <f t="shared" si="4"/>
        <v>https://videplast.com.br/consulta-imobilizado?id=21000536&amp;nome=FRETE%20PARA%20TRANSPORTE%20DA%20PALETEIRA</v>
      </c>
      <c r="I138" t="e">
        <f t="shared" ca="1" si="5"/>
        <v>#NAME?</v>
      </c>
    </row>
    <row r="139" spans="1:9" x14ac:dyDescent="0.25">
      <c r="A139" s="2" t="s">
        <v>220</v>
      </c>
      <c r="B139" s="2" t="s">
        <v>10</v>
      </c>
      <c r="C139" s="3">
        <v>39545</v>
      </c>
      <c r="D139" t="s">
        <v>221</v>
      </c>
      <c r="E139" s="2" t="s">
        <v>12</v>
      </c>
      <c r="F139" s="2" t="s">
        <v>12</v>
      </c>
      <c r="G139" t="s">
        <v>16</v>
      </c>
      <c r="H139" t="str">
        <f t="shared" si="4"/>
        <v>https://videplast.com.br/consulta-imobilizado?id=21000547&amp;nome=VENTILADOR%20SIROCO%20COMPACTO%20VSC%20P/%20EXTRUSAO</v>
      </c>
      <c r="I139" t="e">
        <f t="shared" ca="1" si="5"/>
        <v>#NAME?</v>
      </c>
    </row>
    <row r="140" spans="1:9" x14ac:dyDescent="0.25">
      <c r="A140" s="2" t="s">
        <v>220</v>
      </c>
      <c r="B140" s="2" t="s">
        <v>26</v>
      </c>
      <c r="C140" s="3">
        <v>45498</v>
      </c>
      <c r="D140" t="s">
        <v>222</v>
      </c>
      <c r="E140" s="2" t="s">
        <v>12</v>
      </c>
      <c r="F140" s="2" t="s">
        <v>12</v>
      </c>
      <c r="G140" t="s">
        <v>16</v>
      </c>
      <c r="H140" t="str">
        <f t="shared" si="4"/>
        <v>https://videplast.com.br/consulta-imobilizado?id=21000547&amp;nome=FRETE%20PARA%20TRANSPORTE%20DE%209%20VENTILADORES</v>
      </c>
      <c r="I140" t="e">
        <f t="shared" ca="1" si="5"/>
        <v>#NAME?</v>
      </c>
    </row>
    <row r="141" spans="1:9" x14ac:dyDescent="0.25">
      <c r="A141" s="2" t="s">
        <v>223</v>
      </c>
      <c r="B141" s="2" t="s">
        <v>10</v>
      </c>
      <c r="C141" s="3">
        <v>39545</v>
      </c>
      <c r="D141" t="s">
        <v>224</v>
      </c>
      <c r="E141" s="2" t="s">
        <v>12</v>
      </c>
      <c r="F141" s="2" t="s">
        <v>12</v>
      </c>
      <c r="G141" t="s">
        <v>16</v>
      </c>
      <c r="H141" t="str">
        <f t="shared" si="4"/>
        <v>https://videplast.com.br/consulta-imobilizado?id=21000548&amp;nome=DE%20SERVICO%20DE%20FRETE%20P/TRANSPORTE%20DE%201%20ANEL%20DE%20AR</v>
      </c>
      <c r="I141" t="e">
        <f t="shared" ca="1" si="5"/>
        <v>#NAME?</v>
      </c>
    </row>
    <row r="142" spans="1:9" x14ac:dyDescent="0.25">
      <c r="A142" s="2" t="s">
        <v>225</v>
      </c>
      <c r="B142" s="2" t="s">
        <v>10</v>
      </c>
      <c r="C142" s="3">
        <v>39545</v>
      </c>
      <c r="D142" t="s">
        <v>226</v>
      </c>
      <c r="E142" s="2" t="s">
        <v>12</v>
      </c>
      <c r="F142" s="2" t="s">
        <v>12</v>
      </c>
      <c r="G142" t="s">
        <v>16</v>
      </c>
      <c r="H142" t="str">
        <f t="shared" si="4"/>
        <v>https://videplast.com.br/consulta-imobilizado?id=21000549&amp;nome=ANEL%20DE%20AR%20CP56%20E%20JOGO%20DE%20REDUCAO</v>
      </c>
      <c r="I142" t="e">
        <f t="shared" ca="1" si="5"/>
        <v>#NAME?</v>
      </c>
    </row>
    <row r="143" spans="1:9" x14ac:dyDescent="0.25">
      <c r="A143" s="2" t="s">
        <v>227</v>
      </c>
      <c r="B143" s="2" t="s">
        <v>10</v>
      </c>
      <c r="C143" s="3">
        <v>39574</v>
      </c>
      <c r="D143" t="s">
        <v>228</v>
      </c>
      <c r="E143" s="2" t="s">
        <v>12</v>
      </c>
      <c r="F143" s="2" t="s">
        <v>12</v>
      </c>
      <c r="G143" t="s">
        <v>16</v>
      </c>
      <c r="H143" t="str">
        <f t="shared" si="4"/>
        <v>https://videplast.com.br/consulta-imobilizado?id=21000554&amp;nome=MANIPULADOR%20DE%20BOBINAS%20UM%20BRACO%20BI%20ARTICULADO</v>
      </c>
      <c r="I143" t="e">
        <f t="shared" ca="1" si="5"/>
        <v>#NAME?</v>
      </c>
    </row>
    <row r="144" spans="1:9" x14ac:dyDescent="0.25">
      <c r="A144" s="2" t="s">
        <v>227</v>
      </c>
      <c r="B144" s="2" t="s">
        <v>26</v>
      </c>
      <c r="C144" s="3">
        <v>45498</v>
      </c>
      <c r="D144" t="s">
        <v>229</v>
      </c>
      <c r="E144" s="2" t="s">
        <v>12</v>
      </c>
      <c r="F144" s="2" t="s">
        <v>12</v>
      </c>
      <c r="G144" t="s">
        <v>16</v>
      </c>
      <c r="H144" t="str">
        <f t="shared" si="4"/>
        <v>https://videplast.com.br/consulta-imobilizado?id=21000554&amp;nome=FRETE%20MANIPULADOR%20DE%20BOB%20SENDO%20UM%20BC%20BI%20ARTIC</v>
      </c>
      <c r="I144" t="e">
        <f t="shared" ca="1" si="5"/>
        <v>#NAME?</v>
      </c>
    </row>
    <row r="145" spans="1:9" x14ac:dyDescent="0.25">
      <c r="A145" s="2" t="s">
        <v>230</v>
      </c>
      <c r="B145" s="2" t="s">
        <v>10</v>
      </c>
      <c r="C145" s="3">
        <v>39613</v>
      </c>
      <c r="D145" t="s">
        <v>231</v>
      </c>
      <c r="E145" s="2" t="s">
        <v>12</v>
      </c>
      <c r="F145" s="2" t="s">
        <v>12</v>
      </c>
      <c r="G145" t="s">
        <v>16</v>
      </c>
      <c r="H145" t="str">
        <f t="shared" si="4"/>
        <v>https://videplast.com.br/consulta-imobilizado?id=21000565&amp;nome=TROCADOR%20DE%20CALOR%20REFRISAT%20TC%2030</v>
      </c>
      <c r="I145" t="e">
        <f t="shared" ca="1" si="5"/>
        <v>#NAME?</v>
      </c>
    </row>
    <row r="146" spans="1:9" x14ac:dyDescent="0.25">
      <c r="A146" s="2" t="s">
        <v>232</v>
      </c>
      <c r="B146" s="2" t="s">
        <v>10</v>
      </c>
      <c r="C146" s="3">
        <v>39629</v>
      </c>
      <c r="D146" t="s">
        <v>233</v>
      </c>
      <c r="E146" s="2" t="s">
        <v>12</v>
      </c>
      <c r="F146" s="2" t="s">
        <v>12</v>
      </c>
      <c r="G146" t="s">
        <v>16</v>
      </c>
      <c r="H146" t="str">
        <f t="shared" si="4"/>
        <v>https://videplast.com.br/consulta-imobilizado?id=21000567&amp;nome=BALANCA%20TRENTIN%20BT%200007%20150KG%2075,5X60,5</v>
      </c>
      <c r="I146" t="e">
        <f t="shared" ca="1" si="5"/>
        <v>#NAME?</v>
      </c>
    </row>
    <row r="147" spans="1:9" x14ac:dyDescent="0.25">
      <c r="A147" s="2" t="s">
        <v>234</v>
      </c>
      <c r="B147" s="2" t="s">
        <v>10</v>
      </c>
      <c r="C147" s="3">
        <v>39714</v>
      </c>
      <c r="D147" t="s">
        <v>235</v>
      </c>
      <c r="E147" s="2" t="s">
        <v>12</v>
      </c>
      <c r="F147" s="2" t="s">
        <v>12</v>
      </c>
      <c r="G147" t="s">
        <v>16</v>
      </c>
      <c r="H147" t="str">
        <f t="shared" si="4"/>
        <v>https://videplast.com.br/consulta-imobilizado?id=21000577&amp;nome=MAQUINA%20APLICADORA%20DE%20FITA%20GOMADA%20LYKLOP%20UNI-99-2</v>
      </c>
      <c r="I147" t="e">
        <f t="shared" ca="1" si="5"/>
        <v>#NAME?</v>
      </c>
    </row>
    <row r="148" spans="1:9" x14ac:dyDescent="0.25">
      <c r="A148" s="2" t="s">
        <v>236</v>
      </c>
      <c r="B148" s="2" t="s">
        <v>10</v>
      </c>
      <c r="C148" s="3">
        <v>39752</v>
      </c>
      <c r="D148" t="s">
        <v>237</v>
      </c>
      <c r="E148" s="2" t="s">
        <v>12</v>
      </c>
      <c r="F148" s="2" t="s">
        <v>12</v>
      </c>
      <c r="G148" t="s">
        <v>16</v>
      </c>
      <c r="H148" t="str">
        <f t="shared" si="4"/>
        <v>https://videplast.com.br/consulta-imobilizado?id=21000580&amp;nome=ROLO%20BANANA%20P/O%20SETOR%20DE%20EXTRUSAO%20DA%20FABRICA</v>
      </c>
      <c r="I148" t="e">
        <f t="shared" ca="1" si="5"/>
        <v>#NAME?</v>
      </c>
    </row>
    <row r="149" spans="1:9" x14ac:dyDescent="0.25">
      <c r="A149" s="2" t="s">
        <v>236</v>
      </c>
      <c r="B149" s="2" t="s">
        <v>26</v>
      </c>
      <c r="C149" s="3">
        <v>45498</v>
      </c>
      <c r="D149" t="s">
        <v>238</v>
      </c>
      <c r="E149" s="2" t="s">
        <v>12</v>
      </c>
      <c r="F149" s="2" t="s">
        <v>12</v>
      </c>
      <c r="G149" t="s">
        <v>16</v>
      </c>
      <c r="H149" t="str">
        <f t="shared" si="4"/>
        <v>https://videplast.com.br/consulta-imobilizado?id=21000580&amp;nome=FRETE%20P/%20TRANSPORTE%20DE%202%20ROLO%20BANANA</v>
      </c>
      <c r="I149" t="e">
        <f t="shared" ca="1" si="5"/>
        <v>#NAME?</v>
      </c>
    </row>
    <row r="150" spans="1:9" x14ac:dyDescent="0.25">
      <c r="A150" s="2" t="s">
        <v>239</v>
      </c>
      <c r="B150" s="2" t="s">
        <v>10</v>
      </c>
      <c r="C150" s="3">
        <v>39763</v>
      </c>
      <c r="D150" t="s">
        <v>240</v>
      </c>
      <c r="E150" s="2" t="s">
        <v>12</v>
      </c>
      <c r="F150" s="2" t="s">
        <v>12</v>
      </c>
      <c r="G150" t="s">
        <v>16</v>
      </c>
      <c r="H150" t="str">
        <f t="shared" si="4"/>
        <v>https://videplast.com.br/consulta-imobilizado?id=21000581&amp;nome=VENTILADOR%20DE%20EXTRUSAO</v>
      </c>
      <c r="I150" t="e">
        <f t="shared" ca="1" si="5"/>
        <v>#NAME?</v>
      </c>
    </row>
    <row r="151" spans="1:9" x14ac:dyDescent="0.25">
      <c r="A151" s="2" t="s">
        <v>239</v>
      </c>
      <c r="B151" s="2" t="s">
        <v>26</v>
      </c>
      <c r="C151" s="3">
        <v>39763</v>
      </c>
      <c r="D151" t="s">
        <v>240</v>
      </c>
      <c r="E151" s="2" t="s">
        <v>12</v>
      </c>
      <c r="F151" s="2" t="s">
        <v>12</v>
      </c>
      <c r="G151" t="s">
        <v>16</v>
      </c>
      <c r="H151" t="str">
        <f t="shared" si="4"/>
        <v>https://videplast.com.br/consulta-imobilizado?id=21000581&amp;nome=VENTILADOR%20DE%20EXTRUSAO</v>
      </c>
      <c r="I151" t="e">
        <f t="shared" ca="1" si="5"/>
        <v>#NAME?</v>
      </c>
    </row>
    <row r="152" spans="1:9" x14ac:dyDescent="0.25">
      <c r="A152" s="2" t="s">
        <v>239</v>
      </c>
      <c r="B152" s="2" t="s">
        <v>21</v>
      </c>
      <c r="C152" s="3">
        <v>39763</v>
      </c>
      <c r="D152" t="s">
        <v>240</v>
      </c>
      <c r="E152" s="2" t="s">
        <v>12</v>
      </c>
      <c r="F152" s="2" t="s">
        <v>12</v>
      </c>
      <c r="G152" t="s">
        <v>16</v>
      </c>
      <c r="H152" t="str">
        <f t="shared" si="4"/>
        <v>https://videplast.com.br/consulta-imobilizado?id=21000581&amp;nome=VENTILADOR%20DE%20EXTRUSAO</v>
      </c>
      <c r="I152" t="e">
        <f t="shared" ca="1" si="5"/>
        <v>#NAME?</v>
      </c>
    </row>
    <row r="153" spans="1:9" x14ac:dyDescent="0.25">
      <c r="A153" s="2" t="s">
        <v>239</v>
      </c>
      <c r="B153" s="2" t="s">
        <v>29</v>
      </c>
      <c r="C153" s="3">
        <v>39763</v>
      </c>
      <c r="D153" t="s">
        <v>240</v>
      </c>
      <c r="E153" s="2" t="s">
        <v>12</v>
      </c>
      <c r="F153" s="2" t="s">
        <v>12</v>
      </c>
      <c r="G153" t="s">
        <v>16</v>
      </c>
      <c r="H153" t="str">
        <f t="shared" si="4"/>
        <v>https://videplast.com.br/consulta-imobilizado?id=21000581&amp;nome=VENTILADOR%20DE%20EXTRUSAO</v>
      </c>
      <c r="I153" t="e">
        <f t="shared" ca="1" si="5"/>
        <v>#NAME?</v>
      </c>
    </row>
    <row r="154" spans="1:9" x14ac:dyDescent="0.25">
      <c r="A154" s="2" t="s">
        <v>239</v>
      </c>
      <c r="B154" s="2" t="s">
        <v>31</v>
      </c>
      <c r="C154" s="3">
        <v>39763</v>
      </c>
      <c r="D154" t="s">
        <v>240</v>
      </c>
      <c r="E154" s="2" t="s">
        <v>12</v>
      </c>
      <c r="F154" s="2" t="s">
        <v>12</v>
      </c>
      <c r="G154" t="s">
        <v>16</v>
      </c>
      <c r="H154" t="str">
        <f t="shared" si="4"/>
        <v>https://videplast.com.br/consulta-imobilizado?id=21000581&amp;nome=VENTILADOR%20DE%20EXTRUSAO</v>
      </c>
      <c r="I154" t="e">
        <f t="shared" ca="1" si="5"/>
        <v>#NAME?</v>
      </c>
    </row>
    <row r="155" spans="1:9" x14ac:dyDescent="0.25">
      <c r="A155" s="2" t="s">
        <v>239</v>
      </c>
      <c r="B155" s="2" t="s">
        <v>33</v>
      </c>
      <c r="C155" s="3">
        <v>39763</v>
      </c>
      <c r="D155" t="s">
        <v>240</v>
      </c>
      <c r="E155" s="2" t="s">
        <v>12</v>
      </c>
      <c r="F155" s="2" t="s">
        <v>12</v>
      </c>
      <c r="G155" t="s">
        <v>16</v>
      </c>
      <c r="H155" t="str">
        <f t="shared" si="4"/>
        <v>https://videplast.com.br/consulta-imobilizado?id=21000581&amp;nome=VENTILADOR%20DE%20EXTRUSAO</v>
      </c>
      <c r="I155" t="e">
        <f t="shared" ca="1" si="5"/>
        <v>#NAME?</v>
      </c>
    </row>
    <row r="156" spans="1:9" x14ac:dyDescent="0.25">
      <c r="A156" s="2" t="s">
        <v>239</v>
      </c>
      <c r="B156" s="2" t="s">
        <v>35</v>
      </c>
      <c r="C156" s="3">
        <v>39763</v>
      </c>
      <c r="D156" t="s">
        <v>240</v>
      </c>
      <c r="E156" s="2" t="s">
        <v>12</v>
      </c>
      <c r="F156" s="2" t="s">
        <v>12</v>
      </c>
      <c r="G156" t="s">
        <v>16</v>
      </c>
      <c r="H156" t="str">
        <f t="shared" si="4"/>
        <v>https://videplast.com.br/consulta-imobilizado?id=21000581&amp;nome=VENTILADOR%20DE%20EXTRUSAO</v>
      </c>
      <c r="I156" t="e">
        <f t="shared" ca="1" si="5"/>
        <v>#NAME?</v>
      </c>
    </row>
    <row r="157" spans="1:9" x14ac:dyDescent="0.25">
      <c r="A157" s="2" t="s">
        <v>239</v>
      </c>
      <c r="B157" s="2" t="s">
        <v>37</v>
      </c>
      <c r="C157" s="3">
        <v>39763</v>
      </c>
      <c r="D157" t="s">
        <v>240</v>
      </c>
      <c r="E157" s="2" t="s">
        <v>12</v>
      </c>
      <c r="F157" s="2" t="s">
        <v>12</v>
      </c>
      <c r="G157" t="s">
        <v>16</v>
      </c>
      <c r="H157" t="str">
        <f t="shared" si="4"/>
        <v>https://videplast.com.br/consulta-imobilizado?id=21000581&amp;nome=VENTILADOR%20DE%20EXTRUSAO</v>
      </c>
      <c r="I157" t="e">
        <f t="shared" ca="1" si="5"/>
        <v>#NAME?</v>
      </c>
    </row>
    <row r="158" spans="1:9" x14ac:dyDescent="0.25">
      <c r="A158" s="2" t="s">
        <v>239</v>
      </c>
      <c r="B158" s="2" t="s">
        <v>39</v>
      </c>
      <c r="C158" s="3">
        <v>39763</v>
      </c>
      <c r="D158" t="s">
        <v>240</v>
      </c>
      <c r="E158" s="2" t="s">
        <v>12</v>
      </c>
      <c r="F158" s="2" t="s">
        <v>12</v>
      </c>
      <c r="G158" t="s">
        <v>16</v>
      </c>
      <c r="H158" t="str">
        <f t="shared" si="4"/>
        <v>https://videplast.com.br/consulta-imobilizado?id=21000581&amp;nome=VENTILADOR%20DE%20EXTRUSAO</v>
      </c>
      <c r="I158" t="e">
        <f t="shared" ca="1" si="5"/>
        <v>#NAME?</v>
      </c>
    </row>
    <row r="159" spans="1:9" x14ac:dyDescent="0.25">
      <c r="A159" s="2" t="s">
        <v>239</v>
      </c>
      <c r="B159" s="2" t="s">
        <v>126</v>
      </c>
      <c r="C159" s="3">
        <v>39763</v>
      </c>
      <c r="D159" t="s">
        <v>240</v>
      </c>
      <c r="E159" s="2" t="s">
        <v>12</v>
      </c>
      <c r="F159" s="2" t="s">
        <v>12</v>
      </c>
      <c r="G159" t="s">
        <v>16</v>
      </c>
      <c r="H159" t="str">
        <f t="shared" si="4"/>
        <v>https://videplast.com.br/consulta-imobilizado?id=21000581&amp;nome=VENTILADOR%20DE%20EXTRUSAO</v>
      </c>
      <c r="I159" t="e">
        <f t="shared" ca="1" si="5"/>
        <v>#NAME?</v>
      </c>
    </row>
    <row r="160" spans="1:9" x14ac:dyDescent="0.25">
      <c r="A160" s="2" t="s">
        <v>241</v>
      </c>
      <c r="B160" s="2" t="s">
        <v>10</v>
      </c>
      <c r="C160" s="3">
        <v>39773</v>
      </c>
      <c r="D160" t="s">
        <v>242</v>
      </c>
      <c r="E160" s="2" t="s">
        <v>12</v>
      </c>
      <c r="F160" s="2" t="s">
        <v>12</v>
      </c>
      <c r="G160" t="s">
        <v>16</v>
      </c>
      <c r="H160" t="str">
        <f t="shared" si="4"/>
        <v>https://videplast.com.br/consulta-imobilizado?id=21000582&amp;nome=AGLUTINADOR%20MOTOR%2075CV%20COM%20QUADRO%20DE%20COMANDO</v>
      </c>
      <c r="I160" t="e">
        <f t="shared" ca="1" si="5"/>
        <v>#NAME?</v>
      </c>
    </row>
    <row r="161" spans="1:9" x14ac:dyDescent="0.25">
      <c r="A161" s="2" t="s">
        <v>243</v>
      </c>
      <c r="B161" s="2" t="s">
        <v>10</v>
      </c>
      <c r="C161" s="3">
        <v>39782</v>
      </c>
      <c r="D161" t="s">
        <v>244</v>
      </c>
      <c r="E161" s="2" t="s">
        <v>12</v>
      </c>
      <c r="F161" s="2" t="s">
        <v>12</v>
      </c>
      <c r="G161" t="s">
        <v>16</v>
      </c>
      <c r="H161" t="str">
        <f t="shared" si="4"/>
        <v>https://videplast.com.br/consulta-imobilizado?id=21000583&amp;nome=2%20CAIXA%20ELETRICA%20TAUNUS%20COD%20EE482%20X800X400%20MM</v>
      </c>
      <c r="I161" t="e">
        <f t="shared" ca="1" si="5"/>
        <v>#NAME?</v>
      </c>
    </row>
    <row r="162" spans="1:9" x14ac:dyDescent="0.25">
      <c r="A162" s="2" t="s">
        <v>245</v>
      </c>
      <c r="B162" s="2" t="s">
        <v>10</v>
      </c>
      <c r="C162" s="3">
        <v>39805</v>
      </c>
      <c r="D162" t="s">
        <v>246</v>
      </c>
      <c r="E162" s="2" t="s">
        <v>12</v>
      </c>
      <c r="F162" s="2" t="s">
        <v>12</v>
      </c>
      <c r="G162" t="s">
        <v>16</v>
      </c>
      <c r="H162" t="str">
        <f t="shared" si="4"/>
        <v>https://videplast.com.br/consulta-imobilizado?id=21000587&amp;nome=INVERSOR%20DE%20FREQUENCIA</v>
      </c>
      <c r="I162" t="e">
        <f t="shared" ca="1" si="5"/>
        <v>#NAME?</v>
      </c>
    </row>
    <row r="163" spans="1:9" x14ac:dyDescent="0.25">
      <c r="A163" s="2" t="s">
        <v>247</v>
      </c>
      <c r="B163" s="2" t="s">
        <v>10</v>
      </c>
      <c r="C163" s="3">
        <v>39979</v>
      </c>
      <c r="D163" t="s">
        <v>248</v>
      </c>
      <c r="E163" s="2" t="s">
        <v>12</v>
      </c>
      <c r="F163" s="2" t="s">
        <v>12</v>
      </c>
      <c r="G163" t="s">
        <v>16</v>
      </c>
      <c r="H163" t="str">
        <f t="shared" si="4"/>
        <v>https://videplast.com.br/consulta-imobilizado?id=21000600&amp;nome=INVERSOR%20CFW</v>
      </c>
      <c r="I163" t="e">
        <f t="shared" ca="1" si="5"/>
        <v>#NAME?</v>
      </c>
    </row>
    <row r="164" spans="1:9" x14ac:dyDescent="0.25">
      <c r="A164" s="2" t="s">
        <v>249</v>
      </c>
      <c r="B164" s="2" t="s">
        <v>10</v>
      </c>
      <c r="C164" s="3">
        <v>40051</v>
      </c>
      <c r="D164" t="s">
        <v>250</v>
      </c>
      <c r="E164" s="2" t="s">
        <v>12</v>
      </c>
      <c r="F164" s="2" t="s">
        <v>12</v>
      </c>
      <c r="G164" t="s">
        <v>16</v>
      </c>
      <c r="H164" t="str">
        <f t="shared" si="4"/>
        <v>https://videplast.com.br/consulta-imobilizado?id=21000603&amp;nome=MOTOR%20SIEMENS%20TRIFASICO%2075%20CV%204%20P.%20AUTO%20RENDIMENTO</v>
      </c>
      <c r="I164" t="e">
        <f t="shared" ca="1" si="5"/>
        <v>#NAME?</v>
      </c>
    </row>
    <row r="165" spans="1:9" x14ac:dyDescent="0.25">
      <c r="A165" s="2" t="s">
        <v>251</v>
      </c>
      <c r="B165" s="2" t="s">
        <v>10</v>
      </c>
      <c r="C165" s="3">
        <v>40206</v>
      </c>
      <c r="D165" t="s">
        <v>252</v>
      </c>
      <c r="E165" s="2" t="s">
        <v>12</v>
      </c>
      <c r="F165" s="2" t="s">
        <v>12</v>
      </c>
      <c r="G165" t="s">
        <v>16</v>
      </c>
      <c r="H165" t="str">
        <f t="shared" si="4"/>
        <v>https://videplast.com.br/consulta-imobilizado?id=21000610&amp;nome=IMPRESSOR%20TERMICO%20TP-80%20B</v>
      </c>
      <c r="I165" t="e">
        <f t="shared" ca="1" si="5"/>
        <v>#NAME?</v>
      </c>
    </row>
    <row r="166" spans="1:9" x14ac:dyDescent="0.25">
      <c r="A166" s="2" t="s">
        <v>253</v>
      </c>
      <c r="B166" s="2" t="s">
        <v>26</v>
      </c>
      <c r="C166" s="3">
        <v>40390</v>
      </c>
      <c r="D166" t="s">
        <v>254</v>
      </c>
      <c r="E166" s="2" t="s">
        <v>12</v>
      </c>
      <c r="F166" s="2" t="s">
        <v>12</v>
      </c>
      <c r="G166" t="s">
        <v>16</v>
      </c>
      <c r="H166" t="str">
        <f t="shared" si="4"/>
        <v>https://videplast.com.br/consulta-imobilizado?id=21000616&amp;nome=ALONGADOR%20DE%20GARFO%20P/%20EMPILHADEIRA</v>
      </c>
      <c r="I166" t="e">
        <f t="shared" ca="1" si="5"/>
        <v>#NAME?</v>
      </c>
    </row>
    <row r="167" spans="1:9" x14ac:dyDescent="0.25">
      <c r="A167" s="2" t="s">
        <v>253</v>
      </c>
      <c r="B167" s="2" t="s">
        <v>21</v>
      </c>
      <c r="C167" s="3">
        <v>40390</v>
      </c>
      <c r="D167" t="s">
        <v>255</v>
      </c>
      <c r="E167" s="2" t="s">
        <v>12</v>
      </c>
      <c r="F167" s="2" t="s">
        <v>12</v>
      </c>
      <c r="G167" t="s">
        <v>16</v>
      </c>
      <c r="H167" t="str">
        <f t="shared" si="4"/>
        <v>https://videplast.com.br/consulta-imobilizado?id=21000616&amp;nome=FRETE%20REFEERENTE%20DO%20ALONGADOR%20DE%20GARFO</v>
      </c>
      <c r="I167" t="e">
        <f t="shared" ca="1" si="5"/>
        <v>#NAME?</v>
      </c>
    </row>
    <row r="168" spans="1:9" x14ac:dyDescent="0.25">
      <c r="A168" s="2" t="s">
        <v>253</v>
      </c>
      <c r="B168" s="2" t="s">
        <v>29</v>
      </c>
      <c r="C168" s="3">
        <v>40512</v>
      </c>
      <c r="D168" t="s">
        <v>256</v>
      </c>
      <c r="E168" s="2" t="s">
        <v>12</v>
      </c>
      <c r="F168" s="2" t="s">
        <v>12</v>
      </c>
      <c r="G168" t="s">
        <v>16</v>
      </c>
      <c r="H168" t="str">
        <f t="shared" si="4"/>
        <v>https://videplast.com.br/consulta-imobilizado?id=21000616&amp;nome=MATERIAIS%20P/REVISAO%20DE%20EMPILHADEIRA</v>
      </c>
      <c r="I168" t="e">
        <f t="shared" ca="1" si="5"/>
        <v>#NAME?</v>
      </c>
    </row>
    <row r="169" spans="1:9" x14ac:dyDescent="0.25">
      <c r="A169" s="2" t="s">
        <v>253</v>
      </c>
      <c r="B169" s="2" t="s">
        <v>31</v>
      </c>
      <c r="C169" s="3">
        <v>40512</v>
      </c>
      <c r="D169" t="s">
        <v>256</v>
      </c>
      <c r="E169" s="2" t="s">
        <v>12</v>
      </c>
      <c r="F169" s="2" t="s">
        <v>12</v>
      </c>
      <c r="G169" t="s">
        <v>16</v>
      </c>
      <c r="H169" t="str">
        <f t="shared" si="4"/>
        <v>https://videplast.com.br/consulta-imobilizado?id=21000616&amp;nome=MATERIAIS%20P/REVISAO%20DE%20EMPILHADEIRA</v>
      </c>
      <c r="I169" t="e">
        <f t="shared" ca="1" si="5"/>
        <v>#NAME?</v>
      </c>
    </row>
    <row r="170" spans="1:9" x14ac:dyDescent="0.25">
      <c r="A170" s="2" t="s">
        <v>253</v>
      </c>
      <c r="B170" s="2" t="s">
        <v>33</v>
      </c>
      <c r="C170" s="3">
        <v>40512</v>
      </c>
      <c r="D170" t="s">
        <v>257</v>
      </c>
      <c r="E170" s="2" t="s">
        <v>12</v>
      </c>
      <c r="F170" s="2" t="s">
        <v>12</v>
      </c>
      <c r="G170" t="s">
        <v>16</v>
      </c>
      <c r="H170" t="str">
        <f t="shared" si="4"/>
        <v>https://videplast.com.br/consulta-imobilizado?id=21000616&amp;nome=SERVICOS%20REF%20REVISAO%20E%20MANUTENCAO%20DA%20EMPILHADEIRA</v>
      </c>
      <c r="I170" t="e">
        <f t="shared" ca="1" si="5"/>
        <v>#NAME?</v>
      </c>
    </row>
    <row r="171" spans="1:9" x14ac:dyDescent="0.25">
      <c r="A171" s="2" t="s">
        <v>258</v>
      </c>
      <c r="B171" s="2" t="s">
        <v>10</v>
      </c>
      <c r="C171" s="3">
        <v>40359</v>
      </c>
      <c r="D171" t="s">
        <v>259</v>
      </c>
      <c r="E171" s="2" t="s">
        <v>12</v>
      </c>
      <c r="F171" s="2" t="s">
        <v>12</v>
      </c>
      <c r="G171" t="s">
        <v>16</v>
      </c>
      <c r="H171" t="str">
        <f t="shared" si="4"/>
        <v>https://videplast.com.br/consulta-imobilizado?id=21000630&amp;nome=EQUIP.%20TRATAMENTO%20CORONA%20EM%20SUPERFICIE%20PLASTICA</v>
      </c>
      <c r="I171" t="e">
        <f t="shared" ca="1" si="5"/>
        <v>#NAME?</v>
      </c>
    </row>
    <row r="172" spans="1:9" x14ac:dyDescent="0.25">
      <c r="A172" s="2" t="s">
        <v>260</v>
      </c>
      <c r="B172" s="2" t="s">
        <v>10</v>
      </c>
      <c r="C172" s="3">
        <v>40359</v>
      </c>
      <c r="D172" t="s">
        <v>259</v>
      </c>
      <c r="E172" s="2" t="s">
        <v>12</v>
      </c>
      <c r="F172" s="2" t="s">
        <v>12</v>
      </c>
      <c r="G172" t="s">
        <v>16</v>
      </c>
      <c r="H172" t="str">
        <f t="shared" si="4"/>
        <v>https://videplast.com.br/consulta-imobilizado?id=21000631&amp;nome=EQUIP.%20TRATAMENTO%20CORONA%20EM%20SUPERFICIE%20PLASTICA</v>
      </c>
      <c r="I172" t="e">
        <f t="shared" ca="1" si="5"/>
        <v>#NAME?</v>
      </c>
    </row>
    <row r="173" spans="1:9" x14ac:dyDescent="0.25">
      <c r="A173" s="2" t="s">
        <v>261</v>
      </c>
      <c r="B173" s="2" t="s">
        <v>10</v>
      </c>
      <c r="C173" s="3">
        <v>40390</v>
      </c>
      <c r="D173" t="s">
        <v>262</v>
      </c>
      <c r="E173" s="2" t="s">
        <v>12</v>
      </c>
      <c r="F173" s="2" t="s">
        <v>12</v>
      </c>
      <c r="G173" t="s">
        <v>16</v>
      </c>
      <c r="H173" t="str">
        <f t="shared" si="4"/>
        <v>https://videplast.com.br/consulta-imobilizado?id=21000641&amp;nome=DE%20UM%20PAINEL%20DESMONTAVEL,%20UMA%20PLACA%20DE%20MONTAGEM,</v>
      </c>
      <c r="I173" t="e">
        <f t="shared" ca="1" si="5"/>
        <v>#NAME?</v>
      </c>
    </row>
    <row r="174" spans="1:9" x14ac:dyDescent="0.25">
      <c r="A174" s="2" t="s">
        <v>263</v>
      </c>
      <c r="B174" s="2" t="s">
        <v>10</v>
      </c>
      <c r="C174" s="3">
        <v>40421</v>
      </c>
      <c r="D174" t="s">
        <v>264</v>
      </c>
      <c r="E174" s="2" t="s">
        <v>12</v>
      </c>
      <c r="F174" s="2" t="s">
        <v>12</v>
      </c>
      <c r="G174" t="s">
        <v>16</v>
      </c>
      <c r="H174" t="str">
        <f t="shared" si="4"/>
        <v>https://videplast.com.br/consulta-imobilizado?id=21000643&amp;nome=LONGARINAS%202500MM%20LARANJA%20ESTRUTURA%20PORTAPALLET</v>
      </c>
      <c r="I174" t="e">
        <f t="shared" ca="1" si="5"/>
        <v>#NAME?</v>
      </c>
    </row>
    <row r="175" spans="1:9" x14ac:dyDescent="0.25">
      <c r="A175" s="2" t="s">
        <v>265</v>
      </c>
      <c r="B175" s="2" t="s">
        <v>10</v>
      </c>
      <c r="C175" s="3">
        <v>36738</v>
      </c>
      <c r="D175" t="s">
        <v>266</v>
      </c>
      <c r="E175" s="2" t="s">
        <v>12</v>
      </c>
      <c r="F175" s="2" t="s">
        <v>12</v>
      </c>
      <c r="G175" t="s">
        <v>16</v>
      </c>
      <c r="H175" t="str">
        <f t="shared" si="4"/>
        <v>https://videplast.com.br/consulta-imobilizado?id=21000669&amp;nome=TORRE%20DE%20RESFRIAMENTO%20DE%20AGUA%20HA%2015/9</v>
      </c>
      <c r="I175" t="e">
        <f t="shared" ca="1" si="5"/>
        <v>#NAME?</v>
      </c>
    </row>
    <row r="176" spans="1:9" x14ac:dyDescent="0.25">
      <c r="A176" s="2" t="s">
        <v>267</v>
      </c>
      <c r="B176" s="2" t="s">
        <v>10</v>
      </c>
      <c r="C176" s="3">
        <v>36685</v>
      </c>
      <c r="D176" t="s">
        <v>268</v>
      </c>
      <c r="E176" s="2" t="s">
        <v>12</v>
      </c>
      <c r="F176" s="2" t="s">
        <v>12</v>
      </c>
      <c r="G176" t="s">
        <v>16</v>
      </c>
      <c r="H176" t="str">
        <f t="shared" si="4"/>
        <v>https://videplast.com.br/consulta-imobilizado?id=21000670&amp;nome=EMPILHADEIRA%20MANUAL%20TRANSLIFT%20400%20KG</v>
      </c>
      <c r="I176" t="e">
        <f t="shared" ca="1" si="5"/>
        <v>#NAME?</v>
      </c>
    </row>
    <row r="177" spans="1:9" x14ac:dyDescent="0.25">
      <c r="A177" s="2" t="s">
        <v>269</v>
      </c>
      <c r="B177" s="2" t="s">
        <v>10</v>
      </c>
      <c r="C177" s="3">
        <v>37131</v>
      </c>
      <c r="D177" t="s">
        <v>270</v>
      </c>
      <c r="E177" s="2" t="s">
        <v>12</v>
      </c>
      <c r="F177" s="2" t="s">
        <v>12</v>
      </c>
      <c r="G177" t="s">
        <v>16</v>
      </c>
      <c r="H177" t="str">
        <f t="shared" si="4"/>
        <v>https://videplast.com.br/consulta-imobilizado?id=21000679&amp;nome=CILINDRO%20EXTRUSOR%20CARNEVALLI</v>
      </c>
      <c r="I177" t="e">
        <f t="shared" ca="1" si="5"/>
        <v>#NAME?</v>
      </c>
    </row>
    <row r="178" spans="1:9" x14ac:dyDescent="0.25">
      <c r="A178" s="2" t="s">
        <v>271</v>
      </c>
      <c r="B178" s="2" t="s">
        <v>10</v>
      </c>
      <c r="C178" s="3">
        <v>37140</v>
      </c>
      <c r="D178" t="s">
        <v>272</v>
      </c>
      <c r="E178" s="2" t="s">
        <v>12</v>
      </c>
      <c r="F178" s="2" t="s">
        <v>12</v>
      </c>
      <c r="G178" t="s">
        <v>16</v>
      </c>
      <c r="H178" t="str">
        <f t="shared" si="4"/>
        <v>https://videplast.com.br/consulta-imobilizado?id=21000680&amp;nome=MATRIZ%20D%20250%20COM%20ACOPLAMENTO%20CRUZETA%20100MM</v>
      </c>
      <c r="I178" t="e">
        <f t="shared" ca="1" si="5"/>
        <v>#NAME?</v>
      </c>
    </row>
    <row r="179" spans="1:9" x14ac:dyDescent="0.25">
      <c r="A179" s="2" t="s">
        <v>273</v>
      </c>
      <c r="B179" s="2" t="s">
        <v>10</v>
      </c>
      <c r="C179" s="3">
        <v>37140</v>
      </c>
      <c r="D179" t="s">
        <v>274</v>
      </c>
      <c r="E179" s="2" t="s">
        <v>12</v>
      </c>
      <c r="F179" s="2" t="s">
        <v>12</v>
      </c>
      <c r="G179" t="s">
        <v>16</v>
      </c>
      <c r="H179" t="str">
        <f t="shared" si="4"/>
        <v>https://videplast.com.br/consulta-imobilizado?id=21000681&amp;nome=ROSCA%20D.2.1/2%20PEAD</v>
      </c>
      <c r="I179" t="e">
        <f t="shared" ca="1" si="5"/>
        <v>#NAME?</v>
      </c>
    </row>
    <row r="180" spans="1:9" x14ac:dyDescent="0.25">
      <c r="A180" s="2" t="s">
        <v>275</v>
      </c>
      <c r="B180" s="2" t="s">
        <v>10</v>
      </c>
      <c r="C180" s="3">
        <v>37140</v>
      </c>
      <c r="D180" t="s">
        <v>276</v>
      </c>
      <c r="E180" s="2" t="s">
        <v>12</v>
      </c>
      <c r="F180" s="2" t="s">
        <v>12</v>
      </c>
      <c r="G180" t="s">
        <v>16</v>
      </c>
      <c r="H180" t="str">
        <f t="shared" si="4"/>
        <v>https://videplast.com.br/consulta-imobilizado?id=21000682&amp;nome=ROLO%20BANANA%202100%20RULLI%20STANDARD</v>
      </c>
      <c r="I180" t="e">
        <f t="shared" ca="1" si="5"/>
        <v>#NAME?</v>
      </c>
    </row>
    <row r="181" spans="1:9" x14ac:dyDescent="0.25">
      <c r="A181" s="2" t="s">
        <v>277</v>
      </c>
      <c r="B181" s="2" t="s">
        <v>10</v>
      </c>
      <c r="C181" s="3">
        <v>37148</v>
      </c>
      <c r="D181" t="s">
        <v>278</v>
      </c>
      <c r="E181" s="2" t="s">
        <v>12</v>
      </c>
      <c r="F181" s="2" t="s">
        <v>12</v>
      </c>
      <c r="G181" t="s">
        <v>16</v>
      </c>
      <c r="H181" t="str">
        <f t="shared" si="4"/>
        <v>https://videplast.com.br/consulta-imobilizado?id=21000683&amp;nome=ROSCA%20COLMONOY%20PEAD%2075%20MM</v>
      </c>
      <c r="I181" t="e">
        <f t="shared" ca="1" si="5"/>
        <v>#NAME?</v>
      </c>
    </row>
    <row r="182" spans="1:9" x14ac:dyDescent="0.25">
      <c r="A182" s="2" t="s">
        <v>279</v>
      </c>
      <c r="B182" s="2" t="s">
        <v>10</v>
      </c>
      <c r="C182" s="3">
        <v>37680</v>
      </c>
      <c r="D182" t="s">
        <v>173</v>
      </c>
      <c r="E182" s="2" t="s">
        <v>12</v>
      </c>
      <c r="F182" s="2" t="s">
        <v>12</v>
      </c>
      <c r="G182" t="s">
        <v>16</v>
      </c>
      <c r="H182" t="str">
        <f t="shared" si="4"/>
        <v>https://videplast.com.br/consulta-imobilizado?id=21000685&amp;nome=MISTURADOR%20VERTICAL%20PEROZIN%20MP%20502</v>
      </c>
      <c r="I182" t="e">
        <f t="shared" ca="1" si="5"/>
        <v>#NAME?</v>
      </c>
    </row>
    <row r="183" spans="1:9" x14ac:dyDescent="0.25">
      <c r="A183" s="2" t="s">
        <v>280</v>
      </c>
      <c r="B183" s="2" t="s">
        <v>10</v>
      </c>
      <c r="C183" s="3">
        <v>37886</v>
      </c>
      <c r="D183" t="s">
        <v>281</v>
      </c>
      <c r="E183" s="2" t="s">
        <v>12</v>
      </c>
      <c r="F183" s="2" t="s">
        <v>12</v>
      </c>
      <c r="G183" t="s">
        <v>16</v>
      </c>
      <c r="H183" t="str">
        <f t="shared" si="4"/>
        <v>https://videplast.com.br/consulta-imobilizado?id=21000690&amp;nome=CABO%20BLINDADO%20AF-D%20PARA%20BALANCA</v>
      </c>
      <c r="I183" t="e">
        <f t="shared" ca="1" si="5"/>
        <v>#NAME?</v>
      </c>
    </row>
    <row r="184" spans="1:9" x14ac:dyDescent="0.25">
      <c r="A184" s="2" t="s">
        <v>282</v>
      </c>
      <c r="B184" s="2" t="s">
        <v>10</v>
      </c>
      <c r="C184" s="3">
        <v>37935</v>
      </c>
      <c r="D184" t="s">
        <v>283</v>
      </c>
      <c r="E184" s="2" t="s">
        <v>12</v>
      </c>
      <c r="F184" s="2" t="s">
        <v>12</v>
      </c>
      <c r="G184" t="s">
        <v>16</v>
      </c>
      <c r="H184" t="str">
        <f t="shared" si="4"/>
        <v>https://videplast.com.br/consulta-imobilizado?id=21000693&amp;nome=ELEVADOR%20AB%20200</v>
      </c>
      <c r="I184" t="e">
        <f t="shared" ca="1" si="5"/>
        <v>#NAME?</v>
      </c>
    </row>
    <row r="185" spans="1:9" x14ac:dyDescent="0.25">
      <c r="A185" s="2" t="s">
        <v>284</v>
      </c>
      <c r="B185" s="2" t="s">
        <v>10</v>
      </c>
      <c r="C185" s="3">
        <v>42265</v>
      </c>
      <c r="D185" t="s">
        <v>285</v>
      </c>
      <c r="E185" s="2" t="s">
        <v>12</v>
      </c>
      <c r="F185" s="2" t="s">
        <v>12</v>
      </c>
      <c r="G185" t="s">
        <v>16</v>
      </c>
      <c r="H185" t="str">
        <f t="shared" si="4"/>
        <v>https://videplast.com.br/consulta-imobilizado?id=21002155&amp;nome=CONJUNTO%20EXTRUSORA%20HGR%2090MM</v>
      </c>
      <c r="I185" t="e">
        <f t="shared" ca="1" si="5"/>
        <v>#NAME?</v>
      </c>
    </row>
    <row r="186" spans="1:9" x14ac:dyDescent="0.25">
      <c r="A186" s="2" t="s">
        <v>286</v>
      </c>
      <c r="B186" s="2" t="s">
        <v>10</v>
      </c>
      <c r="C186" s="3">
        <v>42125</v>
      </c>
      <c r="D186" t="s">
        <v>287</v>
      </c>
      <c r="E186" s="2" t="s">
        <v>12</v>
      </c>
      <c r="F186" s="2" t="s">
        <v>12</v>
      </c>
      <c r="G186" t="s">
        <v>16</v>
      </c>
      <c r="H186" t="str">
        <f t="shared" si="4"/>
        <v>https://videplast.com.br/consulta-imobilizado?id=21002323&amp;nome=BOBINADOR%20PARA%20EXTRUSÃO%20CONF%20NF%20DE%20TRANSF%201701</v>
      </c>
      <c r="I186" t="e">
        <f t="shared" ca="1" si="5"/>
        <v>#NAME?</v>
      </c>
    </row>
    <row r="187" spans="1:9" x14ac:dyDescent="0.25">
      <c r="A187" s="2" t="s">
        <v>288</v>
      </c>
      <c r="B187" s="2" t="s">
        <v>10</v>
      </c>
      <c r="C187" s="3">
        <v>42683</v>
      </c>
      <c r="D187" t="s">
        <v>289</v>
      </c>
      <c r="E187" s="2" t="s">
        <v>12</v>
      </c>
      <c r="F187" s="2" t="s">
        <v>12</v>
      </c>
      <c r="G187" t="s">
        <v>16</v>
      </c>
      <c r="H187" t="str">
        <f t="shared" si="4"/>
        <v>https://videplast.com.br/consulta-imobilizado?id=21002957&amp;nome=RECUPERADOR%20DE%20REFILE%20HGR</v>
      </c>
      <c r="I187" t="e">
        <f t="shared" ca="1" si="5"/>
        <v>#NAME?</v>
      </c>
    </row>
    <row r="188" spans="1:9" x14ac:dyDescent="0.25">
      <c r="A188" s="2" t="s">
        <v>290</v>
      </c>
      <c r="B188" s="2" t="s">
        <v>10</v>
      </c>
      <c r="C188" s="3">
        <v>42825</v>
      </c>
      <c r="D188" t="s">
        <v>291</v>
      </c>
      <c r="E188" s="2" t="s">
        <v>12</v>
      </c>
      <c r="F188" s="2" t="s">
        <v>12</v>
      </c>
      <c r="G188" t="s">
        <v>16</v>
      </c>
      <c r="H188" t="str">
        <f t="shared" si="4"/>
        <v>https://videplast.com.br/consulta-imobilizado?id=21003275&amp;nome=CARRO%20HIDRAULICO%20PALETRANS%20P/%20PALLET%20TM%203020%20RTN68</v>
      </c>
      <c r="I188" t="e">
        <f t="shared" ca="1" si="5"/>
        <v>#NAME?</v>
      </c>
    </row>
    <row r="189" spans="1:9" x14ac:dyDescent="0.25">
      <c r="A189" s="2" t="s">
        <v>292</v>
      </c>
      <c r="B189" s="2" t="s">
        <v>10</v>
      </c>
      <c r="C189" s="3">
        <v>42825</v>
      </c>
      <c r="D189" t="s">
        <v>291</v>
      </c>
      <c r="E189" s="2" t="s">
        <v>12</v>
      </c>
      <c r="F189" s="2" t="s">
        <v>12</v>
      </c>
      <c r="G189" t="s">
        <v>16</v>
      </c>
      <c r="H189" t="str">
        <f t="shared" si="4"/>
        <v>https://videplast.com.br/consulta-imobilizado?id=21003276&amp;nome=CARRO%20HIDRAULICO%20PALETRANS%20P/%20PALLET%20TM%203020%20RTN68</v>
      </c>
      <c r="I189" t="e">
        <f t="shared" ca="1" si="5"/>
        <v>#NAME?</v>
      </c>
    </row>
    <row r="190" spans="1:9" x14ac:dyDescent="0.25">
      <c r="A190" s="2" t="s">
        <v>293</v>
      </c>
      <c r="B190" s="2" t="s">
        <v>10</v>
      </c>
      <c r="C190" s="3">
        <v>43036</v>
      </c>
      <c r="D190" t="s">
        <v>294</v>
      </c>
      <c r="E190" s="2" t="s">
        <v>12</v>
      </c>
      <c r="F190" s="2" t="s">
        <v>12</v>
      </c>
      <c r="G190" t="s">
        <v>16</v>
      </c>
      <c r="H190" t="str">
        <f t="shared" si="4"/>
        <v>https://videplast.com.br/consulta-imobilizado?id=21003618&amp;nome=PONTE%20ROLANTE/TALHA%20P/%20CARREGAR%20BOBINAS</v>
      </c>
      <c r="I190" t="e">
        <f t="shared" ca="1" si="5"/>
        <v>#NAME?</v>
      </c>
    </row>
    <row r="191" spans="1:9" x14ac:dyDescent="0.25">
      <c r="A191" s="2" t="s">
        <v>295</v>
      </c>
      <c r="B191" s="2" t="s">
        <v>10</v>
      </c>
      <c r="C191" s="3">
        <v>43375</v>
      </c>
      <c r="D191" t="s">
        <v>296</v>
      </c>
      <c r="E191" s="2" t="s">
        <v>12</v>
      </c>
      <c r="F191" s="2" t="s">
        <v>12</v>
      </c>
      <c r="G191" t="s">
        <v>16</v>
      </c>
      <c r="H191" t="str">
        <f t="shared" si="4"/>
        <v>https://videplast.com.br/consulta-imobilizado?id=21004072&amp;nome=BALANCA%20ACO%20CARBONO%20BT%200011%201000%20KG</v>
      </c>
      <c r="I191" t="e">
        <f t="shared" ca="1" si="5"/>
        <v>#NAME?</v>
      </c>
    </row>
    <row r="192" spans="1:9" x14ac:dyDescent="0.25">
      <c r="A192" s="2" t="s">
        <v>297</v>
      </c>
      <c r="B192" s="2" t="s">
        <v>10</v>
      </c>
      <c r="C192" s="3">
        <v>43463</v>
      </c>
      <c r="D192" t="s">
        <v>298</v>
      </c>
      <c r="E192" s="2" t="s">
        <v>12</v>
      </c>
      <c r="F192" s="2" t="s">
        <v>12</v>
      </c>
      <c r="G192" t="s">
        <v>16</v>
      </c>
      <c r="H192" t="str">
        <f t="shared" si="4"/>
        <v>https://videplast.com.br/consulta-imobilizado?id=21004096&amp;nome=BALANCA%20TRENTIN%20BT-006%20CAP%20100KG</v>
      </c>
      <c r="I192" t="e">
        <f t="shared" ca="1" si="5"/>
        <v>#NAME?</v>
      </c>
    </row>
    <row r="193" spans="1:9" x14ac:dyDescent="0.25">
      <c r="A193" s="2" t="s">
        <v>299</v>
      </c>
      <c r="B193" s="2" t="s">
        <v>10</v>
      </c>
      <c r="C193" s="3">
        <v>43613</v>
      </c>
      <c r="D193" t="s">
        <v>300</v>
      </c>
      <c r="E193" s="2" t="s">
        <v>12</v>
      </c>
      <c r="F193" s="2" t="s">
        <v>12</v>
      </c>
      <c r="G193" t="s">
        <v>16</v>
      </c>
      <c r="H193" t="str">
        <f t="shared" si="4"/>
        <v>https://videplast.com.br/consulta-imobilizado?id=21004145&amp;nome=CONVERSOR%20MODELO%20MP-80%208.0KW%2016KWA%20+%20TRAFO%20A.T</v>
      </c>
      <c r="I193" t="e">
        <f t="shared" ca="1" si="5"/>
        <v>#NAME?</v>
      </c>
    </row>
    <row r="194" spans="1:9" x14ac:dyDescent="0.25">
      <c r="A194" s="2" t="s">
        <v>301</v>
      </c>
      <c r="B194" s="2" t="s">
        <v>10</v>
      </c>
      <c r="C194" s="3">
        <v>43671</v>
      </c>
      <c r="D194" t="s">
        <v>302</v>
      </c>
      <c r="E194" s="2" t="s">
        <v>12</v>
      </c>
      <c r="F194" s="2" t="s">
        <v>12</v>
      </c>
      <c r="G194" t="s">
        <v>16</v>
      </c>
      <c r="H194" t="str">
        <f t="shared" ref="H194:H257" si="6" xml:space="preserve"> "https://videplast.com.br/consulta-imobilizado?id=" &amp; A194 &amp; "&amp;nome=" &amp; SUBSTITUTE(D194, " ", "%20")</f>
        <v>https://videplast.com.br/consulta-imobilizado?id=21004273&amp;nome=RACK%20DESMON%2019"X28U%20600X800MM%20PT</v>
      </c>
      <c r="I194" t="e">
        <f t="shared" ref="I194:I257" ca="1" si="7">_xlfn.IMAGE("https://chart.googleapis.com/chart?chs=150x150&amp;cht=qr&amp;chl=" &amp; H194)</f>
        <v>#NAME?</v>
      </c>
    </row>
    <row r="195" spans="1:9" x14ac:dyDescent="0.25">
      <c r="A195" s="2" t="s">
        <v>303</v>
      </c>
      <c r="B195" s="2" t="s">
        <v>10</v>
      </c>
      <c r="C195" s="3">
        <v>43853</v>
      </c>
      <c r="D195" t="s">
        <v>304</v>
      </c>
      <c r="E195" s="2" t="s">
        <v>12</v>
      </c>
      <c r="F195" s="2" t="s">
        <v>12</v>
      </c>
      <c r="G195" t="s">
        <v>16</v>
      </c>
      <c r="H195" t="str">
        <f t="shared" si="6"/>
        <v>https://videplast.com.br/consulta-imobilizado?id=21005091&amp;nome=INVERSOR%20FREQUENCIA%20WEG%20CFW-11%20142A/3AC%20380V</v>
      </c>
      <c r="I195" t="e">
        <f t="shared" ca="1" si="7"/>
        <v>#NAME?</v>
      </c>
    </row>
    <row r="196" spans="1:9" x14ac:dyDescent="0.25">
      <c r="A196" s="2" t="s">
        <v>305</v>
      </c>
      <c r="B196" s="2" t="s">
        <v>10</v>
      </c>
      <c r="C196" s="3">
        <v>43984</v>
      </c>
      <c r="D196" t="s">
        <v>306</v>
      </c>
      <c r="E196" s="2" t="s">
        <v>12</v>
      </c>
      <c r="F196" s="2" t="s">
        <v>12</v>
      </c>
      <c r="G196" t="s">
        <v>16</v>
      </c>
      <c r="H196" t="str">
        <f t="shared" si="6"/>
        <v>https://videplast.com.br/consulta-imobilizado?id=21005125&amp;nome=CARRO%20HIDRAULICO%20CATARINENSE%20CAP%203000%20KG</v>
      </c>
      <c r="I196" t="e">
        <f t="shared" ca="1" si="7"/>
        <v>#NAME?</v>
      </c>
    </row>
    <row r="197" spans="1:9" x14ac:dyDescent="0.25">
      <c r="A197" s="2" t="s">
        <v>307</v>
      </c>
      <c r="B197" s="2" t="s">
        <v>10</v>
      </c>
      <c r="C197" s="3">
        <v>44146</v>
      </c>
      <c r="D197" t="s">
        <v>308</v>
      </c>
      <c r="E197" s="2" t="s">
        <v>12</v>
      </c>
      <c r="F197" s="2" t="s">
        <v>12</v>
      </c>
      <c r="G197" t="s">
        <v>16</v>
      </c>
      <c r="H197" t="str">
        <f t="shared" si="6"/>
        <v>https://videplast.com.br/consulta-imobilizado?id=21005128&amp;nome=EIXO%20EXPANSIVO%20CORPO%20EM%20AÇO%203"</v>
      </c>
      <c r="I197" t="e">
        <f t="shared" ca="1" si="7"/>
        <v>#NAME?</v>
      </c>
    </row>
    <row r="198" spans="1:9" x14ac:dyDescent="0.25">
      <c r="A198" s="2" t="s">
        <v>309</v>
      </c>
      <c r="B198" s="2" t="s">
        <v>10</v>
      </c>
      <c r="C198" s="3">
        <v>44146</v>
      </c>
      <c r="D198" t="s">
        <v>308</v>
      </c>
      <c r="E198" s="2" t="s">
        <v>12</v>
      </c>
      <c r="F198" s="2" t="s">
        <v>12</v>
      </c>
      <c r="G198" t="s">
        <v>16</v>
      </c>
      <c r="H198" t="str">
        <f t="shared" si="6"/>
        <v>https://videplast.com.br/consulta-imobilizado?id=21005129&amp;nome=EIXO%20EXPANSIVO%20CORPO%20EM%20AÇO%203"</v>
      </c>
      <c r="I198" t="e">
        <f t="shared" ca="1" si="7"/>
        <v>#NAME?</v>
      </c>
    </row>
    <row r="199" spans="1:9" x14ac:dyDescent="0.25">
      <c r="A199" s="2" t="s">
        <v>310</v>
      </c>
      <c r="B199" s="2" t="s">
        <v>10</v>
      </c>
      <c r="C199" s="3">
        <v>44146</v>
      </c>
      <c r="D199" t="s">
        <v>308</v>
      </c>
      <c r="E199" s="2" t="s">
        <v>12</v>
      </c>
      <c r="F199" s="2" t="s">
        <v>12</v>
      </c>
      <c r="G199" t="s">
        <v>16</v>
      </c>
      <c r="H199" t="str">
        <f t="shared" si="6"/>
        <v>https://videplast.com.br/consulta-imobilizado?id=21005130&amp;nome=EIXO%20EXPANSIVO%20CORPO%20EM%20AÇO%203"</v>
      </c>
      <c r="I199" t="e">
        <f t="shared" ca="1" si="7"/>
        <v>#NAME?</v>
      </c>
    </row>
    <row r="200" spans="1:9" x14ac:dyDescent="0.25">
      <c r="A200" s="2" t="s">
        <v>311</v>
      </c>
      <c r="B200" s="2" t="s">
        <v>10</v>
      </c>
      <c r="C200" s="3">
        <v>44146</v>
      </c>
      <c r="D200" t="s">
        <v>308</v>
      </c>
      <c r="E200" s="2" t="s">
        <v>12</v>
      </c>
      <c r="F200" s="2" t="s">
        <v>12</v>
      </c>
      <c r="G200" t="s">
        <v>16</v>
      </c>
      <c r="H200" t="str">
        <f t="shared" si="6"/>
        <v>https://videplast.com.br/consulta-imobilizado?id=21005131&amp;nome=EIXO%20EXPANSIVO%20CORPO%20EM%20AÇO%203"</v>
      </c>
      <c r="I200" t="e">
        <f t="shared" ca="1" si="7"/>
        <v>#NAME?</v>
      </c>
    </row>
    <row r="201" spans="1:9" x14ac:dyDescent="0.25">
      <c r="A201" s="2" t="s">
        <v>312</v>
      </c>
      <c r="B201" s="2" t="s">
        <v>10</v>
      </c>
      <c r="C201" s="3">
        <v>44117</v>
      </c>
      <c r="D201" t="s">
        <v>313</v>
      </c>
      <c r="E201" s="2" t="s">
        <v>12</v>
      </c>
      <c r="F201" s="2" t="s">
        <v>12</v>
      </c>
      <c r="G201" t="s">
        <v>16</v>
      </c>
      <c r="H201" t="str">
        <f t="shared" si="6"/>
        <v>https://videplast.com.br/consulta-imobilizado?id=21005682&amp;nome=ROLO%20CURVO%20REVESTIDO%20EM%20BORRACHA%20REFORCADA%20Ø100</v>
      </c>
      <c r="I201" t="e">
        <f t="shared" ca="1" si="7"/>
        <v>#NAME?</v>
      </c>
    </row>
    <row r="202" spans="1:9" x14ac:dyDescent="0.25">
      <c r="A202" s="2" t="s">
        <v>314</v>
      </c>
      <c r="B202" s="2" t="s">
        <v>10</v>
      </c>
      <c r="C202" s="3">
        <v>44117</v>
      </c>
      <c r="D202" t="s">
        <v>313</v>
      </c>
      <c r="E202" s="2" t="s">
        <v>12</v>
      </c>
      <c r="F202" s="2" t="s">
        <v>12</v>
      </c>
      <c r="G202" t="s">
        <v>16</v>
      </c>
      <c r="H202" t="str">
        <f t="shared" si="6"/>
        <v>https://videplast.com.br/consulta-imobilizado?id=21005683&amp;nome=ROLO%20CURVO%20REVESTIDO%20EM%20BORRACHA%20REFORCADA%20Ø100</v>
      </c>
      <c r="I202" t="e">
        <f t="shared" ca="1" si="7"/>
        <v>#NAME?</v>
      </c>
    </row>
    <row r="203" spans="1:9" x14ac:dyDescent="0.25">
      <c r="A203" s="2" t="s">
        <v>315</v>
      </c>
      <c r="B203" s="2" t="s">
        <v>10</v>
      </c>
      <c r="C203" s="3">
        <v>44159</v>
      </c>
      <c r="D203" t="s">
        <v>316</v>
      </c>
      <c r="E203" s="2" t="s">
        <v>12</v>
      </c>
      <c r="F203" s="2" t="s">
        <v>12</v>
      </c>
      <c r="G203" t="s">
        <v>16</v>
      </c>
      <c r="H203" t="str">
        <f t="shared" si="6"/>
        <v>https://videplast.com.br/consulta-imobilizado?id=21005691&amp;nome=AUTOTRANSFORADOR%20TRIFASICO%20400KVA%20EC%2060HZ</v>
      </c>
      <c r="I203" t="e">
        <f t="shared" ca="1" si="7"/>
        <v>#NAME?</v>
      </c>
    </row>
    <row r="204" spans="1:9" x14ac:dyDescent="0.25">
      <c r="A204" s="2" t="s">
        <v>317</v>
      </c>
      <c r="B204" s="2" t="s">
        <v>10</v>
      </c>
      <c r="C204" s="3">
        <v>44182</v>
      </c>
      <c r="D204" t="s">
        <v>318</v>
      </c>
      <c r="E204" s="2" t="s">
        <v>12</v>
      </c>
      <c r="F204" s="2" t="s">
        <v>12</v>
      </c>
      <c r="G204" t="s">
        <v>16</v>
      </c>
      <c r="H204" t="str">
        <f t="shared" si="6"/>
        <v>https://videplast.com.br/consulta-imobilizado?id=21005773&amp;nome=CONJUNTO%20CANHAO%2070%20LD:1%20S/%20DEGASAGEM</v>
      </c>
      <c r="I204" t="e">
        <f t="shared" ca="1" si="7"/>
        <v>#NAME?</v>
      </c>
    </row>
    <row r="205" spans="1:9" x14ac:dyDescent="0.25">
      <c r="A205" s="2" t="s">
        <v>319</v>
      </c>
      <c r="B205" s="2" t="s">
        <v>10</v>
      </c>
      <c r="C205" s="3">
        <v>44182</v>
      </c>
      <c r="D205" t="s">
        <v>320</v>
      </c>
      <c r="E205" s="2" t="s">
        <v>12</v>
      </c>
      <c r="F205" s="2" t="s">
        <v>12</v>
      </c>
      <c r="G205" t="s">
        <v>16</v>
      </c>
      <c r="H205" t="str">
        <f t="shared" si="6"/>
        <v>https://videplast.com.br/consulta-imobilizado?id=21005774&amp;nome=TROCADOR%20DE%20CALOR%20TC%2030W/%20AR</v>
      </c>
      <c r="I205" t="e">
        <f t="shared" ca="1" si="7"/>
        <v>#NAME?</v>
      </c>
    </row>
    <row r="206" spans="1:9" x14ac:dyDescent="0.25">
      <c r="A206" s="2" t="s">
        <v>321</v>
      </c>
      <c r="B206" s="2" t="s">
        <v>10</v>
      </c>
      <c r="C206" s="3">
        <v>44182</v>
      </c>
      <c r="D206" t="s">
        <v>322</v>
      </c>
      <c r="E206" s="2" t="s">
        <v>12</v>
      </c>
      <c r="F206" s="2" t="s">
        <v>12</v>
      </c>
      <c r="G206" t="s">
        <v>16</v>
      </c>
      <c r="H206" t="str">
        <f t="shared" si="6"/>
        <v>https://videplast.com.br/consulta-imobilizado?id=21005775&amp;nome=TROCADOR%20DE%20CALOR%20TC30W/AR</v>
      </c>
      <c r="I206" t="e">
        <f t="shared" ca="1" si="7"/>
        <v>#NAME?</v>
      </c>
    </row>
    <row r="207" spans="1:9" x14ac:dyDescent="0.25">
      <c r="A207" s="2" t="s">
        <v>323</v>
      </c>
      <c r="B207" s="2" t="s">
        <v>10</v>
      </c>
      <c r="C207" s="3">
        <v>44182</v>
      </c>
      <c r="D207" t="s">
        <v>322</v>
      </c>
      <c r="E207" s="2" t="s">
        <v>12</v>
      </c>
      <c r="F207" s="2" t="s">
        <v>12</v>
      </c>
      <c r="G207" t="s">
        <v>16</v>
      </c>
      <c r="H207" t="str">
        <f t="shared" si="6"/>
        <v>https://videplast.com.br/consulta-imobilizado?id=21005776&amp;nome=TROCADOR%20DE%20CALOR%20TC30W/AR</v>
      </c>
      <c r="I207" t="e">
        <f t="shared" ca="1" si="7"/>
        <v>#NAME?</v>
      </c>
    </row>
    <row r="208" spans="1:9" x14ac:dyDescent="0.25">
      <c r="A208" s="2" t="s">
        <v>324</v>
      </c>
      <c r="B208" s="2" t="s">
        <v>10</v>
      </c>
      <c r="C208" s="3">
        <v>44182</v>
      </c>
      <c r="D208" t="s">
        <v>325</v>
      </c>
      <c r="E208" s="2" t="s">
        <v>12</v>
      </c>
      <c r="F208" s="2" t="s">
        <v>12</v>
      </c>
      <c r="G208" t="s">
        <v>16</v>
      </c>
      <c r="H208" t="str">
        <f t="shared" si="6"/>
        <v>https://videplast.com.br/consulta-imobilizado?id=21005777&amp;nome=CANHAO%2075MM%20BIMETALICA%20%20CARNEVALLI</v>
      </c>
      <c r="I208" t="e">
        <f t="shared" ca="1" si="7"/>
        <v>#NAME?</v>
      </c>
    </row>
    <row r="209" spans="1:9" x14ac:dyDescent="0.25">
      <c r="A209" s="2" t="s">
        <v>326</v>
      </c>
      <c r="B209" s="2" t="s">
        <v>10</v>
      </c>
      <c r="C209" s="3">
        <v>44182</v>
      </c>
      <c r="D209" t="s">
        <v>327</v>
      </c>
      <c r="E209" s="2" t="s">
        <v>12</v>
      </c>
      <c r="F209" s="2" t="s">
        <v>12</v>
      </c>
      <c r="G209" t="s">
        <v>16</v>
      </c>
      <c r="H209" t="str">
        <f t="shared" si="6"/>
        <v>https://videplast.com.br/consulta-imobilizado?id=21005778&amp;nome=ROSCA%2075MM%20BIMETALICA%20CARNEVALLI%20135M%20TOOL%20STEEL</v>
      </c>
      <c r="I209" t="e">
        <f t="shared" ca="1" si="7"/>
        <v>#NAME?</v>
      </c>
    </row>
    <row r="210" spans="1:9" x14ac:dyDescent="0.25">
      <c r="A210" s="2" t="s">
        <v>328</v>
      </c>
      <c r="B210" s="2" t="s">
        <v>10</v>
      </c>
      <c r="C210" s="3">
        <v>44182</v>
      </c>
      <c r="D210" t="s">
        <v>329</v>
      </c>
      <c r="E210" s="2" t="s">
        <v>12</v>
      </c>
      <c r="F210" s="2" t="s">
        <v>12</v>
      </c>
      <c r="G210" t="s">
        <v>16</v>
      </c>
      <c r="H210" t="str">
        <f t="shared" si="6"/>
        <v>https://videplast.com.br/consulta-imobilizado?id=21005779&amp;nome=CANHAO%2075MM%20BIMETALICO%20%20CARNEVALLI</v>
      </c>
      <c r="I210" t="e">
        <f t="shared" ca="1" si="7"/>
        <v>#NAME?</v>
      </c>
    </row>
    <row r="211" spans="1:9" x14ac:dyDescent="0.25">
      <c r="A211" s="2" t="s">
        <v>330</v>
      </c>
      <c r="B211" s="2" t="s">
        <v>10</v>
      </c>
      <c r="C211" s="3">
        <v>44182</v>
      </c>
      <c r="D211" t="s">
        <v>331</v>
      </c>
      <c r="E211" s="2" t="s">
        <v>12</v>
      </c>
      <c r="F211" s="2" t="s">
        <v>12</v>
      </c>
      <c r="G211" t="s">
        <v>16</v>
      </c>
      <c r="H211" t="str">
        <f t="shared" si="6"/>
        <v>https://videplast.com.br/consulta-imobilizado?id=21005780&amp;nome=ROSCA%2075%20MM%20BIMETALICA%20CARNEVALLI</v>
      </c>
      <c r="I211" t="e">
        <f t="shared" ca="1" si="7"/>
        <v>#NAME?</v>
      </c>
    </row>
    <row r="212" spans="1:9" x14ac:dyDescent="0.25">
      <c r="A212" s="2" t="s">
        <v>332</v>
      </c>
      <c r="B212" s="2" t="s">
        <v>10</v>
      </c>
      <c r="C212" s="3">
        <v>44182</v>
      </c>
      <c r="D212" t="s">
        <v>333</v>
      </c>
      <c r="E212" s="2" t="s">
        <v>12</v>
      </c>
      <c r="F212" s="2" t="s">
        <v>12</v>
      </c>
      <c r="G212" t="s">
        <v>16</v>
      </c>
      <c r="H212" t="str">
        <f t="shared" si="6"/>
        <v>https://videplast.com.br/consulta-imobilizado?id=21005781&amp;nome=CANHAO%2080MM%20BIMETALICO%20XALOY</v>
      </c>
      <c r="I212" t="e">
        <f t="shared" ca="1" si="7"/>
        <v>#NAME?</v>
      </c>
    </row>
    <row r="213" spans="1:9" x14ac:dyDescent="0.25">
      <c r="A213" s="2" t="s">
        <v>334</v>
      </c>
      <c r="B213" s="2" t="s">
        <v>10</v>
      </c>
      <c r="C213" s="3">
        <v>44182</v>
      </c>
      <c r="D213" t="s">
        <v>335</v>
      </c>
      <c r="E213" s="2" t="s">
        <v>12</v>
      </c>
      <c r="F213" s="2" t="s">
        <v>12</v>
      </c>
      <c r="G213" t="s">
        <v>16</v>
      </c>
      <c r="H213" t="str">
        <f t="shared" si="6"/>
        <v>https://videplast.com.br/consulta-imobilizado?id=21005782&amp;nome=ROSCA%2080MM%20BIMETALICA%20XALOY</v>
      </c>
      <c r="I213" t="e">
        <f t="shared" ca="1" si="7"/>
        <v>#NAME?</v>
      </c>
    </row>
    <row r="214" spans="1:9" x14ac:dyDescent="0.25">
      <c r="A214" s="2" t="s">
        <v>336</v>
      </c>
      <c r="B214" s="2" t="s">
        <v>10</v>
      </c>
      <c r="C214" s="3">
        <v>44182</v>
      </c>
      <c r="D214" t="s">
        <v>333</v>
      </c>
      <c r="E214" s="2" t="s">
        <v>12</v>
      </c>
      <c r="F214" s="2" t="s">
        <v>12</v>
      </c>
      <c r="G214" t="s">
        <v>16</v>
      </c>
      <c r="H214" t="str">
        <f t="shared" si="6"/>
        <v>https://videplast.com.br/consulta-imobilizado?id=21005783&amp;nome=CANHAO%2080MM%20BIMETALICO%20XALOY</v>
      </c>
      <c r="I214" t="e">
        <f t="shared" ca="1" si="7"/>
        <v>#NAME?</v>
      </c>
    </row>
    <row r="215" spans="1:9" x14ac:dyDescent="0.25">
      <c r="A215" s="2" t="s">
        <v>337</v>
      </c>
      <c r="B215" s="2" t="s">
        <v>10</v>
      </c>
      <c r="C215" s="3">
        <v>44182</v>
      </c>
      <c r="D215" t="s">
        <v>335</v>
      </c>
      <c r="E215" s="2" t="s">
        <v>12</v>
      </c>
      <c r="F215" s="2" t="s">
        <v>12</v>
      </c>
      <c r="G215" t="s">
        <v>16</v>
      </c>
      <c r="H215" t="str">
        <f t="shared" si="6"/>
        <v>https://videplast.com.br/consulta-imobilizado?id=21005784&amp;nome=ROSCA%2080MM%20BIMETALICA%20XALOY</v>
      </c>
      <c r="I215" t="e">
        <f t="shared" ca="1" si="7"/>
        <v>#NAME?</v>
      </c>
    </row>
    <row r="216" spans="1:9" x14ac:dyDescent="0.25">
      <c r="A216" s="2" t="s">
        <v>338</v>
      </c>
      <c r="B216" s="2" t="s">
        <v>10</v>
      </c>
      <c r="C216" s="3">
        <v>44182</v>
      </c>
      <c r="D216" t="s">
        <v>339</v>
      </c>
      <c r="E216" s="2" t="s">
        <v>12</v>
      </c>
      <c r="F216" s="2" t="s">
        <v>12</v>
      </c>
      <c r="G216" t="s">
        <v>16</v>
      </c>
      <c r="H216" t="str">
        <f t="shared" si="6"/>
        <v>https://videplast.com.br/consulta-imobilizado?id=21005801&amp;nome=CABEÇOTE%20DE%20EXTRUSÃO%20MONO%20BI%20FLUXO%20216</v>
      </c>
      <c r="I216" t="e">
        <f t="shared" ca="1" si="7"/>
        <v>#NAME?</v>
      </c>
    </row>
    <row r="217" spans="1:9" x14ac:dyDescent="0.25">
      <c r="A217" s="2" t="s">
        <v>340</v>
      </c>
      <c r="B217" s="2" t="s">
        <v>10</v>
      </c>
      <c r="C217" s="3">
        <v>44182</v>
      </c>
      <c r="D217" t="s">
        <v>341</v>
      </c>
      <c r="E217" s="2" t="s">
        <v>12</v>
      </c>
      <c r="F217" s="2" t="s">
        <v>12</v>
      </c>
      <c r="G217" t="s">
        <v>16</v>
      </c>
      <c r="H217" t="str">
        <f t="shared" si="6"/>
        <v>https://videplast.com.br/consulta-imobilizado?id=21005802&amp;nome=CANHAO%2075MM%20BIMETALICO%20XALOY</v>
      </c>
      <c r="I217" t="e">
        <f t="shared" ca="1" si="7"/>
        <v>#NAME?</v>
      </c>
    </row>
    <row r="218" spans="1:9" x14ac:dyDescent="0.25">
      <c r="A218" s="2" t="s">
        <v>342</v>
      </c>
      <c r="B218" s="2" t="s">
        <v>10</v>
      </c>
      <c r="C218" s="3">
        <v>44182</v>
      </c>
      <c r="D218" t="s">
        <v>343</v>
      </c>
      <c r="E218" s="2" t="s">
        <v>12</v>
      </c>
      <c r="F218" s="2" t="s">
        <v>12</v>
      </c>
      <c r="G218" t="s">
        <v>16</v>
      </c>
      <c r="H218" t="str">
        <f t="shared" si="6"/>
        <v>https://videplast.com.br/consulta-imobilizado?id=21005803&amp;nome=CANHAO%2075%20MM%20BIMETALICO%20XALOY</v>
      </c>
      <c r="I218" t="e">
        <f t="shared" ca="1" si="7"/>
        <v>#NAME?</v>
      </c>
    </row>
    <row r="219" spans="1:9" x14ac:dyDescent="0.25">
      <c r="A219" s="2" t="s">
        <v>344</v>
      </c>
      <c r="B219" s="2" t="s">
        <v>10</v>
      </c>
      <c r="C219" s="3">
        <v>44182</v>
      </c>
      <c r="D219" t="s">
        <v>345</v>
      </c>
      <c r="E219" s="2" t="s">
        <v>12</v>
      </c>
      <c r="F219" s="2" t="s">
        <v>12</v>
      </c>
      <c r="G219" t="s">
        <v>16</v>
      </c>
      <c r="H219" t="str">
        <f t="shared" si="6"/>
        <v>https://videplast.com.br/consulta-imobilizado?id=21005804&amp;nome=ROSCA%202.%201/2%20LINEAR%20P/EXTRUSORA%20%20MARCA%20RULLI</v>
      </c>
      <c r="I219" t="e">
        <f t="shared" ca="1" si="7"/>
        <v>#NAME?</v>
      </c>
    </row>
    <row r="220" spans="1:9" x14ac:dyDescent="0.25">
      <c r="A220" s="2" t="s">
        <v>346</v>
      </c>
      <c r="B220" s="2" t="s">
        <v>10</v>
      </c>
      <c r="C220" s="3">
        <v>44186</v>
      </c>
      <c r="D220" t="s">
        <v>347</v>
      </c>
      <c r="E220" s="2" t="s">
        <v>12</v>
      </c>
      <c r="F220" s="2" t="s">
        <v>12</v>
      </c>
      <c r="G220" t="s">
        <v>16</v>
      </c>
      <c r="H220" t="str">
        <f t="shared" si="6"/>
        <v>https://videplast.com.br/consulta-imobilizado?id=21005814&amp;nome=EQUIPAMETO%20PARA%20RESFRIAMENTO%20DE%20AGUA%20DA%20EXTRUSÃO</v>
      </c>
      <c r="I220" t="e">
        <f t="shared" ca="1" si="7"/>
        <v>#NAME?</v>
      </c>
    </row>
    <row r="221" spans="1:9" x14ac:dyDescent="0.25">
      <c r="A221" s="2" t="s">
        <v>348</v>
      </c>
      <c r="B221" s="2" t="s">
        <v>10</v>
      </c>
      <c r="C221" s="3">
        <v>44382</v>
      </c>
      <c r="D221" t="s">
        <v>349</v>
      </c>
      <c r="E221" s="2" t="s">
        <v>12</v>
      </c>
      <c r="F221" s="2" t="s">
        <v>12</v>
      </c>
      <c r="G221" t="s">
        <v>16</v>
      </c>
      <c r="H221" t="str">
        <f t="shared" si="6"/>
        <v>https://videplast.com.br/consulta-imobilizado?id=21005878&amp;nome=ALIMENTADOR%20TSW%20MODELO%20AUTOMATICO%20250KG/HR</v>
      </c>
      <c r="I221" t="e">
        <f t="shared" ca="1" si="7"/>
        <v>#NAME?</v>
      </c>
    </row>
    <row r="222" spans="1:9" x14ac:dyDescent="0.25">
      <c r="A222" s="2" t="s">
        <v>348</v>
      </c>
      <c r="B222" s="2" t="s">
        <v>26</v>
      </c>
      <c r="C222" s="3">
        <v>44382</v>
      </c>
      <c r="D222" t="s">
        <v>350</v>
      </c>
      <c r="E222" s="2" t="s">
        <v>12</v>
      </c>
      <c r="F222" s="2" t="s">
        <v>12</v>
      </c>
      <c r="G222" t="s">
        <v>16</v>
      </c>
      <c r="H222" t="str">
        <f t="shared" si="6"/>
        <v>https://videplast.com.br/consulta-imobilizado?id=21005878&amp;nome=SERVIÇO%20DE%20FRETE</v>
      </c>
      <c r="I222" t="e">
        <f t="shared" ca="1" si="7"/>
        <v>#NAME?</v>
      </c>
    </row>
    <row r="223" spans="1:9" x14ac:dyDescent="0.25">
      <c r="A223" s="2" t="s">
        <v>351</v>
      </c>
      <c r="B223" s="2" t="s">
        <v>10</v>
      </c>
      <c r="C223" s="3">
        <v>44692</v>
      </c>
      <c r="D223" t="s">
        <v>352</v>
      </c>
      <c r="E223" s="2" t="s">
        <v>353</v>
      </c>
      <c r="F223" s="2" t="s">
        <v>12</v>
      </c>
      <c r="G223" t="s">
        <v>16</v>
      </c>
      <c r="H223" t="str">
        <f t="shared" si="6"/>
        <v>https://videplast.com.br/consulta-imobilizado?id=21006107&amp;nome=PALETEIRA%20MANUAL%202500%20KG%20M25</v>
      </c>
      <c r="I223" t="e">
        <f t="shared" ca="1" si="7"/>
        <v>#NAME?</v>
      </c>
    </row>
    <row r="224" spans="1:9" x14ac:dyDescent="0.25">
      <c r="A224" s="2" t="s">
        <v>354</v>
      </c>
      <c r="B224" s="2" t="s">
        <v>10</v>
      </c>
      <c r="C224" s="3">
        <v>44692</v>
      </c>
      <c r="D224" t="s">
        <v>192</v>
      </c>
      <c r="E224" s="2" t="s">
        <v>12</v>
      </c>
      <c r="F224" s="2" t="s">
        <v>12</v>
      </c>
      <c r="G224" t="s">
        <v>16</v>
      </c>
      <c r="H224" t="str">
        <f t="shared" si="6"/>
        <v>https://videplast.com.br/consulta-imobilizado?id=21006111&amp;nome=PALETEIRA%20HIDRAULICA%20LINDE%20M25%202500KG</v>
      </c>
      <c r="I224" t="e">
        <f t="shared" ca="1" si="7"/>
        <v>#NAME?</v>
      </c>
    </row>
    <row r="225" spans="1:9" x14ac:dyDescent="0.25">
      <c r="A225" s="2" t="s">
        <v>355</v>
      </c>
      <c r="B225" s="2" t="s">
        <v>10</v>
      </c>
      <c r="C225" s="3">
        <v>44692</v>
      </c>
      <c r="D225" t="s">
        <v>192</v>
      </c>
      <c r="E225" s="2" t="s">
        <v>12</v>
      </c>
      <c r="F225" s="2" t="s">
        <v>12</v>
      </c>
      <c r="G225" t="s">
        <v>16</v>
      </c>
      <c r="H225" t="str">
        <f t="shared" si="6"/>
        <v>https://videplast.com.br/consulta-imobilizado?id=21006112&amp;nome=PALETEIRA%20HIDRAULICA%20LINDE%20M25%202500KG</v>
      </c>
      <c r="I225" t="e">
        <f t="shared" ca="1" si="7"/>
        <v>#NAME?</v>
      </c>
    </row>
    <row r="226" spans="1:9" x14ac:dyDescent="0.25">
      <c r="A226" s="2" t="s">
        <v>356</v>
      </c>
      <c r="B226" s="2" t="s">
        <v>10</v>
      </c>
      <c r="C226" s="3">
        <v>44875</v>
      </c>
      <c r="D226" t="s">
        <v>357</v>
      </c>
      <c r="E226" s="2" t="s">
        <v>12</v>
      </c>
      <c r="F226" s="2" t="s">
        <v>12</v>
      </c>
      <c r="G226" t="s">
        <v>16</v>
      </c>
      <c r="H226" t="str">
        <f t="shared" si="6"/>
        <v>https://videplast.com.br/consulta-imobilizado?id=21006114&amp;nome=PALETEIRA%20MANUAL%203.0T%20GARFOS%20LONGOS%203000%20KG</v>
      </c>
      <c r="I226" t="e">
        <f t="shared" ca="1" si="7"/>
        <v>#NAME?</v>
      </c>
    </row>
    <row r="227" spans="1:9" x14ac:dyDescent="0.25">
      <c r="A227" s="2" t="s">
        <v>356</v>
      </c>
      <c r="B227" s="2" t="s">
        <v>26</v>
      </c>
      <c r="C227" s="3">
        <v>44875</v>
      </c>
      <c r="D227" t="s">
        <v>358</v>
      </c>
      <c r="E227" s="2" t="s">
        <v>12</v>
      </c>
      <c r="F227" s="2" t="s">
        <v>12</v>
      </c>
      <c r="G227" t="s">
        <v>16</v>
      </c>
      <c r="H227" t="str">
        <f t="shared" si="6"/>
        <v>https://videplast.com.br/consulta-imobilizado?id=21006114&amp;nome=FRETE%20PALETEIRA%20MANUAL</v>
      </c>
      <c r="I227" t="e">
        <f t="shared" ca="1" si="7"/>
        <v>#NAME?</v>
      </c>
    </row>
    <row r="228" spans="1:9" x14ac:dyDescent="0.25">
      <c r="A228" s="2" t="s">
        <v>359</v>
      </c>
      <c r="B228" s="2" t="s">
        <v>10</v>
      </c>
      <c r="C228" s="3">
        <v>44692</v>
      </c>
      <c r="D228" t="s">
        <v>218</v>
      </c>
      <c r="E228" s="2" t="s">
        <v>12</v>
      </c>
      <c r="F228" s="2" t="s">
        <v>12</v>
      </c>
      <c r="G228" t="s">
        <v>16</v>
      </c>
      <c r="H228" t="str">
        <f t="shared" si="6"/>
        <v>https://videplast.com.br/consulta-imobilizado?id=21006119&amp;nome=PALETEIRA%20MANUAL%20LINDEMOD%20M25</v>
      </c>
      <c r="I228" t="e">
        <f t="shared" ca="1" si="7"/>
        <v>#NAME?</v>
      </c>
    </row>
    <row r="229" spans="1:9" x14ac:dyDescent="0.25">
      <c r="A229" s="2" t="s">
        <v>360</v>
      </c>
      <c r="B229" s="2" t="s">
        <v>10</v>
      </c>
      <c r="C229" s="3">
        <v>44692</v>
      </c>
      <c r="D229" t="s">
        <v>218</v>
      </c>
      <c r="E229" s="2" t="s">
        <v>12</v>
      </c>
      <c r="F229" s="2" t="s">
        <v>12</v>
      </c>
      <c r="G229" t="s">
        <v>16</v>
      </c>
      <c r="H229" t="str">
        <f t="shared" si="6"/>
        <v>https://videplast.com.br/consulta-imobilizado?id=21006120&amp;nome=PALETEIRA%20MANUAL%20LINDEMOD%20M25</v>
      </c>
      <c r="I229" t="e">
        <f t="shared" ca="1" si="7"/>
        <v>#NAME?</v>
      </c>
    </row>
    <row r="230" spans="1:9" x14ac:dyDescent="0.25">
      <c r="A230" s="2" t="s">
        <v>361</v>
      </c>
      <c r="B230" s="2" t="s">
        <v>10</v>
      </c>
      <c r="C230" s="3">
        <v>44846</v>
      </c>
      <c r="D230" t="s">
        <v>362</v>
      </c>
      <c r="E230" s="2" t="s">
        <v>12</v>
      </c>
      <c r="F230" s="2" t="s">
        <v>12</v>
      </c>
      <c r="G230" t="s">
        <v>16</v>
      </c>
      <c r="H230" t="str">
        <f t="shared" si="6"/>
        <v>https://videplast.com.br/consulta-imobilizado?id=21006225&amp;nome=CONJUNTO%20ROSCA%20E%20CANHÃO%2080MM%20PARA%20EXTRUSORAS</v>
      </c>
      <c r="I230" t="e">
        <f t="shared" ca="1" si="7"/>
        <v>#NAME?</v>
      </c>
    </row>
    <row r="231" spans="1:9" x14ac:dyDescent="0.25">
      <c r="A231" s="2" t="s">
        <v>363</v>
      </c>
      <c r="B231" s="2" t="s">
        <v>10</v>
      </c>
      <c r="C231" s="3">
        <v>44873</v>
      </c>
      <c r="D231" t="s">
        <v>364</v>
      </c>
      <c r="E231" s="2" t="s">
        <v>12</v>
      </c>
      <c r="F231" s="2" t="s">
        <v>12</v>
      </c>
      <c r="G231" t="s">
        <v>16</v>
      </c>
      <c r="H231" t="str">
        <f t="shared" si="6"/>
        <v>https://videplast.com.br/consulta-imobilizado?id=21006270&amp;nome=CACAMBA%20PALETIZADA%20FUNDO%20CONICO%201000X1000X600MM</v>
      </c>
      <c r="I231" t="e">
        <f t="shared" ca="1" si="7"/>
        <v>#NAME?</v>
      </c>
    </row>
    <row r="232" spans="1:9" x14ac:dyDescent="0.25">
      <c r="A232" s="2" t="s">
        <v>365</v>
      </c>
      <c r="B232" s="2" t="s">
        <v>10</v>
      </c>
      <c r="C232" s="3">
        <v>44873</v>
      </c>
      <c r="D232" t="s">
        <v>364</v>
      </c>
      <c r="E232" s="2" t="s">
        <v>12</v>
      </c>
      <c r="F232" s="2" t="s">
        <v>12</v>
      </c>
      <c r="G232" t="s">
        <v>16</v>
      </c>
      <c r="H232" t="str">
        <f t="shared" si="6"/>
        <v>https://videplast.com.br/consulta-imobilizado?id=21006271&amp;nome=CACAMBA%20PALETIZADA%20FUNDO%20CONICO%201000X1000X600MM</v>
      </c>
      <c r="I232" t="e">
        <f t="shared" ca="1" si="7"/>
        <v>#NAME?</v>
      </c>
    </row>
    <row r="233" spans="1:9" x14ac:dyDescent="0.25">
      <c r="A233" s="2" t="s">
        <v>366</v>
      </c>
      <c r="B233" s="2" t="s">
        <v>10</v>
      </c>
      <c r="C233" s="3">
        <v>44985</v>
      </c>
      <c r="D233" t="s">
        <v>364</v>
      </c>
      <c r="E233" s="2" t="s">
        <v>12</v>
      </c>
      <c r="F233" s="2" t="s">
        <v>12</v>
      </c>
      <c r="G233" t="s">
        <v>16</v>
      </c>
      <c r="H233" t="str">
        <f t="shared" si="6"/>
        <v>https://videplast.com.br/consulta-imobilizado?id=21006292&amp;nome=CACAMBA%20PALETIZADA%20FUNDO%20CONICO%201000X1000X600MM</v>
      </c>
      <c r="I233" t="e">
        <f t="shared" ca="1" si="7"/>
        <v>#NAME?</v>
      </c>
    </row>
    <row r="234" spans="1:9" x14ac:dyDescent="0.25">
      <c r="A234" s="2" t="s">
        <v>367</v>
      </c>
      <c r="B234" s="2" t="s">
        <v>10</v>
      </c>
      <c r="C234" s="3">
        <v>44985</v>
      </c>
      <c r="D234" t="s">
        <v>364</v>
      </c>
      <c r="E234" s="2" t="s">
        <v>12</v>
      </c>
      <c r="F234" s="2" t="s">
        <v>12</v>
      </c>
      <c r="G234" t="s">
        <v>16</v>
      </c>
      <c r="H234" t="str">
        <f t="shared" si="6"/>
        <v>https://videplast.com.br/consulta-imobilizado?id=21006293&amp;nome=CACAMBA%20PALETIZADA%20FUNDO%20CONICO%201000X1000X600MM</v>
      </c>
      <c r="I234" t="e">
        <f t="shared" ca="1" si="7"/>
        <v>#NAME?</v>
      </c>
    </row>
    <row r="235" spans="1:9" x14ac:dyDescent="0.25">
      <c r="A235" s="2" t="s">
        <v>368</v>
      </c>
      <c r="B235" s="2" t="s">
        <v>10</v>
      </c>
      <c r="C235" s="3">
        <v>44985</v>
      </c>
      <c r="D235" t="s">
        <v>364</v>
      </c>
      <c r="E235" s="2" t="s">
        <v>12</v>
      </c>
      <c r="F235" s="2" t="s">
        <v>12</v>
      </c>
      <c r="G235" t="s">
        <v>16</v>
      </c>
      <c r="H235" t="str">
        <f t="shared" si="6"/>
        <v>https://videplast.com.br/consulta-imobilizado?id=21006294&amp;nome=CACAMBA%20PALETIZADA%20FUNDO%20CONICO%201000X1000X600MM</v>
      </c>
      <c r="I235" t="e">
        <f t="shared" ca="1" si="7"/>
        <v>#NAME?</v>
      </c>
    </row>
    <row r="236" spans="1:9" x14ac:dyDescent="0.25">
      <c r="A236" s="2" t="s">
        <v>369</v>
      </c>
      <c r="B236" s="2" t="s">
        <v>10</v>
      </c>
      <c r="C236" s="3">
        <v>44985</v>
      </c>
      <c r="D236" t="s">
        <v>364</v>
      </c>
      <c r="E236" s="2" t="s">
        <v>12</v>
      </c>
      <c r="F236" s="2" t="s">
        <v>12</v>
      </c>
      <c r="G236" t="s">
        <v>16</v>
      </c>
      <c r="H236" t="str">
        <f t="shared" si="6"/>
        <v>https://videplast.com.br/consulta-imobilizado?id=21006295&amp;nome=CACAMBA%20PALETIZADA%20FUNDO%20CONICO%201000X1000X600MM</v>
      </c>
      <c r="I236" t="e">
        <f t="shared" ca="1" si="7"/>
        <v>#NAME?</v>
      </c>
    </row>
    <row r="237" spans="1:9" x14ac:dyDescent="0.25">
      <c r="A237" s="2" t="s">
        <v>370</v>
      </c>
      <c r="B237" s="2" t="s">
        <v>10</v>
      </c>
      <c r="C237" s="3">
        <v>44985</v>
      </c>
      <c r="D237" t="s">
        <v>364</v>
      </c>
      <c r="E237" s="2" t="s">
        <v>12</v>
      </c>
      <c r="F237" s="2" t="s">
        <v>12</v>
      </c>
      <c r="G237" t="s">
        <v>16</v>
      </c>
      <c r="H237" t="str">
        <f t="shared" si="6"/>
        <v>https://videplast.com.br/consulta-imobilizado?id=21006296&amp;nome=CACAMBA%20PALETIZADA%20FUNDO%20CONICO%201000X1000X600MM</v>
      </c>
      <c r="I237" t="e">
        <f t="shared" ca="1" si="7"/>
        <v>#NAME?</v>
      </c>
    </row>
    <row r="238" spans="1:9" x14ac:dyDescent="0.25">
      <c r="A238" s="2" t="s">
        <v>371</v>
      </c>
      <c r="B238" s="2" t="s">
        <v>10</v>
      </c>
      <c r="C238" s="3">
        <v>44991</v>
      </c>
      <c r="D238" t="s">
        <v>155</v>
      </c>
      <c r="E238" s="2" t="s">
        <v>12</v>
      </c>
      <c r="F238" s="2" t="s">
        <v>12</v>
      </c>
      <c r="G238" t="s">
        <v>16</v>
      </c>
      <c r="H238" t="str">
        <f t="shared" si="6"/>
        <v>https://videplast.com.br/consulta-imobilizado?id=21006305&amp;nome=TROCADOR%20DE%20CALOR%20TC%20060%20W/AR</v>
      </c>
      <c r="I238" t="e">
        <f t="shared" ca="1" si="7"/>
        <v>#NAME?</v>
      </c>
    </row>
    <row r="239" spans="1:9" x14ac:dyDescent="0.25">
      <c r="A239" s="2" t="s">
        <v>372</v>
      </c>
      <c r="B239" s="2" t="s">
        <v>10</v>
      </c>
      <c r="C239" s="3">
        <v>44991</v>
      </c>
      <c r="D239" t="s">
        <v>155</v>
      </c>
      <c r="E239" s="2" t="s">
        <v>12</v>
      </c>
      <c r="F239" s="2" t="s">
        <v>12</v>
      </c>
      <c r="G239" t="s">
        <v>16</v>
      </c>
      <c r="H239" t="str">
        <f t="shared" si="6"/>
        <v>https://videplast.com.br/consulta-imobilizado?id=21006306&amp;nome=TROCADOR%20DE%20CALOR%20TC%20060%20W/AR</v>
      </c>
      <c r="I239" t="e">
        <f t="shared" ca="1" si="7"/>
        <v>#NAME?</v>
      </c>
    </row>
    <row r="240" spans="1:9" x14ac:dyDescent="0.25">
      <c r="A240" s="2" t="s">
        <v>373</v>
      </c>
      <c r="B240" s="2" t="s">
        <v>10</v>
      </c>
      <c r="C240" s="3">
        <v>45016</v>
      </c>
      <c r="D240" t="s">
        <v>364</v>
      </c>
      <c r="E240" s="2" t="s">
        <v>12</v>
      </c>
      <c r="F240" s="2" t="s">
        <v>12</v>
      </c>
      <c r="G240" t="s">
        <v>16</v>
      </c>
      <c r="H240" t="str">
        <f t="shared" si="6"/>
        <v>https://videplast.com.br/consulta-imobilizado?id=21006307&amp;nome=CACAMBA%20PALETIZADA%20FUNDO%20CONICO%201000X1000X600MM</v>
      </c>
      <c r="I240" t="e">
        <f t="shared" ca="1" si="7"/>
        <v>#NAME?</v>
      </c>
    </row>
    <row r="241" spans="1:9" x14ac:dyDescent="0.25">
      <c r="A241" s="2" t="s">
        <v>374</v>
      </c>
      <c r="B241" s="2" t="s">
        <v>10</v>
      </c>
      <c r="C241" s="3">
        <v>45016</v>
      </c>
      <c r="D241" t="s">
        <v>364</v>
      </c>
      <c r="E241" s="2" t="s">
        <v>12</v>
      </c>
      <c r="F241" s="2" t="s">
        <v>12</v>
      </c>
      <c r="G241" t="s">
        <v>16</v>
      </c>
      <c r="H241" t="str">
        <f t="shared" si="6"/>
        <v>https://videplast.com.br/consulta-imobilizado?id=21006308&amp;nome=CACAMBA%20PALETIZADA%20FUNDO%20CONICO%201000X1000X600MM</v>
      </c>
      <c r="I241" t="e">
        <f t="shared" ca="1" si="7"/>
        <v>#NAME?</v>
      </c>
    </row>
    <row r="242" spans="1:9" x14ac:dyDescent="0.25">
      <c r="A242" s="2" t="s">
        <v>375</v>
      </c>
      <c r="B242" s="2" t="s">
        <v>10</v>
      </c>
      <c r="C242" s="3">
        <v>45016</v>
      </c>
      <c r="D242" t="s">
        <v>364</v>
      </c>
      <c r="E242" s="2" t="s">
        <v>12</v>
      </c>
      <c r="F242" s="2" t="s">
        <v>12</v>
      </c>
      <c r="G242" t="s">
        <v>16</v>
      </c>
      <c r="H242" t="str">
        <f t="shared" si="6"/>
        <v>https://videplast.com.br/consulta-imobilizado?id=21006309&amp;nome=CACAMBA%20PALETIZADA%20FUNDO%20CONICO%201000X1000X600MM</v>
      </c>
      <c r="I242" t="e">
        <f t="shared" ca="1" si="7"/>
        <v>#NAME?</v>
      </c>
    </row>
    <row r="243" spans="1:9" x14ac:dyDescent="0.25">
      <c r="A243" s="2" t="s">
        <v>376</v>
      </c>
      <c r="B243" s="2" t="s">
        <v>10</v>
      </c>
      <c r="C243" s="3">
        <v>45016</v>
      </c>
      <c r="D243" t="s">
        <v>364</v>
      </c>
      <c r="E243" s="2" t="s">
        <v>12</v>
      </c>
      <c r="F243" s="2" t="s">
        <v>12</v>
      </c>
      <c r="G243" t="s">
        <v>16</v>
      </c>
      <c r="H243" t="str">
        <f t="shared" si="6"/>
        <v>https://videplast.com.br/consulta-imobilizado?id=21006310&amp;nome=CACAMBA%20PALETIZADA%20FUNDO%20CONICO%201000X1000X600MM</v>
      </c>
      <c r="I243" t="e">
        <f t="shared" ca="1" si="7"/>
        <v>#NAME?</v>
      </c>
    </row>
    <row r="244" spans="1:9" x14ac:dyDescent="0.25">
      <c r="A244" s="2" t="s">
        <v>377</v>
      </c>
      <c r="B244" s="2" t="s">
        <v>10</v>
      </c>
      <c r="C244" s="3">
        <v>45016</v>
      </c>
      <c r="D244" t="s">
        <v>364</v>
      </c>
      <c r="E244" s="2" t="s">
        <v>12</v>
      </c>
      <c r="F244" s="2" t="s">
        <v>12</v>
      </c>
      <c r="G244" t="s">
        <v>16</v>
      </c>
      <c r="H244" t="str">
        <f t="shared" si="6"/>
        <v>https://videplast.com.br/consulta-imobilizado?id=21006311&amp;nome=CACAMBA%20PALETIZADA%20FUNDO%20CONICO%201000X1000X600MM</v>
      </c>
      <c r="I244" t="e">
        <f t="shared" ca="1" si="7"/>
        <v>#NAME?</v>
      </c>
    </row>
    <row r="245" spans="1:9" x14ac:dyDescent="0.25">
      <c r="A245" s="2" t="s">
        <v>378</v>
      </c>
      <c r="B245" s="2" t="s">
        <v>10</v>
      </c>
      <c r="C245" s="3">
        <v>45126</v>
      </c>
      <c r="D245" t="s">
        <v>379</v>
      </c>
      <c r="E245" s="2" t="s">
        <v>12</v>
      </c>
      <c r="F245" s="2" t="s">
        <v>12</v>
      </c>
      <c r="G245" t="s">
        <v>16</v>
      </c>
      <c r="H245" t="str">
        <f t="shared" si="6"/>
        <v>https://videplast.com.br/consulta-imobilizado?id=21006320&amp;nome=TROCADOR%20DE%20CALOR%20REFRISAT%20TC-60-W%20AR%20-%20MAQ.%2010</v>
      </c>
      <c r="I245" t="e">
        <f t="shared" ca="1" si="7"/>
        <v>#NAME?</v>
      </c>
    </row>
    <row r="246" spans="1:9" x14ac:dyDescent="0.25">
      <c r="A246" s="2" t="s">
        <v>380</v>
      </c>
      <c r="B246" s="2" t="s">
        <v>10</v>
      </c>
      <c r="C246" s="3">
        <v>45072</v>
      </c>
      <c r="D246" t="s">
        <v>364</v>
      </c>
      <c r="E246" s="2" t="s">
        <v>12</v>
      </c>
      <c r="F246" s="2" t="s">
        <v>12</v>
      </c>
      <c r="G246" t="s">
        <v>16</v>
      </c>
      <c r="H246" t="str">
        <f t="shared" si="6"/>
        <v>https://videplast.com.br/consulta-imobilizado?id=21006322&amp;nome=CACAMBA%20PALETIZADA%20FUNDO%20CONICO%201000X1000X600MM</v>
      </c>
      <c r="I246" t="e">
        <f t="shared" ca="1" si="7"/>
        <v>#NAME?</v>
      </c>
    </row>
    <row r="247" spans="1:9" x14ac:dyDescent="0.25">
      <c r="A247" s="2" t="s">
        <v>380</v>
      </c>
      <c r="B247" s="2" t="s">
        <v>26</v>
      </c>
      <c r="C247" s="3">
        <v>45072</v>
      </c>
      <c r="D247" t="s">
        <v>381</v>
      </c>
      <c r="E247" s="2" t="s">
        <v>12</v>
      </c>
      <c r="F247" s="2" t="s">
        <v>12</v>
      </c>
      <c r="G247" t="s">
        <v>16</v>
      </c>
      <c r="H247" t="str">
        <f t="shared" si="6"/>
        <v>https://videplast.com.br/consulta-imobilizado?id=21006322&amp;nome=FRETE</v>
      </c>
      <c r="I247" t="e">
        <f t="shared" ca="1" si="7"/>
        <v>#NAME?</v>
      </c>
    </row>
    <row r="248" spans="1:9" x14ac:dyDescent="0.25">
      <c r="A248" s="2" t="s">
        <v>382</v>
      </c>
      <c r="B248" s="2" t="s">
        <v>10</v>
      </c>
      <c r="C248" s="3">
        <v>45072</v>
      </c>
      <c r="D248" t="s">
        <v>364</v>
      </c>
      <c r="E248" s="2" t="s">
        <v>12</v>
      </c>
      <c r="F248" s="2" t="s">
        <v>12</v>
      </c>
      <c r="G248" t="s">
        <v>16</v>
      </c>
      <c r="H248" t="str">
        <f t="shared" si="6"/>
        <v>https://videplast.com.br/consulta-imobilizado?id=21006323&amp;nome=CACAMBA%20PALETIZADA%20FUNDO%20CONICO%201000X1000X600MM</v>
      </c>
      <c r="I248" t="e">
        <f t="shared" ca="1" si="7"/>
        <v>#NAME?</v>
      </c>
    </row>
    <row r="249" spans="1:9" x14ac:dyDescent="0.25">
      <c r="A249" s="2" t="s">
        <v>383</v>
      </c>
      <c r="B249" s="2" t="s">
        <v>10</v>
      </c>
      <c r="C249" s="3">
        <v>45072</v>
      </c>
      <c r="D249" t="s">
        <v>364</v>
      </c>
      <c r="E249" s="2" t="s">
        <v>12</v>
      </c>
      <c r="F249" s="2" t="s">
        <v>12</v>
      </c>
      <c r="G249" t="s">
        <v>16</v>
      </c>
      <c r="H249" t="str">
        <f t="shared" si="6"/>
        <v>https://videplast.com.br/consulta-imobilizado?id=21006324&amp;nome=CACAMBA%20PALETIZADA%20FUNDO%20CONICO%201000X1000X600MM</v>
      </c>
      <c r="I249" t="e">
        <f t="shared" ca="1" si="7"/>
        <v>#NAME?</v>
      </c>
    </row>
    <row r="250" spans="1:9" x14ac:dyDescent="0.25">
      <c r="A250" s="2" t="s">
        <v>384</v>
      </c>
      <c r="B250" s="2" t="s">
        <v>10</v>
      </c>
      <c r="C250" s="3">
        <v>45072</v>
      </c>
      <c r="D250" t="s">
        <v>364</v>
      </c>
      <c r="E250" s="2" t="s">
        <v>12</v>
      </c>
      <c r="F250" s="2" t="s">
        <v>12</v>
      </c>
      <c r="G250" t="s">
        <v>16</v>
      </c>
      <c r="H250" t="str">
        <f t="shared" si="6"/>
        <v>https://videplast.com.br/consulta-imobilizado?id=21006325&amp;nome=CACAMBA%20PALETIZADA%20FUNDO%20CONICO%201000X1000X600MM</v>
      </c>
      <c r="I250" t="e">
        <f t="shared" ca="1" si="7"/>
        <v>#NAME?</v>
      </c>
    </row>
    <row r="251" spans="1:9" x14ac:dyDescent="0.25">
      <c r="A251" s="2" t="s">
        <v>385</v>
      </c>
      <c r="B251" s="2" t="s">
        <v>10</v>
      </c>
      <c r="C251" s="3">
        <v>45072</v>
      </c>
      <c r="D251" t="s">
        <v>364</v>
      </c>
      <c r="E251" s="2" t="s">
        <v>12</v>
      </c>
      <c r="F251" s="2" t="s">
        <v>12</v>
      </c>
      <c r="G251" t="s">
        <v>16</v>
      </c>
      <c r="H251" t="str">
        <f t="shared" si="6"/>
        <v>https://videplast.com.br/consulta-imobilizado?id=21006326&amp;nome=CACAMBA%20PALETIZADA%20FUNDO%20CONICO%201000X1000X600MM</v>
      </c>
      <c r="I251" t="e">
        <f t="shared" ca="1" si="7"/>
        <v>#NAME?</v>
      </c>
    </row>
    <row r="252" spans="1:9" x14ac:dyDescent="0.25">
      <c r="A252" s="2" t="s">
        <v>386</v>
      </c>
      <c r="B252" s="2" t="s">
        <v>10</v>
      </c>
      <c r="C252" s="3">
        <v>45072</v>
      </c>
      <c r="D252" t="s">
        <v>364</v>
      </c>
      <c r="E252" s="2" t="s">
        <v>12</v>
      </c>
      <c r="F252" s="2" t="s">
        <v>12</v>
      </c>
      <c r="G252" t="s">
        <v>16</v>
      </c>
      <c r="H252" t="str">
        <f t="shared" si="6"/>
        <v>https://videplast.com.br/consulta-imobilizado?id=21006327&amp;nome=CACAMBA%20PALETIZADA%20FUNDO%20CONICO%201000X1000X600MM</v>
      </c>
      <c r="I252" t="e">
        <f t="shared" ca="1" si="7"/>
        <v>#NAME?</v>
      </c>
    </row>
    <row r="253" spans="1:9" x14ac:dyDescent="0.25">
      <c r="A253" s="2" t="s">
        <v>387</v>
      </c>
      <c r="B253" s="2" t="s">
        <v>10</v>
      </c>
      <c r="C253" s="3">
        <v>45446</v>
      </c>
      <c r="D253" t="s">
        <v>388</v>
      </c>
      <c r="E253" s="2" t="s">
        <v>12</v>
      </c>
      <c r="F253" s="2" t="s">
        <v>12</v>
      </c>
      <c r="G253" t="s">
        <v>16</v>
      </c>
      <c r="H253" t="str">
        <f t="shared" si="6"/>
        <v>https://videplast.com.br/consulta-imobilizado?id=21006446&amp;nome=ESTAÇÃO%20DE%20TRATAMENTO%20CORONA%20MODELO%20CSS</v>
      </c>
      <c r="I253" t="e">
        <f t="shared" ca="1" si="7"/>
        <v>#NAME?</v>
      </c>
    </row>
    <row r="254" spans="1:9" x14ac:dyDescent="0.25">
      <c r="A254" s="2" t="s">
        <v>389</v>
      </c>
      <c r="B254" s="2" t="s">
        <v>10</v>
      </c>
      <c r="C254" s="3">
        <v>45539</v>
      </c>
      <c r="D254" t="s">
        <v>390</v>
      </c>
      <c r="E254" s="2" t="s">
        <v>391</v>
      </c>
      <c r="F254" s="2" t="s">
        <v>392</v>
      </c>
      <c r="G254" t="s">
        <v>16</v>
      </c>
      <c r="H254" t="str">
        <f t="shared" si="6"/>
        <v>https://videplast.com.br/consulta-imobilizado?id=21006459&amp;nome=PALETEIRA%20ELÉTRICA%20EMBARCADA%20REQ0472A</v>
      </c>
      <c r="I254" t="e">
        <f t="shared" ca="1" si="7"/>
        <v>#NAME?</v>
      </c>
    </row>
    <row r="255" spans="1:9" x14ac:dyDescent="0.25">
      <c r="A255" s="2" t="s">
        <v>393</v>
      </c>
      <c r="B255" s="2" t="s">
        <v>10</v>
      </c>
      <c r="C255" s="3">
        <v>45503</v>
      </c>
      <c r="D255" t="s">
        <v>394</v>
      </c>
      <c r="E255" s="2" t="s">
        <v>12</v>
      </c>
      <c r="F255" s="2" t="s">
        <v>12</v>
      </c>
      <c r="G255" t="s">
        <v>16</v>
      </c>
      <c r="H255" t="str">
        <f t="shared" si="6"/>
        <v>https://videplast.com.br/consulta-imobilizado?id=21006576&amp;nome=DOSADOR%20DE%20ADITIVO%20LIQUIDO%20DXL%20700</v>
      </c>
      <c r="I255" t="e">
        <f t="shared" ca="1" si="7"/>
        <v>#NAME?</v>
      </c>
    </row>
    <row r="256" spans="1:9" x14ac:dyDescent="0.25">
      <c r="A256" s="2" t="s">
        <v>395</v>
      </c>
      <c r="B256" s="2" t="s">
        <v>10</v>
      </c>
      <c r="C256" s="3">
        <v>45503</v>
      </c>
      <c r="D256" t="s">
        <v>394</v>
      </c>
      <c r="E256" s="2" t="s">
        <v>12</v>
      </c>
      <c r="F256" s="2" t="s">
        <v>12</v>
      </c>
      <c r="G256" t="s">
        <v>16</v>
      </c>
      <c r="H256" t="str">
        <f t="shared" si="6"/>
        <v>https://videplast.com.br/consulta-imobilizado?id=21006577&amp;nome=DOSADOR%20DE%20ADITIVO%20LIQUIDO%20DXL%20700</v>
      </c>
      <c r="I256" t="e">
        <f t="shared" ca="1" si="7"/>
        <v>#NAME?</v>
      </c>
    </row>
    <row r="257" spans="1:9" x14ac:dyDescent="0.25">
      <c r="A257" s="2" t="s">
        <v>396</v>
      </c>
      <c r="B257" s="2" t="s">
        <v>10</v>
      </c>
      <c r="C257" s="3">
        <v>45503</v>
      </c>
      <c r="D257" t="s">
        <v>394</v>
      </c>
      <c r="E257" s="2" t="s">
        <v>12</v>
      </c>
      <c r="F257" s="2" t="s">
        <v>12</v>
      </c>
      <c r="G257" t="s">
        <v>16</v>
      </c>
      <c r="H257" t="str">
        <f t="shared" si="6"/>
        <v>https://videplast.com.br/consulta-imobilizado?id=21006578&amp;nome=DOSADOR%20DE%20ADITIVO%20LIQUIDO%20DXL%20700</v>
      </c>
      <c r="I257" t="e">
        <f t="shared" ca="1" si="7"/>
        <v>#NAME?</v>
      </c>
    </row>
    <row r="258" spans="1:9" x14ac:dyDescent="0.25">
      <c r="A258" s="2" t="s">
        <v>397</v>
      </c>
      <c r="B258" s="2" t="s">
        <v>10</v>
      </c>
      <c r="C258" s="3">
        <v>45516</v>
      </c>
      <c r="D258" t="s">
        <v>213</v>
      </c>
      <c r="E258" s="2" t="s">
        <v>12</v>
      </c>
      <c r="F258" s="2" t="s">
        <v>12</v>
      </c>
      <c r="G258" t="s">
        <v>16</v>
      </c>
      <c r="H258" t="str">
        <f t="shared" ref="H258:H321" si="8" xml:space="preserve"> "https://videplast.com.br/consulta-imobilizado?id=" &amp; A258 &amp; "&amp;nome=" &amp; SUBSTITUTE(D258, " ", "%20")</f>
        <v>https://videplast.com.br/consulta-imobilizado?id=21006617&amp;nome=EMPILHADEIRA%20HIDRAULICA%20MANUAL%20PALETRANS%20LM%20510</v>
      </c>
      <c r="I258" t="e">
        <f t="shared" ref="I258:I321" ca="1" si="9">_xlfn.IMAGE("https://chart.googleapis.com/chart?chs=150x150&amp;cht=qr&amp;chl=" &amp; H258)</f>
        <v>#NAME?</v>
      </c>
    </row>
    <row r="259" spans="1:9" x14ac:dyDescent="0.25">
      <c r="A259" s="2" t="s">
        <v>398</v>
      </c>
      <c r="B259" s="2" t="s">
        <v>10</v>
      </c>
      <c r="C259" s="3">
        <v>45516</v>
      </c>
      <c r="D259" t="s">
        <v>231</v>
      </c>
      <c r="E259" s="2" t="s">
        <v>12</v>
      </c>
      <c r="F259" s="2" t="s">
        <v>12</v>
      </c>
      <c r="G259" t="s">
        <v>16</v>
      </c>
      <c r="H259" t="str">
        <f t="shared" si="8"/>
        <v>https://videplast.com.br/consulta-imobilizado?id=21006622&amp;nome=TROCADOR%20DE%20CALOR%20REFRISAT%20TC%2030</v>
      </c>
      <c r="I259" t="e">
        <f t="shared" ca="1" si="9"/>
        <v>#NAME?</v>
      </c>
    </row>
    <row r="260" spans="1:9" x14ac:dyDescent="0.25">
      <c r="A260" s="2" t="s">
        <v>399</v>
      </c>
      <c r="B260" s="2" t="s">
        <v>10</v>
      </c>
      <c r="C260" s="3">
        <v>45602</v>
      </c>
      <c r="D260" t="s">
        <v>400</v>
      </c>
      <c r="E260" s="2" t="s">
        <v>12</v>
      </c>
      <c r="F260" s="2" t="s">
        <v>12</v>
      </c>
      <c r="G260" t="s">
        <v>16</v>
      </c>
      <c r="H260" t="str">
        <f t="shared" si="8"/>
        <v>https://videplast.com.br/consulta-imobilizado?id=21006835&amp;nome=ROSCA%2075MM%20BIMETALICA%20XALOY</v>
      </c>
      <c r="I260" t="e">
        <f t="shared" ca="1" si="9"/>
        <v>#NAME?</v>
      </c>
    </row>
    <row r="261" spans="1:9" x14ac:dyDescent="0.25">
      <c r="A261" s="2" t="s">
        <v>401</v>
      </c>
      <c r="B261" s="2" t="s">
        <v>10</v>
      </c>
      <c r="C261" s="3">
        <v>43865</v>
      </c>
      <c r="D261" t="s">
        <v>402</v>
      </c>
      <c r="E261" s="2" t="s">
        <v>12</v>
      </c>
      <c r="F261" s="2" t="s">
        <v>12</v>
      </c>
      <c r="G261" t="s">
        <v>16</v>
      </c>
      <c r="H261" t="str">
        <f t="shared" si="8"/>
        <v>https://videplast.com.br/consulta-imobilizado?id=22003133&amp;nome=CAMISA%20CARBOLOX%20BL%20121,074%20X%20149,606%20X%20890MM</v>
      </c>
      <c r="I261" t="e">
        <f t="shared" ca="1" si="9"/>
        <v>#NAME?</v>
      </c>
    </row>
    <row r="262" spans="1:9" x14ac:dyDescent="0.25">
      <c r="A262" s="2" t="s">
        <v>403</v>
      </c>
      <c r="B262" s="2" t="s">
        <v>10</v>
      </c>
      <c r="C262" s="3">
        <v>40755</v>
      </c>
      <c r="D262" t="s">
        <v>404</v>
      </c>
      <c r="E262" s="2" t="s">
        <v>12</v>
      </c>
      <c r="F262" s="2" t="s">
        <v>12</v>
      </c>
      <c r="G262" t="s">
        <v>16</v>
      </c>
      <c r="H262" t="str">
        <f t="shared" si="8"/>
        <v>https://videplast.com.br/consulta-imobilizado?id=30000109&amp;nome=BEBEDOUROBRX%2080%20INOX%20220V</v>
      </c>
      <c r="I262" t="e">
        <f t="shared" ca="1" si="9"/>
        <v>#NAME?</v>
      </c>
    </row>
    <row r="263" spans="1:9" x14ac:dyDescent="0.25">
      <c r="A263" s="2" t="s">
        <v>405</v>
      </c>
      <c r="B263" s="2" t="s">
        <v>10</v>
      </c>
      <c r="C263" s="3">
        <v>41182</v>
      </c>
      <c r="D263" t="s">
        <v>406</v>
      </c>
      <c r="E263" s="2" t="s">
        <v>12</v>
      </c>
      <c r="F263" s="2" t="s">
        <v>12</v>
      </c>
      <c r="G263" t="s">
        <v>16</v>
      </c>
      <c r="H263" t="str">
        <f t="shared" si="8"/>
        <v>https://videplast.com.br/consulta-imobilizado?id=30000122&amp;nome=BEBEDOURO%20ACQUA%20GELATA%20PAG-100%20COM%203%20TORNEIRAS</v>
      </c>
      <c r="I263" t="e">
        <f t="shared" ca="1" si="9"/>
        <v>#NAME?</v>
      </c>
    </row>
    <row r="264" spans="1:9" x14ac:dyDescent="0.25">
      <c r="A264" s="2" t="s">
        <v>407</v>
      </c>
      <c r="B264" s="2" t="s">
        <v>10</v>
      </c>
      <c r="C264" s="3">
        <v>41943</v>
      </c>
      <c r="D264" t="s">
        <v>408</v>
      </c>
      <c r="E264" s="2" t="s">
        <v>409</v>
      </c>
      <c r="F264" s="2" t="s">
        <v>12</v>
      </c>
      <c r="G264" t="s">
        <v>16</v>
      </c>
      <c r="H264" t="str">
        <f t="shared" si="8"/>
        <v>https://videplast.com.br/consulta-imobilizado?id=30000144&amp;nome=AR%20CONDICIONADO%20SPRINGER%20ACJ%207500%20BTU</v>
      </c>
      <c r="I264" t="e">
        <f t="shared" ca="1" si="9"/>
        <v>#NAME?</v>
      </c>
    </row>
    <row r="265" spans="1:9" x14ac:dyDescent="0.25">
      <c r="A265" s="2" t="s">
        <v>410</v>
      </c>
      <c r="B265" s="2" t="s">
        <v>10</v>
      </c>
      <c r="C265" s="3">
        <v>36826</v>
      </c>
      <c r="D265" t="s">
        <v>411</v>
      </c>
      <c r="E265" s="2" t="s">
        <v>12</v>
      </c>
      <c r="F265" s="2" t="s">
        <v>12</v>
      </c>
      <c r="G265" t="s">
        <v>16</v>
      </c>
      <c r="H265" t="str">
        <f t="shared" si="8"/>
        <v>https://videplast.com.br/consulta-imobilizado?id=30000155&amp;nome=BEBEDOURO%20ELETRICO</v>
      </c>
      <c r="I265" t="e">
        <f t="shared" ca="1" si="9"/>
        <v>#NAME?</v>
      </c>
    </row>
    <row r="266" spans="1:9" x14ac:dyDescent="0.25">
      <c r="A266" s="2" t="s">
        <v>412</v>
      </c>
      <c r="B266" s="2" t="s">
        <v>10</v>
      </c>
      <c r="C266" s="3">
        <v>36717</v>
      </c>
      <c r="D266" t="s">
        <v>413</v>
      </c>
      <c r="E266" s="2" t="s">
        <v>12</v>
      </c>
      <c r="F266" s="2" t="s">
        <v>12</v>
      </c>
      <c r="G266" t="s">
        <v>16</v>
      </c>
      <c r="H266" t="str">
        <f t="shared" si="8"/>
        <v>https://videplast.com.br/consulta-imobilizado?id=30000158&amp;nome=4%20CACAMBAS%20PALLETIZADAS</v>
      </c>
      <c r="I266" t="e">
        <f t="shared" ca="1" si="9"/>
        <v>#NAME?</v>
      </c>
    </row>
    <row r="267" spans="1:9" x14ac:dyDescent="0.25">
      <c r="A267" s="2" t="s">
        <v>414</v>
      </c>
      <c r="B267" s="2" t="s">
        <v>10</v>
      </c>
      <c r="C267" s="3">
        <v>38182</v>
      </c>
      <c r="D267" t="s">
        <v>415</v>
      </c>
      <c r="E267" s="2" t="s">
        <v>12</v>
      </c>
      <c r="F267" s="2" t="s">
        <v>12</v>
      </c>
      <c r="G267" t="s">
        <v>16</v>
      </c>
      <c r="H267" t="str">
        <f t="shared" si="8"/>
        <v>https://videplast.com.br/consulta-imobilizado?id=30000187&amp;nome=ARQUIVO%20DE%20ACO%204%20GAVETAS</v>
      </c>
      <c r="I267" t="e">
        <f t="shared" ca="1" si="9"/>
        <v>#NAME?</v>
      </c>
    </row>
    <row r="268" spans="1:9" x14ac:dyDescent="0.25">
      <c r="A268" s="2" t="s">
        <v>416</v>
      </c>
      <c r="B268" s="2" t="s">
        <v>10</v>
      </c>
      <c r="C268" s="3">
        <v>38898</v>
      </c>
      <c r="D268" t="s">
        <v>417</v>
      </c>
      <c r="E268" s="2" t="s">
        <v>12</v>
      </c>
      <c r="F268" s="2" t="s">
        <v>12</v>
      </c>
      <c r="G268" t="s">
        <v>16</v>
      </c>
      <c r="H268" t="str">
        <f t="shared" si="8"/>
        <v>https://videplast.com.br/consulta-imobilizado?id=30000202&amp;nome=BEBEDOURO%20DE%20PRESSAO</v>
      </c>
      <c r="I268" t="e">
        <f t="shared" ca="1" si="9"/>
        <v>#NAME?</v>
      </c>
    </row>
    <row r="269" spans="1:9" x14ac:dyDescent="0.25">
      <c r="A269" s="2" t="s">
        <v>418</v>
      </c>
      <c r="B269" s="2" t="s">
        <v>10</v>
      </c>
      <c r="C269" s="3">
        <v>39933</v>
      </c>
      <c r="D269" t="s">
        <v>419</v>
      </c>
      <c r="E269" s="2" t="s">
        <v>12</v>
      </c>
      <c r="F269" s="2" t="s">
        <v>12</v>
      </c>
      <c r="G269" t="s">
        <v>16</v>
      </c>
      <c r="H269" t="str">
        <f t="shared" si="8"/>
        <v>https://videplast.com.br/consulta-imobilizado?id=30000228&amp;nome=AR%20CONDICIONADO%20CONSUL%20220V%20CCF07D%207500%20BTU</v>
      </c>
      <c r="I269" t="e">
        <f t="shared" ca="1" si="9"/>
        <v>#NAME?</v>
      </c>
    </row>
    <row r="270" spans="1:9" x14ac:dyDescent="0.25">
      <c r="A270" s="2" t="s">
        <v>420</v>
      </c>
      <c r="B270" s="2" t="s">
        <v>10</v>
      </c>
      <c r="C270" s="3">
        <v>42426</v>
      </c>
      <c r="D270" t="s">
        <v>421</v>
      </c>
      <c r="E270" s="2" t="s">
        <v>12</v>
      </c>
      <c r="F270" s="2" t="s">
        <v>12</v>
      </c>
      <c r="G270" t="s">
        <v>16</v>
      </c>
      <c r="H270" t="str">
        <f t="shared" si="8"/>
        <v>https://videplast.com.br/consulta-imobilizado?id=30001379&amp;nome=EXAUSTOR%20VCI-350%20220/380V%2060HZ%20TRIFASICO</v>
      </c>
      <c r="I270" t="e">
        <f t="shared" ca="1" si="9"/>
        <v>#NAME?</v>
      </c>
    </row>
    <row r="271" spans="1:9" x14ac:dyDescent="0.25">
      <c r="A271" s="2" t="s">
        <v>422</v>
      </c>
      <c r="B271" s="2" t="s">
        <v>10</v>
      </c>
      <c r="C271" s="3">
        <v>42426</v>
      </c>
      <c r="D271" t="s">
        <v>421</v>
      </c>
      <c r="E271" s="2" t="s">
        <v>12</v>
      </c>
      <c r="F271" s="2" t="s">
        <v>12</v>
      </c>
      <c r="G271" t="s">
        <v>16</v>
      </c>
      <c r="H271" t="str">
        <f t="shared" si="8"/>
        <v>https://videplast.com.br/consulta-imobilizado?id=30001380&amp;nome=EXAUSTOR%20VCI-350%20220/380V%2060HZ%20TRIFASICO</v>
      </c>
      <c r="I271" t="e">
        <f t="shared" ca="1" si="9"/>
        <v>#NAME?</v>
      </c>
    </row>
    <row r="272" spans="1:9" x14ac:dyDescent="0.25">
      <c r="A272" s="2" t="s">
        <v>423</v>
      </c>
      <c r="B272" s="2" t="s">
        <v>10</v>
      </c>
      <c r="C272" s="3">
        <v>42426</v>
      </c>
      <c r="D272" t="s">
        <v>421</v>
      </c>
      <c r="E272" s="2" t="s">
        <v>12</v>
      </c>
      <c r="F272" s="2" t="s">
        <v>12</v>
      </c>
      <c r="G272" t="s">
        <v>16</v>
      </c>
      <c r="H272" t="str">
        <f t="shared" si="8"/>
        <v>https://videplast.com.br/consulta-imobilizado?id=30001381&amp;nome=EXAUSTOR%20VCI-350%20220/380V%2060HZ%20TRIFASICO</v>
      </c>
      <c r="I272" t="e">
        <f t="shared" ca="1" si="9"/>
        <v>#NAME?</v>
      </c>
    </row>
    <row r="273" spans="1:9" x14ac:dyDescent="0.25">
      <c r="A273" s="2" t="s">
        <v>424</v>
      </c>
      <c r="B273" s="2" t="s">
        <v>10</v>
      </c>
      <c r="C273" s="3">
        <v>42426</v>
      </c>
      <c r="D273" t="s">
        <v>421</v>
      </c>
      <c r="E273" s="2" t="s">
        <v>12</v>
      </c>
      <c r="F273" s="2" t="s">
        <v>12</v>
      </c>
      <c r="G273" t="s">
        <v>16</v>
      </c>
      <c r="H273" t="str">
        <f t="shared" si="8"/>
        <v>https://videplast.com.br/consulta-imobilizado?id=30001382&amp;nome=EXAUSTOR%20VCI-350%20220/380V%2060HZ%20TRIFASICO</v>
      </c>
      <c r="I273" t="e">
        <f t="shared" ca="1" si="9"/>
        <v>#NAME?</v>
      </c>
    </row>
    <row r="274" spans="1:9" x14ac:dyDescent="0.25">
      <c r="A274" s="2" t="s">
        <v>425</v>
      </c>
      <c r="B274" s="2" t="s">
        <v>10</v>
      </c>
      <c r="C274" s="3">
        <v>42426</v>
      </c>
      <c r="D274" t="s">
        <v>421</v>
      </c>
      <c r="E274" s="2" t="s">
        <v>12</v>
      </c>
      <c r="F274" s="2" t="s">
        <v>12</v>
      </c>
      <c r="G274" t="s">
        <v>16</v>
      </c>
      <c r="H274" t="str">
        <f t="shared" si="8"/>
        <v>https://videplast.com.br/consulta-imobilizado?id=30001383&amp;nome=EXAUSTOR%20VCI-350%20220/380V%2060HZ%20TRIFASICO</v>
      </c>
      <c r="I274" t="e">
        <f t="shared" ca="1" si="9"/>
        <v>#NAME?</v>
      </c>
    </row>
    <row r="275" spans="1:9" x14ac:dyDescent="0.25">
      <c r="A275" s="2" t="s">
        <v>426</v>
      </c>
      <c r="B275" s="2" t="s">
        <v>10</v>
      </c>
      <c r="C275" s="3">
        <v>42426</v>
      </c>
      <c r="D275" t="s">
        <v>421</v>
      </c>
      <c r="E275" s="2" t="s">
        <v>12</v>
      </c>
      <c r="F275" s="2" t="s">
        <v>12</v>
      </c>
      <c r="G275" t="s">
        <v>16</v>
      </c>
      <c r="H275" t="str">
        <f t="shared" si="8"/>
        <v>https://videplast.com.br/consulta-imobilizado?id=30001384&amp;nome=EXAUSTOR%20VCI-350%20220/380V%2060HZ%20TRIFASICO</v>
      </c>
      <c r="I275" t="e">
        <f t="shared" ca="1" si="9"/>
        <v>#NAME?</v>
      </c>
    </row>
    <row r="276" spans="1:9" x14ac:dyDescent="0.25">
      <c r="A276" s="2" t="s">
        <v>427</v>
      </c>
      <c r="B276" s="2" t="s">
        <v>10</v>
      </c>
      <c r="C276" s="3">
        <v>43003</v>
      </c>
      <c r="D276" t="s">
        <v>428</v>
      </c>
      <c r="E276" s="2" t="s">
        <v>12</v>
      </c>
      <c r="F276" s="2" t="s">
        <v>12</v>
      </c>
      <c r="G276" t="s">
        <v>16</v>
      </c>
      <c r="H276" t="str">
        <f t="shared" si="8"/>
        <v>https://videplast.com.br/consulta-imobilizado?id=30001645&amp;nome=CADEIRA%20SECRETARIA%20GIRATORIA%20SEM%20BRAÇOS%20REVESTIDA</v>
      </c>
      <c r="I276" t="e">
        <f t="shared" ca="1" si="9"/>
        <v>#NAME?</v>
      </c>
    </row>
    <row r="277" spans="1:9" x14ac:dyDescent="0.25">
      <c r="A277" s="2" t="s">
        <v>429</v>
      </c>
      <c r="B277" s="2" t="s">
        <v>10</v>
      </c>
      <c r="C277" s="3">
        <v>43003</v>
      </c>
      <c r="D277" t="s">
        <v>428</v>
      </c>
      <c r="E277" s="2" t="s">
        <v>12</v>
      </c>
      <c r="F277" s="2" t="s">
        <v>12</v>
      </c>
      <c r="G277" t="s">
        <v>16</v>
      </c>
      <c r="H277" t="str">
        <f t="shared" si="8"/>
        <v>https://videplast.com.br/consulta-imobilizado?id=30001646&amp;nome=CADEIRA%20SECRETARIA%20GIRATORIA%20SEM%20BRAÇOS%20REVESTIDA</v>
      </c>
      <c r="I277" t="e">
        <f t="shared" ca="1" si="9"/>
        <v>#NAME?</v>
      </c>
    </row>
    <row r="278" spans="1:9" x14ac:dyDescent="0.25">
      <c r="A278" s="2" t="s">
        <v>430</v>
      </c>
      <c r="B278" s="2" t="s">
        <v>10</v>
      </c>
      <c r="C278" s="3">
        <v>43377</v>
      </c>
      <c r="D278" t="s">
        <v>431</v>
      </c>
      <c r="E278" s="2" t="s">
        <v>432</v>
      </c>
      <c r="F278" s="2" t="s">
        <v>12</v>
      </c>
      <c r="G278" t="s">
        <v>16</v>
      </c>
      <c r="H278" t="str">
        <f t="shared" si="8"/>
        <v>https://videplast.com.br/consulta-imobilizado?id=30001749&amp;nome=BEBEDOURO%20IBBL%20CAPACIDADE%205%20LITROS%20220V%2060%20HZ%20INOX</v>
      </c>
      <c r="I278" t="e">
        <f t="shared" ca="1" si="9"/>
        <v>#NAME?</v>
      </c>
    </row>
    <row r="279" spans="1:9" x14ac:dyDescent="0.25">
      <c r="A279" s="2" t="s">
        <v>433</v>
      </c>
      <c r="B279" s="2" t="s">
        <v>10</v>
      </c>
      <c r="C279" s="3">
        <v>43469</v>
      </c>
      <c r="D279" t="s">
        <v>434</v>
      </c>
      <c r="E279" s="2" t="s">
        <v>12</v>
      </c>
      <c r="F279" s="2" t="s">
        <v>12</v>
      </c>
      <c r="G279" t="s">
        <v>16</v>
      </c>
      <c r="H279" t="str">
        <f t="shared" si="8"/>
        <v>https://videplast.com.br/consulta-imobilizado?id=30001766&amp;nome=AR%20CONDICIONADO%20HW%20INVERTER%20FUJITSU%2012000%20BTU</v>
      </c>
      <c r="I279" t="e">
        <f t="shared" ca="1" si="9"/>
        <v>#NAME?</v>
      </c>
    </row>
    <row r="280" spans="1:9" x14ac:dyDescent="0.25">
      <c r="A280" s="2" t="s">
        <v>435</v>
      </c>
      <c r="B280" s="2" t="s">
        <v>10</v>
      </c>
      <c r="C280" s="3">
        <v>43720</v>
      </c>
      <c r="D280" t="s">
        <v>436</v>
      </c>
      <c r="E280" s="2" t="s">
        <v>12</v>
      </c>
      <c r="F280" s="2" t="s">
        <v>12</v>
      </c>
      <c r="G280" t="s">
        <v>16</v>
      </c>
      <c r="H280" t="str">
        <f t="shared" si="8"/>
        <v>https://videplast.com.br/consulta-imobilizado?id=30002245&amp;nome=DISPENSER%20DUPLO%20PORTA%20RACAO%2010UN%2040L</v>
      </c>
      <c r="I280" t="e">
        <f t="shared" ca="1" si="9"/>
        <v>#NAME?</v>
      </c>
    </row>
    <row r="281" spans="1:9" x14ac:dyDescent="0.25">
      <c r="A281" s="2" t="s">
        <v>437</v>
      </c>
      <c r="B281" s="2" t="s">
        <v>10</v>
      </c>
      <c r="C281" s="3">
        <v>43808</v>
      </c>
      <c r="D281" t="s">
        <v>438</v>
      </c>
      <c r="E281" s="2" t="s">
        <v>12</v>
      </c>
      <c r="F281" s="2" t="s">
        <v>439</v>
      </c>
      <c r="G281" t="s">
        <v>16</v>
      </c>
      <c r="H281" t="str">
        <f t="shared" si="8"/>
        <v>https://videplast.com.br/consulta-imobilizado?id=30002329&amp;nome=AR%20CONDICIONADO%20FUJITSU%20SPLIT%20HW%2018000%20BTU</v>
      </c>
      <c r="I281" t="e">
        <f t="shared" ca="1" si="9"/>
        <v>#NAME?</v>
      </c>
    </row>
    <row r="282" spans="1:9" x14ac:dyDescent="0.25">
      <c r="A282" s="2" t="s">
        <v>440</v>
      </c>
      <c r="B282" s="2" t="s">
        <v>10</v>
      </c>
      <c r="C282" s="3">
        <v>43808</v>
      </c>
      <c r="D282" t="s">
        <v>436</v>
      </c>
      <c r="E282" s="2" t="s">
        <v>12</v>
      </c>
      <c r="F282" s="2" t="s">
        <v>12</v>
      </c>
      <c r="G282" t="s">
        <v>16</v>
      </c>
      <c r="H282" t="str">
        <f t="shared" si="8"/>
        <v>https://videplast.com.br/consulta-imobilizado?id=30002343&amp;nome=DISPENSER%20DUPLO%20PORTA%20RACAO%2010UN%2040L</v>
      </c>
      <c r="I282" t="e">
        <f t="shared" ca="1" si="9"/>
        <v>#NAME?</v>
      </c>
    </row>
    <row r="283" spans="1:9" x14ac:dyDescent="0.25">
      <c r="A283" s="2" t="s">
        <v>441</v>
      </c>
      <c r="B283" s="2" t="s">
        <v>10</v>
      </c>
      <c r="C283" s="3">
        <v>43959</v>
      </c>
      <c r="D283" t="s">
        <v>442</v>
      </c>
      <c r="E283" s="2" t="s">
        <v>12</v>
      </c>
      <c r="F283" s="2" t="s">
        <v>12</v>
      </c>
      <c r="G283" t="s">
        <v>16</v>
      </c>
      <c r="H283" t="str">
        <f t="shared" si="8"/>
        <v>https://videplast.com.br/consulta-imobilizado?id=30002567&amp;nome=GAVETEIRO%20FIXO%20C/%202%20GAVETAS</v>
      </c>
      <c r="I283" t="e">
        <f t="shared" ca="1" si="9"/>
        <v>#NAME?</v>
      </c>
    </row>
    <row r="284" spans="1:9" x14ac:dyDescent="0.25">
      <c r="A284" s="2" t="s">
        <v>443</v>
      </c>
      <c r="B284" s="2" t="s">
        <v>10</v>
      </c>
      <c r="C284" s="3">
        <v>43959</v>
      </c>
      <c r="D284" t="s">
        <v>442</v>
      </c>
      <c r="E284" s="2" t="s">
        <v>12</v>
      </c>
      <c r="F284" s="2" t="s">
        <v>12</v>
      </c>
      <c r="G284" t="s">
        <v>16</v>
      </c>
      <c r="H284" t="str">
        <f t="shared" si="8"/>
        <v>https://videplast.com.br/consulta-imobilizado?id=30002568&amp;nome=GAVETEIRO%20FIXO%20C/%202%20GAVETAS</v>
      </c>
      <c r="I284" t="e">
        <f t="shared" ca="1" si="9"/>
        <v>#NAME?</v>
      </c>
    </row>
    <row r="285" spans="1:9" x14ac:dyDescent="0.25">
      <c r="A285" s="2" t="s">
        <v>444</v>
      </c>
      <c r="B285" s="2" t="s">
        <v>10</v>
      </c>
      <c r="C285" s="3">
        <v>43959</v>
      </c>
      <c r="D285" t="s">
        <v>442</v>
      </c>
      <c r="E285" s="2" t="s">
        <v>12</v>
      </c>
      <c r="F285" s="2" t="s">
        <v>12</v>
      </c>
      <c r="G285" t="s">
        <v>16</v>
      </c>
      <c r="H285" t="str">
        <f t="shared" si="8"/>
        <v>https://videplast.com.br/consulta-imobilizado?id=30002569&amp;nome=GAVETEIRO%20FIXO%20C/%202%20GAVETAS</v>
      </c>
      <c r="I285" t="e">
        <f t="shared" ca="1" si="9"/>
        <v>#NAME?</v>
      </c>
    </row>
    <row r="286" spans="1:9" x14ac:dyDescent="0.25">
      <c r="A286" s="2" t="s">
        <v>445</v>
      </c>
      <c r="B286" s="2" t="s">
        <v>10</v>
      </c>
      <c r="C286" s="3">
        <v>43959</v>
      </c>
      <c r="D286" t="s">
        <v>442</v>
      </c>
      <c r="E286" s="2" t="s">
        <v>12</v>
      </c>
      <c r="F286" s="2" t="s">
        <v>12</v>
      </c>
      <c r="G286" t="s">
        <v>16</v>
      </c>
      <c r="H286" t="str">
        <f t="shared" si="8"/>
        <v>https://videplast.com.br/consulta-imobilizado?id=30002570&amp;nome=GAVETEIRO%20FIXO%20C/%202%20GAVETAS</v>
      </c>
      <c r="I286" t="e">
        <f t="shared" ca="1" si="9"/>
        <v>#NAME?</v>
      </c>
    </row>
    <row r="287" spans="1:9" x14ac:dyDescent="0.25">
      <c r="A287" s="2" t="s">
        <v>446</v>
      </c>
      <c r="B287" s="2" t="s">
        <v>10</v>
      </c>
      <c r="C287" s="3">
        <v>44321</v>
      </c>
      <c r="D287" t="s">
        <v>447</v>
      </c>
      <c r="E287" s="2" t="s">
        <v>12</v>
      </c>
      <c r="F287" s="2" t="s">
        <v>12</v>
      </c>
      <c r="G287" t="s">
        <v>16</v>
      </c>
      <c r="H287" t="str">
        <f t="shared" si="8"/>
        <v>https://videplast.com.br/consulta-imobilizado?id=30003419&amp;nome=RACK%20METAL%2016UX570MM</v>
      </c>
      <c r="I287" t="e">
        <f t="shared" ca="1" si="9"/>
        <v>#NAME?</v>
      </c>
    </row>
    <row r="288" spans="1:9" x14ac:dyDescent="0.25">
      <c r="A288" s="2" t="s">
        <v>448</v>
      </c>
      <c r="B288" s="2" t="s">
        <v>10</v>
      </c>
      <c r="C288" s="3">
        <v>44362</v>
      </c>
      <c r="D288" t="s">
        <v>436</v>
      </c>
      <c r="E288" s="2" t="s">
        <v>12</v>
      </c>
      <c r="F288" s="2" t="s">
        <v>12</v>
      </c>
      <c r="G288" t="s">
        <v>16</v>
      </c>
      <c r="H288" t="str">
        <f t="shared" si="8"/>
        <v>https://videplast.com.br/consulta-imobilizado?id=30003429&amp;nome=DISPENSER%20DUPLO%20PORTA%20RACAO%2010UN%2040L</v>
      </c>
      <c r="I288" t="e">
        <f t="shared" ca="1" si="9"/>
        <v>#NAME?</v>
      </c>
    </row>
    <row r="289" spans="1:9" x14ac:dyDescent="0.25">
      <c r="A289" s="2" t="s">
        <v>449</v>
      </c>
      <c r="B289" s="2" t="s">
        <v>10</v>
      </c>
      <c r="C289" s="3">
        <v>44330</v>
      </c>
      <c r="D289" t="s">
        <v>450</v>
      </c>
      <c r="E289" s="2" t="s">
        <v>12</v>
      </c>
      <c r="F289" s="2" t="s">
        <v>12</v>
      </c>
      <c r="G289" t="s">
        <v>16</v>
      </c>
      <c r="H289" t="str">
        <f t="shared" si="8"/>
        <v>https://videplast.com.br/consulta-imobilizado?id=30003432&amp;nome=AR%20CONDICIONADO%20INT/EXT%20FRIO%20FUJITSU%2012000%20BTU</v>
      </c>
      <c r="I289" t="e">
        <f t="shared" ca="1" si="9"/>
        <v>#NAME?</v>
      </c>
    </row>
    <row r="290" spans="1:9" x14ac:dyDescent="0.25">
      <c r="A290" s="2" t="s">
        <v>451</v>
      </c>
      <c r="B290" s="2" t="s">
        <v>10</v>
      </c>
      <c r="C290" s="3">
        <v>44361</v>
      </c>
      <c r="D290" t="s">
        <v>452</v>
      </c>
      <c r="E290" s="2" t="s">
        <v>12</v>
      </c>
      <c r="F290" s="2" t="s">
        <v>12</v>
      </c>
      <c r="G290" t="s">
        <v>16</v>
      </c>
      <c r="H290" t="str">
        <f t="shared" si="8"/>
        <v>https://videplast.com.br/consulta-imobilizado?id=30003473&amp;nome=ARMARIO%20DE%20AÇO</v>
      </c>
      <c r="I290" t="e">
        <f t="shared" ca="1" si="9"/>
        <v>#NAME?</v>
      </c>
    </row>
    <row r="291" spans="1:9" x14ac:dyDescent="0.25">
      <c r="A291" s="2" t="s">
        <v>453</v>
      </c>
      <c r="B291" s="2" t="s">
        <v>10</v>
      </c>
      <c r="C291" s="3">
        <v>44579</v>
      </c>
      <c r="D291" t="s">
        <v>454</v>
      </c>
      <c r="E291" s="2" t="s">
        <v>455</v>
      </c>
      <c r="F291" s="2" t="s">
        <v>12</v>
      </c>
      <c r="G291" t="s">
        <v>16</v>
      </c>
      <c r="H291" t="str">
        <f t="shared" si="8"/>
        <v>https://videplast.com.br/consulta-imobilizado?id=30003562&amp;nome=BEBEDOURO%20INDUSTRIAL%20ACQUA%20GELATA%20PRE50%20ACO%20INOX</v>
      </c>
      <c r="I291" t="e">
        <f t="shared" ca="1" si="9"/>
        <v>#NAME?</v>
      </c>
    </row>
    <row r="292" spans="1:9" x14ac:dyDescent="0.25">
      <c r="A292" s="2" t="s">
        <v>456</v>
      </c>
      <c r="B292" s="2" t="s">
        <v>10</v>
      </c>
      <c r="C292" s="3">
        <v>44876</v>
      </c>
      <c r="D292" t="s">
        <v>457</v>
      </c>
      <c r="E292" s="2" t="s">
        <v>458</v>
      </c>
      <c r="F292" s="2" t="s">
        <v>12</v>
      </c>
      <c r="G292" t="s">
        <v>16</v>
      </c>
      <c r="H292" t="str">
        <f t="shared" si="8"/>
        <v>https://videplast.com.br/consulta-imobilizado?id=30003695&amp;nome=ARMARIO%20DE%20ACO%20CINZA%20COM%2050%20PORTAS%201140X1030X280MM</v>
      </c>
      <c r="I292" t="e">
        <f t="shared" ca="1" si="9"/>
        <v>#NAME?</v>
      </c>
    </row>
    <row r="293" spans="1:9" x14ac:dyDescent="0.25">
      <c r="A293" s="2" t="s">
        <v>459</v>
      </c>
      <c r="B293" s="2" t="s">
        <v>10</v>
      </c>
      <c r="C293" s="3">
        <v>44876</v>
      </c>
      <c r="D293" t="s">
        <v>457</v>
      </c>
      <c r="E293" s="2" t="s">
        <v>460</v>
      </c>
      <c r="F293" s="2" t="s">
        <v>12</v>
      </c>
      <c r="G293" t="s">
        <v>16</v>
      </c>
      <c r="H293" t="str">
        <f t="shared" si="8"/>
        <v>https://videplast.com.br/consulta-imobilizado?id=30003696&amp;nome=ARMARIO%20DE%20ACO%20CINZA%20COM%2050%20PORTAS%201140X1030X280MM</v>
      </c>
      <c r="I293" t="e">
        <f t="shared" ca="1" si="9"/>
        <v>#NAME?</v>
      </c>
    </row>
    <row r="294" spans="1:9" x14ac:dyDescent="0.25">
      <c r="A294" s="2" t="s">
        <v>461</v>
      </c>
      <c r="B294" s="2" t="s">
        <v>10</v>
      </c>
      <c r="C294" s="3">
        <v>45244</v>
      </c>
      <c r="D294" t="s">
        <v>462</v>
      </c>
      <c r="E294" s="2" t="s">
        <v>12</v>
      </c>
      <c r="F294" s="2" t="s">
        <v>463</v>
      </c>
      <c r="G294" t="s">
        <v>16</v>
      </c>
      <c r="H294" t="str">
        <f t="shared" si="8"/>
        <v>https://videplast.com.br/consulta-imobilizado?id=30003943&amp;nome=CLIMATIZADOR%20ROTOPLAST%20ROTO46%20PORTATIL</v>
      </c>
      <c r="I294" t="e">
        <f t="shared" ca="1" si="9"/>
        <v>#NAME?</v>
      </c>
    </row>
    <row r="295" spans="1:9" x14ac:dyDescent="0.25">
      <c r="A295" s="2" t="s">
        <v>464</v>
      </c>
      <c r="B295" s="2" t="s">
        <v>10</v>
      </c>
      <c r="C295" s="3">
        <v>45244</v>
      </c>
      <c r="D295" t="s">
        <v>462</v>
      </c>
      <c r="E295" s="2" t="s">
        <v>12</v>
      </c>
      <c r="F295" s="2" t="s">
        <v>465</v>
      </c>
      <c r="G295" t="s">
        <v>16</v>
      </c>
      <c r="H295" t="str">
        <f t="shared" si="8"/>
        <v>https://videplast.com.br/consulta-imobilizado?id=30003944&amp;nome=CLIMATIZADOR%20ROTOPLAST%20ROTO46%20PORTATIL</v>
      </c>
      <c r="I295" t="e">
        <f t="shared" ca="1" si="9"/>
        <v>#NAME?</v>
      </c>
    </row>
    <row r="296" spans="1:9" x14ac:dyDescent="0.25">
      <c r="A296" s="2" t="s">
        <v>466</v>
      </c>
      <c r="B296" s="2" t="s">
        <v>10</v>
      </c>
      <c r="C296" s="3">
        <v>45475</v>
      </c>
      <c r="D296" t="s">
        <v>467</v>
      </c>
      <c r="E296" s="2" t="s">
        <v>468</v>
      </c>
      <c r="F296" s="2" t="s">
        <v>12</v>
      </c>
      <c r="G296" t="s">
        <v>16</v>
      </c>
      <c r="H296" t="str">
        <f t="shared" si="8"/>
        <v>https://videplast.com.br/consulta-imobilizado?id=30004157&amp;nome=CADEIRA%20CAVALETTI%20GIRATORIA%20PRESIDENTE%204001</v>
      </c>
      <c r="I296" t="e">
        <f t="shared" ca="1" si="9"/>
        <v>#NAME?</v>
      </c>
    </row>
    <row r="297" spans="1:9" x14ac:dyDescent="0.25">
      <c r="A297" s="2" t="s">
        <v>469</v>
      </c>
      <c r="B297" s="2" t="s">
        <v>10</v>
      </c>
      <c r="C297" s="3">
        <v>45475</v>
      </c>
      <c r="D297" t="s">
        <v>467</v>
      </c>
      <c r="E297" s="2" t="s">
        <v>470</v>
      </c>
      <c r="F297" s="2" t="s">
        <v>12</v>
      </c>
      <c r="G297" t="s">
        <v>16</v>
      </c>
      <c r="H297" t="str">
        <f t="shared" si="8"/>
        <v>https://videplast.com.br/consulta-imobilizado?id=30004158&amp;nome=CADEIRA%20CAVALETTI%20GIRATORIA%20PRESIDENTE%204001</v>
      </c>
      <c r="I297" t="e">
        <f t="shared" ca="1" si="9"/>
        <v>#NAME?</v>
      </c>
    </row>
    <row r="298" spans="1:9" x14ac:dyDescent="0.25">
      <c r="A298" s="2" t="s">
        <v>471</v>
      </c>
      <c r="B298" s="2" t="s">
        <v>10</v>
      </c>
      <c r="C298" s="3">
        <v>45516</v>
      </c>
      <c r="D298" t="s">
        <v>434</v>
      </c>
      <c r="E298" s="2" t="s">
        <v>12</v>
      </c>
      <c r="F298" s="2" t="s">
        <v>12</v>
      </c>
      <c r="G298" t="s">
        <v>16</v>
      </c>
      <c r="H298" t="str">
        <f t="shared" si="8"/>
        <v>https://videplast.com.br/consulta-imobilizado?id=30004301&amp;nome=AR%20CONDICIONADO%20HW%20INVERTER%20FUJITSU%2012000%20BTU</v>
      </c>
      <c r="I298" t="e">
        <f t="shared" ca="1" si="9"/>
        <v>#NAME?</v>
      </c>
    </row>
    <row r="299" spans="1:9" x14ac:dyDescent="0.25">
      <c r="A299" s="2" t="s">
        <v>472</v>
      </c>
      <c r="B299" s="2" t="s">
        <v>10</v>
      </c>
      <c r="C299" s="3">
        <v>45589</v>
      </c>
      <c r="D299" t="s">
        <v>473</v>
      </c>
      <c r="E299" s="2" t="s">
        <v>474</v>
      </c>
      <c r="F299" s="2" t="s">
        <v>12</v>
      </c>
      <c r="G299" t="s">
        <v>16</v>
      </c>
      <c r="H299" t="str">
        <f t="shared" si="8"/>
        <v>https://videplast.com.br/consulta-imobilizado?id=30004426&amp;nome=ARMARIO%20DE%20ACO</v>
      </c>
      <c r="I299" t="e">
        <f t="shared" ca="1" si="9"/>
        <v>#NAME?</v>
      </c>
    </row>
    <row r="300" spans="1:9" x14ac:dyDescent="0.25">
      <c r="A300" s="2" t="s">
        <v>475</v>
      </c>
      <c r="B300" s="2" t="s">
        <v>10</v>
      </c>
      <c r="C300" s="3">
        <v>45623</v>
      </c>
      <c r="D300" t="s">
        <v>476</v>
      </c>
      <c r="E300" s="2" t="s">
        <v>477</v>
      </c>
      <c r="F300" s="2" t="s">
        <v>12</v>
      </c>
      <c r="G300" t="s">
        <v>16</v>
      </c>
      <c r="H300" t="str">
        <f t="shared" si="8"/>
        <v>https://videplast.com.br/consulta-imobilizado?id=30004427&amp;nome=ARMARIO%20EM%20MDF</v>
      </c>
      <c r="I300" t="e">
        <f t="shared" ca="1" si="9"/>
        <v>#NAME?</v>
      </c>
    </row>
    <row r="301" spans="1:9" x14ac:dyDescent="0.25">
      <c r="A301" s="2" t="s">
        <v>478</v>
      </c>
      <c r="B301" s="2" t="s">
        <v>10</v>
      </c>
      <c r="C301" s="3">
        <v>44225</v>
      </c>
      <c r="D301" t="s">
        <v>479</v>
      </c>
      <c r="E301" s="2" t="s">
        <v>480</v>
      </c>
      <c r="F301" s="2" t="s">
        <v>481</v>
      </c>
      <c r="G301" t="s">
        <v>16</v>
      </c>
      <c r="H301" t="str">
        <f t="shared" si="8"/>
        <v>https://videplast.com.br/consulta-imobilizado?id=31000240&amp;nome=EMPILHADEIRA%20COMB%20-%20HYSTER%20-%20H50XT%20GLP</v>
      </c>
      <c r="I301" t="e">
        <f t="shared" ca="1" si="9"/>
        <v>#NAME?</v>
      </c>
    </row>
    <row r="302" spans="1:9" x14ac:dyDescent="0.25">
      <c r="A302" s="2" t="s">
        <v>482</v>
      </c>
      <c r="B302" s="2" t="s">
        <v>10</v>
      </c>
      <c r="C302" s="3">
        <v>45142</v>
      </c>
      <c r="D302" t="s">
        <v>483</v>
      </c>
      <c r="E302" s="2" t="s">
        <v>12</v>
      </c>
      <c r="F302" s="2" t="s">
        <v>484</v>
      </c>
      <c r="G302" t="s">
        <v>16</v>
      </c>
      <c r="H302" t="str">
        <f t="shared" si="8"/>
        <v>https://videplast.com.br/consulta-imobilizado?id=31000281&amp;nome=TRANSPALETEIRA%20ELETRICA%20STILL%20ECH15%201.500KG</v>
      </c>
      <c r="I302" t="e">
        <f t="shared" ca="1" si="9"/>
        <v>#NAME?</v>
      </c>
    </row>
    <row r="303" spans="1:9" x14ac:dyDescent="0.25">
      <c r="A303" s="2" t="s">
        <v>485</v>
      </c>
      <c r="B303" s="2" t="s">
        <v>10</v>
      </c>
      <c r="C303" s="3">
        <v>41060</v>
      </c>
      <c r="D303" t="s">
        <v>486</v>
      </c>
      <c r="E303" s="2" t="s">
        <v>12</v>
      </c>
      <c r="F303" s="2" t="s">
        <v>487</v>
      </c>
      <c r="G303" t="s">
        <v>16</v>
      </c>
      <c r="H303" t="str">
        <f t="shared" si="8"/>
        <v>https://videplast.com.br/consulta-imobilizado?id=32000043&amp;nome=THIN%20CLIENT%20SP2716S-PLUS2%20MEM%202%20GB%20FLASH%204GB</v>
      </c>
      <c r="I303" t="e">
        <f t="shared" ca="1" si="9"/>
        <v>#NAME?</v>
      </c>
    </row>
    <row r="304" spans="1:9" x14ac:dyDescent="0.25">
      <c r="A304" s="2" t="s">
        <v>488</v>
      </c>
      <c r="B304" s="2" t="s">
        <v>10</v>
      </c>
      <c r="C304" s="3">
        <v>41973</v>
      </c>
      <c r="D304" t="s">
        <v>489</v>
      </c>
      <c r="E304" s="2" t="s">
        <v>490</v>
      </c>
      <c r="F304" s="2" t="s">
        <v>12</v>
      </c>
      <c r="G304" t="s">
        <v>16</v>
      </c>
      <c r="H304" t="str">
        <f t="shared" si="8"/>
        <v>https://videplast.com.br/consulta-imobilizado?id=32000060&amp;nome=MONITOR%2015,6%20POL%20LCD%20AOC%20LED%201670/1619/E1621</v>
      </c>
      <c r="I304" t="e">
        <f t="shared" ca="1" si="9"/>
        <v>#NAME?</v>
      </c>
    </row>
    <row r="305" spans="1:9" x14ac:dyDescent="0.25">
      <c r="A305" s="2" t="s">
        <v>491</v>
      </c>
      <c r="B305" s="2" t="s">
        <v>10</v>
      </c>
      <c r="C305" s="3">
        <v>41182</v>
      </c>
      <c r="D305" t="s">
        <v>492</v>
      </c>
      <c r="E305" s="2" t="s">
        <v>12</v>
      </c>
      <c r="F305" s="2" t="s">
        <v>12</v>
      </c>
      <c r="G305" t="s">
        <v>16</v>
      </c>
      <c r="H305" t="str">
        <f t="shared" si="8"/>
        <v>https://videplast.com.br/consulta-imobilizado?id=32000086&amp;nome=MONITOR%2019%20LCD%20SAMSUNG%20B1940W</v>
      </c>
      <c r="I305" t="e">
        <f t="shared" ca="1" si="9"/>
        <v>#NAME?</v>
      </c>
    </row>
    <row r="306" spans="1:9" x14ac:dyDescent="0.25">
      <c r="A306" s="2" t="s">
        <v>493</v>
      </c>
      <c r="B306" s="2" t="s">
        <v>10</v>
      </c>
      <c r="C306" s="3">
        <v>38552</v>
      </c>
      <c r="D306" t="s">
        <v>494</v>
      </c>
      <c r="E306" s="2" t="s">
        <v>12</v>
      </c>
      <c r="F306" s="2" t="s">
        <v>12</v>
      </c>
      <c r="G306" t="s">
        <v>16</v>
      </c>
      <c r="H306" s="5" t="str">
        <f t="shared" si="8"/>
        <v>https://videplast.com.br/consulta-imobilizado?id=32000140&amp;nome=COMPUTADOR%20PC%20NEO%20CELERON</v>
      </c>
      <c r="I306" t="e">
        <f t="shared" ca="1" si="9"/>
        <v>#NAME?</v>
      </c>
    </row>
    <row r="307" spans="1:9" x14ac:dyDescent="0.25">
      <c r="A307" s="2" t="s">
        <v>495</v>
      </c>
      <c r="B307" s="2" t="s">
        <v>10</v>
      </c>
      <c r="C307" s="3">
        <v>40142</v>
      </c>
      <c r="D307" t="s">
        <v>496</v>
      </c>
      <c r="E307" s="2" t="s">
        <v>12</v>
      </c>
      <c r="F307" s="2" t="s">
        <v>12</v>
      </c>
      <c r="G307" t="s">
        <v>16</v>
      </c>
      <c r="H307" t="str">
        <f t="shared" si="8"/>
        <v>https://videplast.com.br/consulta-imobilizado?id=32000200&amp;nome=RETROPROJETOR%20MULTIMIDIA%20EPSON%20S6+</v>
      </c>
      <c r="I307" t="e">
        <f t="shared" ca="1" si="9"/>
        <v>#NAME?</v>
      </c>
    </row>
    <row r="308" spans="1:9" x14ac:dyDescent="0.25">
      <c r="A308" s="2" t="s">
        <v>497</v>
      </c>
      <c r="B308" s="2" t="s">
        <v>26</v>
      </c>
      <c r="C308" s="3">
        <v>41517</v>
      </c>
      <c r="D308" t="s">
        <v>498</v>
      </c>
      <c r="E308" s="2" t="s">
        <v>499</v>
      </c>
      <c r="F308" s="2" t="s">
        <v>12</v>
      </c>
      <c r="G308" t="s">
        <v>16</v>
      </c>
      <c r="H308" s="5" t="str">
        <f t="shared" si="8"/>
        <v>https://videplast.com.br/consulta-imobilizado?id=32000220&amp;nome=COMPUTADOR%20MONTADO%20+%20MONITOR%2018,5"%20LED%20SAMSUNG</v>
      </c>
      <c r="I308" t="e">
        <f t="shared" ca="1" si="9"/>
        <v>#NAME?</v>
      </c>
    </row>
    <row r="309" spans="1:9" x14ac:dyDescent="0.25">
      <c r="A309" s="2" t="s">
        <v>500</v>
      </c>
      <c r="B309" s="2" t="s">
        <v>10</v>
      </c>
      <c r="C309" s="3">
        <v>42906</v>
      </c>
      <c r="D309" t="s">
        <v>501</v>
      </c>
      <c r="E309" s="2" t="s">
        <v>12</v>
      </c>
      <c r="F309" s="2" t="s">
        <v>502</v>
      </c>
      <c r="G309" t="s">
        <v>16</v>
      </c>
      <c r="H309" s="5" t="str">
        <f t="shared" si="8"/>
        <v>https://videplast.com.br/consulta-imobilizado?id=32001008&amp;nome=COMPUTADOR%20DELL%20OPT%203040M%20I3%208GB%20500GB%203.7GHZ%20W10</v>
      </c>
      <c r="I309" t="e">
        <f t="shared" ca="1" si="9"/>
        <v>#NAME?</v>
      </c>
    </row>
    <row r="310" spans="1:9" x14ac:dyDescent="0.25">
      <c r="A310" s="2" t="s">
        <v>503</v>
      </c>
      <c r="B310" s="2" t="s">
        <v>10</v>
      </c>
      <c r="C310" s="3">
        <v>42906</v>
      </c>
      <c r="D310" t="s">
        <v>504</v>
      </c>
      <c r="E310" s="2" t="s">
        <v>12</v>
      </c>
      <c r="F310" s="2" t="s">
        <v>12</v>
      </c>
      <c r="G310" t="s">
        <v>16</v>
      </c>
      <c r="H310" t="str">
        <f t="shared" si="8"/>
        <v>https://videplast.com.br/consulta-imobilizado?id=32001011&amp;nome=MONITOR%20LED%20AOC%2018,5%20WIDESCREEN%20E970SWNL</v>
      </c>
      <c r="I310" t="e">
        <f t="shared" ca="1" si="9"/>
        <v>#NAME?</v>
      </c>
    </row>
    <row r="311" spans="1:9" x14ac:dyDescent="0.25">
      <c r="A311" s="2" t="s">
        <v>505</v>
      </c>
      <c r="B311" s="2" t="s">
        <v>10</v>
      </c>
      <c r="C311" s="3">
        <v>43227</v>
      </c>
      <c r="D311" t="s">
        <v>506</v>
      </c>
      <c r="E311" s="2" t="s">
        <v>12</v>
      </c>
      <c r="F311" s="2" t="s">
        <v>12</v>
      </c>
      <c r="G311" t="s">
        <v>16</v>
      </c>
      <c r="H311" t="str">
        <f t="shared" si="8"/>
        <v>https://videplast.com.br/consulta-imobilizado?id=32001084&amp;nome=IMPRESSOR%20TERMICO%20ZEBRA%20GC%20420</v>
      </c>
      <c r="I311" t="e">
        <f t="shared" ca="1" si="9"/>
        <v>#NAME?</v>
      </c>
    </row>
    <row r="312" spans="1:9" x14ac:dyDescent="0.25">
      <c r="A312" s="2" t="s">
        <v>507</v>
      </c>
      <c r="B312" s="2" t="s">
        <v>10</v>
      </c>
      <c r="C312" s="3">
        <v>43227</v>
      </c>
      <c r="D312" t="s">
        <v>506</v>
      </c>
      <c r="E312" s="2" t="s">
        <v>12</v>
      </c>
      <c r="F312" s="2" t="s">
        <v>12</v>
      </c>
      <c r="G312" t="s">
        <v>16</v>
      </c>
      <c r="H312" t="str">
        <f t="shared" si="8"/>
        <v>https://videplast.com.br/consulta-imobilizado?id=32001085&amp;nome=IMPRESSOR%20TERMICO%20ZEBRA%20GC%20420</v>
      </c>
      <c r="I312" t="e">
        <f t="shared" ca="1" si="9"/>
        <v>#NAME?</v>
      </c>
    </row>
    <row r="313" spans="1:9" x14ac:dyDescent="0.25">
      <c r="A313" s="2" t="s">
        <v>508</v>
      </c>
      <c r="B313" s="2" t="s">
        <v>10</v>
      </c>
      <c r="C313" s="3">
        <v>43279</v>
      </c>
      <c r="D313" t="s">
        <v>506</v>
      </c>
      <c r="E313" s="2" t="s">
        <v>12</v>
      </c>
      <c r="F313" s="2" t="s">
        <v>12</v>
      </c>
      <c r="G313" t="s">
        <v>16</v>
      </c>
      <c r="H313" t="str">
        <f t="shared" si="8"/>
        <v>https://videplast.com.br/consulta-imobilizado?id=32001104&amp;nome=IMPRESSOR%20TERMICO%20ZEBRA%20GC%20420</v>
      </c>
      <c r="I313" t="e">
        <f t="shared" ca="1" si="9"/>
        <v>#NAME?</v>
      </c>
    </row>
    <row r="314" spans="1:9" x14ac:dyDescent="0.25">
      <c r="A314" s="2" t="s">
        <v>509</v>
      </c>
      <c r="B314" s="2" t="s">
        <v>10</v>
      </c>
      <c r="C314" s="3">
        <v>43327</v>
      </c>
      <c r="D314" t="s">
        <v>510</v>
      </c>
      <c r="E314" s="2" t="s">
        <v>12</v>
      </c>
      <c r="F314" s="2" t="s">
        <v>12</v>
      </c>
      <c r="G314" t="s">
        <v>16</v>
      </c>
      <c r="H314" t="str">
        <f t="shared" si="8"/>
        <v>https://videplast.com.br/consulta-imobilizado?id=32001111&amp;nome=NOTEBOOK%20DELL%20VOSTRO%203468%20I5-7200U%20WIN%2010%20PRO%208GB</v>
      </c>
      <c r="I314" t="e">
        <f t="shared" ca="1" si="9"/>
        <v>#NAME?</v>
      </c>
    </row>
    <row r="315" spans="1:9" x14ac:dyDescent="0.25">
      <c r="A315" s="2" t="s">
        <v>511</v>
      </c>
      <c r="B315" s="2" t="s">
        <v>10</v>
      </c>
      <c r="C315" s="3">
        <v>43463</v>
      </c>
      <c r="D315" t="s">
        <v>512</v>
      </c>
      <c r="E315" s="2" t="s">
        <v>12</v>
      </c>
      <c r="F315" s="2" t="s">
        <v>513</v>
      </c>
      <c r="G315" t="s">
        <v>16</v>
      </c>
      <c r="H315" s="5" t="str">
        <f t="shared" si="8"/>
        <v>https://videplast.com.br/consulta-imobilizado?id=32001211&amp;nome=COMPUTADOR%20DELL%20VOSTRO%20I3%208100%204C%203.6GHZ%204GB%20RAM</v>
      </c>
      <c r="I315" t="e">
        <f t="shared" ca="1" si="9"/>
        <v>#NAME?</v>
      </c>
    </row>
    <row r="316" spans="1:9" x14ac:dyDescent="0.25">
      <c r="A316" s="2" t="s">
        <v>514</v>
      </c>
      <c r="B316" s="2" t="s">
        <v>10</v>
      </c>
      <c r="C316" s="3">
        <v>43463</v>
      </c>
      <c r="D316" t="s">
        <v>515</v>
      </c>
      <c r="E316" s="2" t="s">
        <v>12</v>
      </c>
      <c r="F316" s="2" t="s">
        <v>516</v>
      </c>
      <c r="G316" t="s">
        <v>16</v>
      </c>
      <c r="H316" t="str">
        <f t="shared" si="8"/>
        <v>https://videplast.com.br/consulta-imobilizado?id=32001215&amp;nome=MONITOR%20LED%2018,5"%20DELL%20E1916H</v>
      </c>
      <c r="I316" t="e">
        <f t="shared" ca="1" si="9"/>
        <v>#NAME?</v>
      </c>
    </row>
    <row r="317" spans="1:9" x14ac:dyDescent="0.25">
      <c r="A317" s="2" t="s">
        <v>517</v>
      </c>
      <c r="B317" s="2" t="s">
        <v>10</v>
      </c>
      <c r="C317" s="3">
        <v>43494</v>
      </c>
      <c r="D317" t="s">
        <v>512</v>
      </c>
      <c r="E317" s="2" t="s">
        <v>12</v>
      </c>
      <c r="F317" s="2" t="s">
        <v>518</v>
      </c>
      <c r="G317" t="s">
        <v>16</v>
      </c>
      <c r="H317" s="5" t="str">
        <f t="shared" si="8"/>
        <v>https://videplast.com.br/consulta-imobilizado?id=32001226&amp;nome=COMPUTADOR%20DELL%20VOSTRO%20I3%208100%204C%203.6GHZ%204GB%20RAM</v>
      </c>
      <c r="I317" t="e">
        <f t="shared" ca="1" si="9"/>
        <v>#NAME?</v>
      </c>
    </row>
    <row r="318" spans="1:9" x14ac:dyDescent="0.25">
      <c r="A318" s="2" t="s">
        <v>519</v>
      </c>
      <c r="B318" s="2" t="s">
        <v>10</v>
      </c>
      <c r="C318" s="3">
        <v>43494</v>
      </c>
      <c r="D318" t="s">
        <v>515</v>
      </c>
      <c r="E318" s="2" t="s">
        <v>12</v>
      </c>
      <c r="F318" s="2" t="s">
        <v>520</v>
      </c>
      <c r="G318" t="s">
        <v>16</v>
      </c>
      <c r="H318" t="str">
        <f t="shared" si="8"/>
        <v>https://videplast.com.br/consulta-imobilizado?id=32001229&amp;nome=MONITOR%20LED%2018,5"%20DELL%20E1916H</v>
      </c>
      <c r="I318" t="e">
        <f t="shared" ca="1" si="9"/>
        <v>#NAME?</v>
      </c>
    </row>
    <row r="319" spans="1:9" x14ac:dyDescent="0.25">
      <c r="A319" s="2" t="s">
        <v>521</v>
      </c>
      <c r="B319" s="2" t="s">
        <v>10</v>
      </c>
      <c r="C319" s="3">
        <v>43552</v>
      </c>
      <c r="D319" t="s">
        <v>522</v>
      </c>
      <c r="E319" s="2" t="s">
        <v>12</v>
      </c>
      <c r="F319" s="2" t="s">
        <v>12</v>
      </c>
      <c r="G319" t="s">
        <v>16</v>
      </c>
      <c r="H319" t="str">
        <f t="shared" si="8"/>
        <v>https://videplast.com.br/consulta-imobilizado?id=32001306&amp;nome=RELOGIO%20PONTO%20TOPDATA%20INNER%20373%20LFD%20BIO%20BARRAS</v>
      </c>
      <c r="I319" t="e">
        <f t="shared" ca="1" si="9"/>
        <v>#NAME?</v>
      </c>
    </row>
    <row r="320" spans="1:9" x14ac:dyDescent="0.25">
      <c r="A320" s="2" t="s">
        <v>523</v>
      </c>
      <c r="B320" s="2" t="s">
        <v>10</v>
      </c>
      <c r="C320" s="3">
        <v>44210</v>
      </c>
      <c r="D320" t="s">
        <v>524</v>
      </c>
      <c r="E320" s="2" t="s">
        <v>12</v>
      </c>
      <c r="F320" s="2" t="s">
        <v>525</v>
      </c>
      <c r="G320" t="s">
        <v>16</v>
      </c>
      <c r="H320" t="str">
        <f t="shared" si="8"/>
        <v>https://videplast.com.br/consulta-imobilizado?id=32002049&amp;nome=THINPC%20SUPERA%20SPMJ18TPSSD</v>
      </c>
      <c r="I320" t="e">
        <f t="shared" ca="1" si="9"/>
        <v>#NAME?</v>
      </c>
    </row>
    <row r="321" spans="1:9" x14ac:dyDescent="0.25">
      <c r="A321" s="2" t="s">
        <v>526</v>
      </c>
      <c r="B321" s="2" t="s">
        <v>10</v>
      </c>
      <c r="C321" s="3">
        <v>44210</v>
      </c>
      <c r="D321" t="s">
        <v>524</v>
      </c>
      <c r="E321" s="2" t="s">
        <v>12</v>
      </c>
      <c r="F321" s="2" t="s">
        <v>527</v>
      </c>
      <c r="G321" t="s">
        <v>16</v>
      </c>
      <c r="H321" t="str">
        <f t="shared" si="8"/>
        <v>https://videplast.com.br/consulta-imobilizado?id=32002054&amp;nome=THINPC%20SUPERA%20SPMJ18TPSSD</v>
      </c>
      <c r="I321" t="e">
        <f t="shared" ca="1" si="9"/>
        <v>#NAME?</v>
      </c>
    </row>
    <row r="322" spans="1:9" x14ac:dyDescent="0.25">
      <c r="A322" s="2" t="s">
        <v>528</v>
      </c>
      <c r="B322" s="2" t="s">
        <v>10</v>
      </c>
      <c r="C322" s="3">
        <v>44315</v>
      </c>
      <c r="D322" t="s">
        <v>529</v>
      </c>
      <c r="E322" s="2" t="s">
        <v>12</v>
      </c>
      <c r="F322" s="2" t="s">
        <v>530</v>
      </c>
      <c r="G322" t="s">
        <v>16</v>
      </c>
      <c r="H322" t="str">
        <f t="shared" ref="H322:H385" si="10" xml:space="preserve"> "https://videplast.com.br/consulta-imobilizado?id=" &amp; A322 &amp; "&amp;nome=" &amp; SUBSTITUTE(D322, " ", "%20")</f>
        <v>https://videplast.com.br/consulta-imobilizado?id=32002135&amp;nome=SWITCH%20ARUBA%202930F%2048G%20POE%204SFP</v>
      </c>
      <c r="I322" t="e">
        <f t="shared" ref="I322:I385" ca="1" si="11">_xlfn.IMAGE("https://chart.googleapis.com/chart?chs=150x150&amp;cht=qr&amp;chl=" &amp; H322)</f>
        <v>#NAME?</v>
      </c>
    </row>
    <row r="323" spans="1:9" x14ac:dyDescent="0.25">
      <c r="A323" s="2" t="s">
        <v>531</v>
      </c>
      <c r="B323" s="2" t="s">
        <v>10</v>
      </c>
      <c r="C323" s="3">
        <v>44531</v>
      </c>
      <c r="D323" t="s">
        <v>532</v>
      </c>
      <c r="E323" s="2" t="s">
        <v>12</v>
      </c>
      <c r="F323" s="2" t="s">
        <v>533</v>
      </c>
      <c r="G323" t="s">
        <v>16</v>
      </c>
      <c r="H323" s="5" t="str">
        <f t="shared" si="10"/>
        <v>https://videplast.com.br/consulta-imobilizado?id=32002258&amp;nome=COMPUTADOR%20THINPC%20SUPERA%20POPI%20J1800%20WINDOWS%2010%20IOT</v>
      </c>
      <c r="I323" t="e">
        <f t="shared" ca="1" si="11"/>
        <v>#NAME?</v>
      </c>
    </row>
    <row r="324" spans="1:9" x14ac:dyDescent="0.25">
      <c r="A324" s="2" t="s">
        <v>534</v>
      </c>
      <c r="B324" s="2" t="s">
        <v>10</v>
      </c>
      <c r="C324" s="3">
        <v>44700</v>
      </c>
      <c r="D324" t="s">
        <v>535</v>
      </c>
      <c r="E324" s="2" t="s">
        <v>536</v>
      </c>
      <c r="F324" s="2" t="s">
        <v>537</v>
      </c>
      <c r="G324" t="s">
        <v>16</v>
      </c>
      <c r="H324" s="5" t="str">
        <f t="shared" si="10"/>
        <v>https://videplast.com.br/consulta-imobilizado?id=32002371&amp;nome=COMPUTADOR%20DELL%20OPTIPLEX/VASTRO%20I3%204GB%20SSD256%20W10P</v>
      </c>
      <c r="I324" t="e">
        <f t="shared" ca="1" si="11"/>
        <v>#NAME?</v>
      </c>
    </row>
    <row r="325" spans="1:9" x14ac:dyDescent="0.25">
      <c r="A325" s="2" t="s">
        <v>538</v>
      </c>
      <c r="B325" s="2" t="s">
        <v>10</v>
      </c>
      <c r="C325" s="3">
        <v>44700</v>
      </c>
      <c r="D325" t="s">
        <v>535</v>
      </c>
      <c r="E325" s="2" t="s">
        <v>539</v>
      </c>
      <c r="F325" s="2" t="s">
        <v>540</v>
      </c>
      <c r="G325" t="s">
        <v>16</v>
      </c>
      <c r="H325" s="5" t="str">
        <f t="shared" si="10"/>
        <v>https://videplast.com.br/consulta-imobilizado?id=32002372&amp;nome=COMPUTADOR%20DELL%20OPTIPLEX/VASTRO%20I3%204GB%20SSD256%20W10P</v>
      </c>
      <c r="I325" t="e">
        <f t="shared" ca="1" si="11"/>
        <v>#NAME?</v>
      </c>
    </row>
    <row r="326" spans="1:9" x14ac:dyDescent="0.25">
      <c r="A326" s="2" t="s">
        <v>541</v>
      </c>
      <c r="B326" s="2" t="s">
        <v>10</v>
      </c>
      <c r="C326" s="3">
        <v>44657</v>
      </c>
      <c r="D326" t="s">
        <v>542</v>
      </c>
      <c r="E326" s="2" t="s">
        <v>543</v>
      </c>
      <c r="F326" s="2" t="s">
        <v>12</v>
      </c>
      <c r="G326" t="s">
        <v>16</v>
      </c>
      <c r="H326" t="str">
        <f t="shared" si="10"/>
        <v>https://videplast.com.br/consulta-imobilizado?id=32002411&amp;nome=TERMINAL%20DE%20BALANÇA%20THINPC%20SUPERA%20IZEI%20TINY%20W10P</v>
      </c>
      <c r="I326" t="e">
        <f t="shared" ca="1" si="11"/>
        <v>#NAME?</v>
      </c>
    </row>
    <row r="327" spans="1:9" x14ac:dyDescent="0.25">
      <c r="A327" s="2" t="s">
        <v>544</v>
      </c>
      <c r="B327" s="2" t="s">
        <v>10</v>
      </c>
      <c r="C327" s="3">
        <v>44657</v>
      </c>
      <c r="D327" t="s">
        <v>542</v>
      </c>
      <c r="E327" s="2" t="s">
        <v>545</v>
      </c>
      <c r="F327" s="2" t="s">
        <v>12</v>
      </c>
      <c r="G327" t="s">
        <v>16</v>
      </c>
      <c r="H327" t="str">
        <f t="shared" si="10"/>
        <v>https://videplast.com.br/consulta-imobilizado?id=32002412&amp;nome=TERMINAL%20DE%20BALANÇA%20THINPC%20SUPERA%20IZEI%20TINY%20W10P</v>
      </c>
      <c r="I327" t="e">
        <f t="shared" ca="1" si="11"/>
        <v>#NAME?</v>
      </c>
    </row>
    <row r="328" spans="1:9" x14ac:dyDescent="0.25">
      <c r="A328" s="2" t="s">
        <v>546</v>
      </c>
      <c r="B328" s="2" t="s">
        <v>10</v>
      </c>
      <c r="C328" s="3">
        <v>44722</v>
      </c>
      <c r="D328" t="s">
        <v>547</v>
      </c>
      <c r="E328" s="2" t="s">
        <v>548</v>
      </c>
      <c r="F328" s="2" t="s">
        <v>12</v>
      </c>
      <c r="G328" t="s">
        <v>16</v>
      </c>
      <c r="H328" t="str">
        <f t="shared" si="10"/>
        <v>https://videplast.com.br/consulta-imobilizado?id=32002427&amp;nome=THINPC%20SUPERA%20B2316%20IZEI%20TINY%20WINDOWS%2010%20IOT</v>
      </c>
      <c r="I328" t="e">
        <f t="shared" ca="1" si="11"/>
        <v>#NAME?</v>
      </c>
    </row>
    <row r="329" spans="1:9" x14ac:dyDescent="0.25">
      <c r="A329" s="2" t="s">
        <v>549</v>
      </c>
      <c r="B329" s="2" t="s">
        <v>10</v>
      </c>
      <c r="C329" s="3">
        <v>44932</v>
      </c>
      <c r="D329" t="s">
        <v>550</v>
      </c>
      <c r="E329" s="2" t="s">
        <v>551</v>
      </c>
      <c r="F329" s="2" t="s">
        <v>12</v>
      </c>
      <c r="G329" t="s">
        <v>16</v>
      </c>
      <c r="H329" t="str">
        <f t="shared" si="10"/>
        <v>https://videplast.com.br/consulta-imobilizado?id=32002574&amp;nome=MONITOR%20DELL%2021.5"%20P2219H</v>
      </c>
      <c r="I329" t="e">
        <f t="shared" ca="1" si="11"/>
        <v>#NAME?</v>
      </c>
    </row>
    <row r="330" spans="1:9" x14ac:dyDescent="0.25">
      <c r="A330" s="2" t="s">
        <v>552</v>
      </c>
      <c r="B330" s="2" t="s">
        <v>10</v>
      </c>
      <c r="C330" s="3">
        <v>44917</v>
      </c>
      <c r="D330" t="s">
        <v>553</v>
      </c>
      <c r="E330" s="2" t="s">
        <v>554</v>
      </c>
      <c r="F330" s="2" t="s">
        <v>555</v>
      </c>
      <c r="G330" t="s">
        <v>16</v>
      </c>
      <c r="H330" t="str">
        <f t="shared" si="10"/>
        <v>https://videplast.com.br/consulta-imobilizado?id=32002579&amp;nome=NOTEBOOK%20DELL%2015,6"%20I5%204GB%20MEMÓRIA%201TB</v>
      </c>
      <c r="I330" t="e">
        <f t="shared" ca="1" si="11"/>
        <v>#NAME?</v>
      </c>
    </row>
    <row r="331" spans="1:9" x14ac:dyDescent="0.25">
      <c r="A331" s="2" t="s">
        <v>556</v>
      </c>
      <c r="B331" s="2" t="s">
        <v>10</v>
      </c>
      <c r="C331" s="3">
        <v>44888</v>
      </c>
      <c r="D331" t="s">
        <v>557</v>
      </c>
      <c r="E331" s="2" t="s">
        <v>558</v>
      </c>
      <c r="F331" s="2" t="s">
        <v>12</v>
      </c>
      <c r="G331" t="s">
        <v>16</v>
      </c>
      <c r="H331" t="str">
        <f t="shared" si="10"/>
        <v>https://videplast.com.br/consulta-imobilizado?id=32002580&amp;nome=NOBREAK%20APC%20SRV%201KVA%20RACK%20230V</v>
      </c>
      <c r="I331" t="e">
        <f t="shared" ca="1" si="11"/>
        <v>#NAME?</v>
      </c>
    </row>
    <row r="332" spans="1:9" x14ac:dyDescent="0.25">
      <c r="A332" s="2" t="s">
        <v>559</v>
      </c>
      <c r="B332" s="2" t="s">
        <v>10</v>
      </c>
      <c r="C332" s="3">
        <v>45063</v>
      </c>
      <c r="D332" t="s">
        <v>560</v>
      </c>
      <c r="E332" s="2" t="s">
        <v>12</v>
      </c>
      <c r="F332" s="2" t="s">
        <v>12</v>
      </c>
      <c r="G332" t="s">
        <v>16</v>
      </c>
      <c r="H332" t="str">
        <f t="shared" si="10"/>
        <v>https://videplast.com.br/consulta-imobilizado?id=32002706&amp;nome=CAMERA%20DE%20SEGURANCA%20INTELBRAS%20IP67%20DOME%204MP%20DG2</v>
      </c>
      <c r="I332" t="e">
        <f t="shared" ca="1" si="11"/>
        <v>#NAME?</v>
      </c>
    </row>
    <row r="333" spans="1:9" x14ac:dyDescent="0.25">
      <c r="A333" s="2" t="s">
        <v>561</v>
      </c>
      <c r="B333" s="2" t="s">
        <v>10</v>
      </c>
      <c r="C333" s="3">
        <v>45063</v>
      </c>
      <c r="D333" t="s">
        <v>560</v>
      </c>
      <c r="E333" s="2" t="s">
        <v>12</v>
      </c>
      <c r="F333" s="2" t="s">
        <v>12</v>
      </c>
      <c r="G333" t="s">
        <v>16</v>
      </c>
      <c r="H333" t="str">
        <f t="shared" si="10"/>
        <v>https://videplast.com.br/consulta-imobilizado?id=32002707&amp;nome=CAMERA%20DE%20SEGURANCA%20INTELBRAS%20IP67%20DOME%204MP%20DG2</v>
      </c>
      <c r="I333" t="e">
        <f t="shared" ca="1" si="11"/>
        <v>#NAME?</v>
      </c>
    </row>
    <row r="334" spans="1:9" x14ac:dyDescent="0.25">
      <c r="A334" s="2" t="s">
        <v>562</v>
      </c>
      <c r="B334" s="2" t="s">
        <v>10</v>
      </c>
      <c r="C334" s="3">
        <v>45063</v>
      </c>
      <c r="D334" t="s">
        <v>560</v>
      </c>
      <c r="E334" s="2" t="s">
        <v>12</v>
      </c>
      <c r="F334" s="2" t="s">
        <v>12</v>
      </c>
      <c r="G334" t="s">
        <v>16</v>
      </c>
      <c r="H334" t="str">
        <f t="shared" si="10"/>
        <v>https://videplast.com.br/consulta-imobilizado?id=32002708&amp;nome=CAMERA%20DE%20SEGURANCA%20INTELBRAS%20IP67%20DOME%204MP%20DG2</v>
      </c>
      <c r="I334" t="e">
        <f t="shared" ca="1" si="11"/>
        <v>#NAME?</v>
      </c>
    </row>
    <row r="335" spans="1:9" x14ac:dyDescent="0.25">
      <c r="A335" s="2" t="s">
        <v>563</v>
      </c>
      <c r="B335" s="2" t="s">
        <v>10</v>
      </c>
      <c r="C335" s="3">
        <v>45063</v>
      </c>
      <c r="D335" t="s">
        <v>560</v>
      </c>
      <c r="E335" s="2" t="s">
        <v>12</v>
      </c>
      <c r="F335" s="2" t="s">
        <v>12</v>
      </c>
      <c r="G335" t="s">
        <v>16</v>
      </c>
      <c r="H335" t="str">
        <f t="shared" si="10"/>
        <v>https://videplast.com.br/consulta-imobilizado?id=32002709&amp;nome=CAMERA%20DE%20SEGURANCA%20INTELBRAS%20IP67%20DOME%204MP%20DG2</v>
      </c>
      <c r="I335" t="e">
        <f t="shared" ca="1" si="11"/>
        <v>#NAME?</v>
      </c>
    </row>
    <row r="336" spans="1:9" x14ac:dyDescent="0.25">
      <c r="A336" s="2" t="s">
        <v>564</v>
      </c>
      <c r="B336" s="2" t="s">
        <v>10</v>
      </c>
      <c r="C336" s="3">
        <v>45063</v>
      </c>
      <c r="D336" t="s">
        <v>560</v>
      </c>
      <c r="E336" s="2" t="s">
        <v>12</v>
      </c>
      <c r="F336" s="2" t="s">
        <v>12</v>
      </c>
      <c r="G336" t="s">
        <v>16</v>
      </c>
      <c r="H336" t="str">
        <f t="shared" si="10"/>
        <v>https://videplast.com.br/consulta-imobilizado?id=32002710&amp;nome=CAMERA%20DE%20SEGURANCA%20INTELBRAS%20IP67%20DOME%204MP%20DG2</v>
      </c>
      <c r="I336" t="e">
        <f t="shared" ca="1" si="11"/>
        <v>#NAME?</v>
      </c>
    </row>
    <row r="337" spans="1:9" x14ac:dyDescent="0.25">
      <c r="A337" s="2" t="s">
        <v>565</v>
      </c>
      <c r="B337" s="2" t="s">
        <v>10</v>
      </c>
      <c r="C337" s="3">
        <v>45063</v>
      </c>
      <c r="D337" t="s">
        <v>560</v>
      </c>
      <c r="E337" s="2" t="s">
        <v>12</v>
      </c>
      <c r="F337" s="2" t="s">
        <v>12</v>
      </c>
      <c r="G337" t="s">
        <v>16</v>
      </c>
      <c r="H337" t="str">
        <f t="shared" si="10"/>
        <v>https://videplast.com.br/consulta-imobilizado?id=32002711&amp;nome=CAMERA%20DE%20SEGURANCA%20INTELBRAS%20IP67%20DOME%204MP%20DG2</v>
      </c>
      <c r="I337" t="e">
        <f t="shared" ca="1" si="11"/>
        <v>#NAME?</v>
      </c>
    </row>
    <row r="338" spans="1:9" x14ac:dyDescent="0.25">
      <c r="A338" s="2" t="s">
        <v>566</v>
      </c>
      <c r="B338" s="2" t="s">
        <v>10</v>
      </c>
      <c r="C338" s="3">
        <v>45063</v>
      </c>
      <c r="D338" t="s">
        <v>560</v>
      </c>
      <c r="E338" s="2" t="s">
        <v>12</v>
      </c>
      <c r="F338" s="2" t="s">
        <v>12</v>
      </c>
      <c r="G338" t="s">
        <v>16</v>
      </c>
      <c r="H338" t="str">
        <f t="shared" si="10"/>
        <v>https://videplast.com.br/consulta-imobilizado?id=32002712&amp;nome=CAMERA%20DE%20SEGURANCA%20INTELBRAS%20IP67%20DOME%204MP%20DG2</v>
      </c>
      <c r="I338" t="e">
        <f t="shared" ca="1" si="11"/>
        <v>#NAME?</v>
      </c>
    </row>
    <row r="339" spans="1:9" x14ac:dyDescent="0.25">
      <c r="A339" s="2" t="s">
        <v>567</v>
      </c>
      <c r="B339" s="2" t="s">
        <v>10</v>
      </c>
      <c r="C339" s="3">
        <v>45063</v>
      </c>
      <c r="D339" t="s">
        <v>568</v>
      </c>
      <c r="E339" s="2" t="s">
        <v>12</v>
      </c>
      <c r="F339" s="2" t="s">
        <v>12</v>
      </c>
      <c r="G339" t="s">
        <v>16</v>
      </c>
      <c r="H339" t="str">
        <f t="shared" si="10"/>
        <v>https://videplast.com.br/consulta-imobilizado?id=32002713&amp;nome=CAMERA%20DE%20SEGURANCA%20INTELBRAS%20IP67%20BULLET%204MP%20BG2</v>
      </c>
      <c r="I339" t="e">
        <f t="shared" ca="1" si="11"/>
        <v>#NAME?</v>
      </c>
    </row>
    <row r="340" spans="1:9" x14ac:dyDescent="0.25">
      <c r="A340" s="2" t="s">
        <v>569</v>
      </c>
      <c r="B340" s="2" t="s">
        <v>10</v>
      </c>
      <c r="C340" s="3">
        <v>45063</v>
      </c>
      <c r="D340" t="s">
        <v>568</v>
      </c>
      <c r="E340" s="2" t="s">
        <v>12</v>
      </c>
      <c r="F340" s="2" t="s">
        <v>12</v>
      </c>
      <c r="G340" t="s">
        <v>16</v>
      </c>
      <c r="H340" t="str">
        <f t="shared" si="10"/>
        <v>https://videplast.com.br/consulta-imobilizado?id=32002714&amp;nome=CAMERA%20DE%20SEGURANCA%20INTELBRAS%20IP67%20BULLET%204MP%20BG2</v>
      </c>
      <c r="I340" t="e">
        <f t="shared" ca="1" si="11"/>
        <v>#NAME?</v>
      </c>
    </row>
    <row r="341" spans="1:9" x14ac:dyDescent="0.25">
      <c r="A341" s="2" t="s">
        <v>570</v>
      </c>
      <c r="B341" s="2" t="s">
        <v>10</v>
      </c>
      <c r="C341" s="3">
        <v>45063</v>
      </c>
      <c r="D341" t="s">
        <v>568</v>
      </c>
      <c r="E341" s="2" t="s">
        <v>12</v>
      </c>
      <c r="F341" s="2" t="s">
        <v>12</v>
      </c>
      <c r="G341" t="s">
        <v>16</v>
      </c>
      <c r="H341" t="str">
        <f t="shared" si="10"/>
        <v>https://videplast.com.br/consulta-imobilizado?id=32002715&amp;nome=CAMERA%20DE%20SEGURANCA%20INTELBRAS%20IP67%20BULLET%204MP%20BG2</v>
      </c>
      <c r="I341" t="e">
        <f t="shared" ca="1" si="11"/>
        <v>#NAME?</v>
      </c>
    </row>
    <row r="342" spans="1:9" x14ac:dyDescent="0.25">
      <c r="A342" s="2" t="s">
        <v>571</v>
      </c>
      <c r="B342" s="2" t="s">
        <v>10</v>
      </c>
      <c r="C342" s="3">
        <v>45063</v>
      </c>
      <c r="D342" t="s">
        <v>568</v>
      </c>
      <c r="E342" s="2" t="s">
        <v>12</v>
      </c>
      <c r="F342" s="2" t="s">
        <v>12</v>
      </c>
      <c r="G342" t="s">
        <v>16</v>
      </c>
      <c r="H342" t="str">
        <f t="shared" si="10"/>
        <v>https://videplast.com.br/consulta-imobilizado?id=32002716&amp;nome=CAMERA%20DE%20SEGURANCA%20INTELBRAS%20IP67%20BULLET%204MP%20BG2</v>
      </c>
      <c r="I342" t="e">
        <f t="shared" ca="1" si="11"/>
        <v>#NAME?</v>
      </c>
    </row>
    <row r="343" spans="1:9" x14ac:dyDescent="0.25">
      <c r="A343" s="2" t="s">
        <v>572</v>
      </c>
      <c r="B343" s="2" t="s">
        <v>10</v>
      </c>
      <c r="C343" s="3">
        <v>45063</v>
      </c>
      <c r="D343" t="s">
        <v>568</v>
      </c>
      <c r="E343" s="2" t="s">
        <v>12</v>
      </c>
      <c r="F343" s="2" t="s">
        <v>12</v>
      </c>
      <c r="G343" t="s">
        <v>16</v>
      </c>
      <c r="H343" t="str">
        <f t="shared" si="10"/>
        <v>https://videplast.com.br/consulta-imobilizado?id=32002717&amp;nome=CAMERA%20DE%20SEGURANCA%20INTELBRAS%20IP67%20BULLET%204MP%20BG2</v>
      </c>
      <c r="I343" t="e">
        <f t="shared" ca="1" si="11"/>
        <v>#NAME?</v>
      </c>
    </row>
    <row r="344" spans="1:9" x14ac:dyDescent="0.25">
      <c r="A344" s="2" t="s">
        <v>573</v>
      </c>
      <c r="B344" s="2" t="s">
        <v>10</v>
      </c>
      <c r="C344" s="3">
        <v>45063</v>
      </c>
      <c r="D344" t="s">
        <v>568</v>
      </c>
      <c r="E344" s="2" t="s">
        <v>12</v>
      </c>
      <c r="F344" s="2" t="s">
        <v>12</v>
      </c>
      <c r="G344" t="s">
        <v>16</v>
      </c>
      <c r="H344" t="str">
        <f t="shared" si="10"/>
        <v>https://videplast.com.br/consulta-imobilizado?id=32002718&amp;nome=CAMERA%20DE%20SEGURANCA%20INTELBRAS%20IP67%20BULLET%204MP%20BG2</v>
      </c>
      <c r="I344" t="e">
        <f t="shared" ca="1" si="11"/>
        <v>#NAME?</v>
      </c>
    </row>
    <row r="345" spans="1:9" x14ac:dyDescent="0.25">
      <c r="A345" s="2" t="s">
        <v>574</v>
      </c>
      <c r="B345" s="2" t="s">
        <v>10</v>
      </c>
      <c r="C345" s="3">
        <v>45063</v>
      </c>
      <c r="D345" t="s">
        <v>568</v>
      </c>
      <c r="E345" s="2" t="s">
        <v>12</v>
      </c>
      <c r="F345" s="2" t="s">
        <v>12</v>
      </c>
      <c r="G345" t="s">
        <v>16</v>
      </c>
      <c r="H345" t="str">
        <f t="shared" si="10"/>
        <v>https://videplast.com.br/consulta-imobilizado?id=32002719&amp;nome=CAMERA%20DE%20SEGURANCA%20INTELBRAS%20IP67%20BULLET%204MP%20BG2</v>
      </c>
      <c r="I345" t="e">
        <f t="shared" ca="1" si="11"/>
        <v>#NAME?</v>
      </c>
    </row>
    <row r="346" spans="1:9" x14ac:dyDescent="0.25">
      <c r="A346" s="2" t="s">
        <v>575</v>
      </c>
      <c r="B346" s="2" t="s">
        <v>10</v>
      </c>
      <c r="C346" s="3">
        <v>45063</v>
      </c>
      <c r="D346" t="s">
        <v>568</v>
      </c>
      <c r="E346" s="2" t="s">
        <v>12</v>
      </c>
      <c r="F346" s="2" t="s">
        <v>12</v>
      </c>
      <c r="G346" t="s">
        <v>16</v>
      </c>
      <c r="H346" t="str">
        <f t="shared" si="10"/>
        <v>https://videplast.com.br/consulta-imobilizado?id=32002720&amp;nome=CAMERA%20DE%20SEGURANCA%20INTELBRAS%20IP67%20BULLET%204MP%20BG2</v>
      </c>
      <c r="I346" t="e">
        <f t="shared" ca="1" si="11"/>
        <v>#NAME?</v>
      </c>
    </row>
    <row r="347" spans="1:9" x14ac:dyDescent="0.25">
      <c r="A347" s="2" t="s">
        <v>576</v>
      </c>
      <c r="B347" s="2" t="s">
        <v>10</v>
      </c>
      <c r="C347" s="3">
        <v>45191</v>
      </c>
      <c r="D347" t="s">
        <v>577</v>
      </c>
      <c r="E347" s="2" t="s">
        <v>12</v>
      </c>
      <c r="F347" s="2" t="s">
        <v>578</v>
      </c>
      <c r="G347" t="s">
        <v>16</v>
      </c>
      <c r="H347" t="str">
        <f t="shared" si="10"/>
        <v>https://videplast.com.br/consulta-imobilizado?id=32002786&amp;nome=NOTEBOOK%20DELL%2014%20i3%204GB%20HD%20SSD256GB%20WINDOWS%2010%20PRO</v>
      </c>
      <c r="I347" t="e">
        <f t="shared" ca="1" si="11"/>
        <v>#NAME?</v>
      </c>
    </row>
    <row r="348" spans="1:9" x14ac:dyDescent="0.25">
      <c r="A348" s="2" t="s">
        <v>576</v>
      </c>
      <c r="B348" s="2" t="s">
        <v>26</v>
      </c>
      <c r="C348" s="3">
        <v>45243</v>
      </c>
      <c r="D348" t="s">
        <v>579</v>
      </c>
      <c r="E348" s="2" t="s">
        <v>12</v>
      </c>
      <c r="F348" s="2" t="s">
        <v>12</v>
      </c>
      <c r="G348" t="s">
        <v>16</v>
      </c>
      <c r="H348" t="str">
        <f t="shared" si="10"/>
        <v>https://videplast.com.br/consulta-imobilizado?id=32002786&amp;nome=SUPORTE%20TECNICO%20EM%20INFORMATICA</v>
      </c>
      <c r="I348" t="e">
        <f t="shared" ca="1" si="11"/>
        <v>#NAME?</v>
      </c>
    </row>
    <row r="349" spans="1:9" x14ac:dyDescent="0.25">
      <c r="A349" s="2" t="s">
        <v>580</v>
      </c>
      <c r="B349" s="2" t="s">
        <v>10</v>
      </c>
      <c r="C349" s="3">
        <v>45174</v>
      </c>
      <c r="D349" t="s">
        <v>492</v>
      </c>
      <c r="E349" s="2" t="s">
        <v>12</v>
      </c>
      <c r="F349" s="2" t="s">
        <v>12</v>
      </c>
      <c r="G349" t="s">
        <v>16</v>
      </c>
      <c r="H349" t="str">
        <f t="shared" si="10"/>
        <v>https://videplast.com.br/consulta-imobilizado?id=32002816&amp;nome=MONITOR%2019%20LCD%20SAMSUNG%20B1940W</v>
      </c>
      <c r="I349" t="e">
        <f t="shared" ca="1" si="11"/>
        <v>#NAME?</v>
      </c>
    </row>
    <row r="350" spans="1:9" x14ac:dyDescent="0.25">
      <c r="A350" s="2" t="s">
        <v>581</v>
      </c>
      <c r="B350" s="2" t="s">
        <v>10</v>
      </c>
      <c r="C350" s="3">
        <v>45435</v>
      </c>
      <c r="D350" t="s">
        <v>550</v>
      </c>
      <c r="E350" s="2" t="s">
        <v>12</v>
      </c>
      <c r="F350" s="2" t="s">
        <v>12</v>
      </c>
      <c r="G350" t="s">
        <v>16</v>
      </c>
      <c r="H350" t="str">
        <f t="shared" si="10"/>
        <v>https://videplast.com.br/consulta-imobilizado?id=32002977&amp;nome=MONITOR%20DELL%2021.5"%20P2219H</v>
      </c>
      <c r="I350" t="e">
        <f t="shared" ca="1" si="11"/>
        <v>#NAME?</v>
      </c>
    </row>
    <row r="351" spans="1:9" x14ac:dyDescent="0.25">
      <c r="A351" s="2" t="s">
        <v>582</v>
      </c>
      <c r="B351" s="2" t="s">
        <v>10</v>
      </c>
      <c r="C351" s="3">
        <v>45382</v>
      </c>
      <c r="D351" t="s">
        <v>583</v>
      </c>
      <c r="E351" s="2" t="s">
        <v>12</v>
      </c>
      <c r="F351" s="2" t="s">
        <v>12</v>
      </c>
      <c r="G351" t="s">
        <v>16</v>
      </c>
      <c r="H351" t="str">
        <f t="shared" si="10"/>
        <v>https://videplast.com.br/consulta-imobilizado?id=40000346&amp;nome=SERVIÇO%20LAPIDAÇÃO%20DE%20CONCRETO%202.191,23M2</v>
      </c>
      <c r="I351" t="e">
        <f t="shared" ca="1" si="11"/>
        <v>#NAME?</v>
      </c>
    </row>
    <row r="352" spans="1:9" x14ac:dyDescent="0.25">
      <c r="A352" s="2" t="s">
        <v>584</v>
      </c>
      <c r="B352" s="2" t="s">
        <v>10</v>
      </c>
      <c r="C352" s="3">
        <v>40694</v>
      </c>
      <c r="D352" t="s">
        <v>585</v>
      </c>
      <c r="E352" s="2" t="s">
        <v>12</v>
      </c>
      <c r="F352" s="2" t="s">
        <v>12</v>
      </c>
      <c r="G352" t="s">
        <v>586</v>
      </c>
      <c r="H352" t="str">
        <f t="shared" si="10"/>
        <v>https://videplast.com.br/consulta-imobilizado?id=11000006&amp;nome=ISOTELHA%20418,10M%2050MM%20COBERTURA%20SETOR%20DE%20IMPRESSAO</v>
      </c>
      <c r="I352" t="e">
        <f t="shared" ca="1" si="11"/>
        <v>#NAME?</v>
      </c>
    </row>
    <row r="353" spans="1:9" x14ac:dyDescent="0.25">
      <c r="A353" s="2" t="s">
        <v>584</v>
      </c>
      <c r="B353" s="2" t="s">
        <v>26</v>
      </c>
      <c r="C353" s="3">
        <v>40694</v>
      </c>
      <c r="D353" t="s">
        <v>587</v>
      </c>
      <c r="E353" s="2" t="s">
        <v>12</v>
      </c>
      <c r="F353" s="2" t="s">
        <v>12</v>
      </c>
      <c r="G353" t="s">
        <v>586</v>
      </c>
      <c r="H353" t="str">
        <f t="shared" si="10"/>
        <v>https://videplast.com.br/consulta-imobilizado?id=11000006&amp;nome=AQUISICAO%20DE%2015%20CT%20AP%2012-14X4%20E%2016%20CT%20DE%20PA%20SX</v>
      </c>
      <c r="I353" t="e">
        <f t="shared" ca="1" si="11"/>
        <v>#NAME?</v>
      </c>
    </row>
    <row r="354" spans="1:9" x14ac:dyDescent="0.25">
      <c r="A354" s="2" t="s">
        <v>588</v>
      </c>
      <c r="B354" s="2" t="s">
        <v>10</v>
      </c>
      <c r="C354" s="3">
        <v>40724</v>
      </c>
      <c r="D354" t="s">
        <v>589</v>
      </c>
      <c r="E354" s="2" t="s">
        <v>12</v>
      </c>
      <c r="F354" s="2" t="s">
        <v>12</v>
      </c>
      <c r="G354" t="s">
        <v>586</v>
      </c>
      <c r="H354" t="str">
        <f t="shared" si="10"/>
        <v>https://videplast.com.br/consulta-imobilizado?id=11000009&amp;nome=THINER%209800%20EUCATEX,%2020%20GL%20TINTA%20BRANCO</v>
      </c>
      <c r="I354" t="e">
        <f t="shared" ca="1" si="11"/>
        <v>#NAME?</v>
      </c>
    </row>
    <row r="355" spans="1:9" x14ac:dyDescent="0.25">
      <c r="A355" s="2" t="s">
        <v>590</v>
      </c>
      <c r="B355" s="2" t="s">
        <v>10</v>
      </c>
      <c r="C355" s="3">
        <v>40786</v>
      </c>
      <c r="D355" t="s">
        <v>591</v>
      </c>
      <c r="E355" s="2" t="s">
        <v>12</v>
      </c>
      <c r="F355" s="2" t="s">
        <v>12</v>
      </c>
      <c r="G355" t="s">
        <v>586</v>
      </c>
      <c r="H355" t="str">
        <f t="shared" si="10"/>
        <v>https://videplast.com.br/consulta-imobilizado?id=11000010&amp;nome=CONSTRUÇÃO%20BASE%20TANQUE%20P/%20SOLVENTE%2030.000%20LTS</v>
      </c>
      <c r="I355" t="e">
        <f t="shared" ca="1" si="11"/>
        <v>#NAME?</v>
      </c>
    </row>
    <row r="356" spans="1:9" x14ac:dyDescent="0.25">
      <c r="A356" s="2" t="s">
        <v>592</v>
      </c>
      <c r="B356" s="2" t="s">
        <v>10</v>
      </c>
      <c r="C356" s="3">
        <v>40421</v>
      </c>
      <c r="D356" t="s">
        <v>593</v>
      </c>
      <c r="E356" s="2" t="s">
        <v>12</v>
      </c>
      <c r="F356" s="2" t="s">
        <v>12</v>
      </c>
      <c r="G356" t="s">
        <v>586</v>
      </c>
      <c r="H356" t="str">
        <f t="shared" si="10"/>
        <v>https://videplast.com.br/consulta-imobilizado?id=11000098&amp;nome=CONSTRUCAO%20DE%20UMA%20SALA%20DE%20SOLVENTE%20%20E%20ACESSORIOS</v>
      </c>
      <c r="I356" t="e">
        <f t="shared" ca="1" si="11"/>
        <v>#NAME?</v>
      </c>
    </row>
    <row r="357" spans="1:9" x14ac:dyDescent="0.25">
      <c r="A357" s="2" t="s">
        <v>594</v>
      </c>
      <c r="B357" s="2" t="s">
        <v>10</v>
      </c>
      <c r="C357" s="3">
        <v>42726</v>
      </c>
      <c r="D357" t="s">
        <v>595</v>
      </c>
      <c r="E357" s="2" t="s">
        <v>12</v>
      </c>
      <c r="F357" s="2" t="s">
        <v>12</v>
      </c>
      <c r="G357" t="s">
        <v>586</v>
      </c>
      <c r="H357" t="str">
        <f t="shared" si="10"/>
        <v>https://videplast.com.br/consulta-imobilizado?id=11000142&amp;nome=CONSTRUÇÃO%20BARRACAO%20DA%20IMPRESSÃO</v>
      </c>
      <c r="I357" t="e">
        <f t="shared" ca="1" si="11"/>
        <v>#NAME?</v>
      </c>
    </row>
    <row r="358" spans="1:9" x14ac:dyDescent="0.25">
      <c r="A358" s="2" t="s">
        <v>594</v>
      </c>
      <c r="B358" s="2" t="s">
        <v>26</v>
      </c>
      <c r="C358" s="3">
        <v>44183</v>
      </c>
      <c r="D358" t="s">
        <v>596</v>
      </c>
      <c r="E358" s="2" t="s">
        <v>12</v>
      </c>
      <c r="F358" s="2" t="s">
        <v>12</v>
      </c>
      <c r="G358" t="s">
        <v>586</v>
      </c>
      <c r="H358" t="str">
        <f t="shared" si="10"/>
        <v>https://videplast.com.br/consulta-imobilizado?id=11000142&amp;nome=BARREIRA%20SANITARIA%20IMPRESSAO</v>
      </c>
      <c r="I358" t="e">
        <f t="shared" ca="1" si="11"/>
        <v>#NAME?</v>
      </c>
    </row>
    <row r="359" spans="1:9" x14ac:dyDescent="0.25">
      <c r="A359" s="2" t="s">
        <v>594</v>
      </c>
      <c r="B359" s="2" t="s">
        <v>21</v>
      </c>
      <c r="C359" s="3">
        <v>44183</v>
      </c>
      <c r="D359" t="s">
        <v>597</v>
      </c>
      <c r="E359" s="2" t="s">
        <v>12</v>
      </c>
      <c r="F359" s="2" t="s">
        <v>12</v>
      </c>
      <c r="G359" t="s">
        <v>586</v>
      </c>
      <c r="H359" t="str">
        <f t="shared" si="10"/>
        <v>https://videplast.com.br/consulta-imobilizado?id=11000142&amp;nome=COBERTURA%20TANQUES%20SOLVENTE</v>
      </c>
      <c r="I359" t="e">
        <f t="shared" ca="1" si="11"/>
        <v>#NAME?</v>
      </c>
    </row>
    <row r="360" spans="1:9" x14ac:dyDescent="0.25">
      <c r="A360" s="2" t="s">
        <v>594</v>
      </c>
      <c r="B360" s="2" t="s">
        <v>29</v>
      </c>
      <c r="C360" s="3">
        <v>44487</v>
      </c>
      <c r="D360" t="s">
        <v>598</v>
      </c>
      <c r="E360" s="2" t="s">
        <v>12</v>
      </c>
      <c r="F360" s="2" t="s">
        <v>12</v>
      </c>
      <c r="G360" t="s">
        <v>586</v>
      </c>
      <c r="H360" t="str">
        <f t="shared" si="10"/>
        <v>https://videplast.com.br/consulta-imobilizado?id=11000142&amp;nome=CONCLUSÃO%20DO%20PROJETO%20ADEQUAÇÃO%20A%20NR%2012</v>
      </c>
      <c r="I360" t="e">
        <f t="shared" ca="1" si="11"/>
        <v>#NAME?</v>
      </c>
    </row>
    <row r="361" spans="1:9" x14ac:dyDescent="0.25">
      <c r="A361" s="2" t="s">
        <v>599</v>
      </c>
      <c r="B361" s="2" t="s">
        <v>10</v>
      </c>
      <c r="C361" s="3">
        <v>43200</v>
      </c>
      <c r="D361" t="s">
        <v>600</v>
      </c>
      <c r="E361" s="2" t="s">
        <v>12</v>
      </c>
      <c r="F361" s="2" t="s">
        <v>12</v>
      </c>
      <c r="G361" t="s">
        <v>586</v>
      </c>
      <c r="H361" t="str">
        <f t="shared" si="10"/>
        <v>https://videplast.com.br/consulta-imobilizado?id=11000147&amp;nome=ALAMBRADO%20/%20PONTO%20ALIMENTAÇÃO%20INSUMOS%20IMPRESSAO</v>
      </c>
      <c r="I361" t="e">
        <f t="shared" ca="1" si="11"/>
        <v>#NAME?</v>
      </c>
    </row>
    <row r="362" spans="1:9" x14ac:dyDescent="0.25">
      <c r="A362" s="2" t="s">
        <v>601</v>
      </c>
      <c r="B362" s="2" t="s">
        <v>10</v>
      </c>
      <c r="C362" s="3">
        <v>42576</v>
      </c>
      <c r="D362" t="s">
        <v>602</v>
      </c>
      <c r="E362" s="2" t="s">
        <v>12</v>
      </c>
      <c r="F362" s="2" t="s">
        <v>12</v>
      </c>
      <c r="G362" t="s">
        <v>586</v>
      </c>
      <c r="H362" t="str">
        <f t="shared" si="10"/>
        <v>https://videplast.com.br/consulta-imobilizado?id=12000019&amp;nome=CONSTRUÇÃO%20DA%20BASE%20P/%20TANQUES%20DE%20SOLVENTE</v>
      </c>
      <c r="I362" t="e">
        <f t="shared" ca="1" si="11"/>
        <v>#NAME?</v>
      </c>
    </row>
    <row r="363" spans="1:9" x14ac:dyDescent="0.25">
      <c r="A363" s="2" t="s">
        <v>601</v>
      </c>
      <c r="B363" s="2" t="s">
        <v>26</v>
      </c>
      <c r="C363" s="3">
        <v>42643</v>
      </c>
      <c r="D363" t="s">
        <v>603</v>
      </c>
      <c r="E363" s="2" t="s">
        <v>12</v>
      </c>
      <c r="F363" s="2" t="s">
        <v>12</v>
      </c>
      <c r="G363" t="s">
        <v>586</v>
      </c>
      <c r="H363" t="str">
        <f t="shared" si="10"/>
        <v>https://videplast.com.br/consulta-imobilizado?id=12000019&amp;nome=PROJETO%20DOS%20TANQUES%20E%20PARA%20RAIOS</v>
      </c>
      <c r="I363" t="e">
        <f t="shared" ca="1" si="11"/>
        <v>#NAME?</v>
      </c>
    </row>
    <row r="364" spans="1:9" x14ac:dyDescent="0.25">
      <c r="A364" s="2" t="s">
        <v>604</v>
      </c>
      <c r="B364" s="2" t="s">
        <v>10</v>
      </c>
      <c r="C364" s="3">
        <v>43830</v>
      </c>
      <c r="D364" t="s">
        <v>605</v>
      </c>
      <c r="E364" s="2" t="s">
        <v>12</v>
      </c>
      <c r="F364" s="2" t="s">
        <v>12</v>
      </c>
      <c r="G364" t="s">
        <v>586</v>
      </c>
      <c r="H364" t="str">
        <f t="shared" si="10"/>
        <v>https://videplast.com.br/consulta-imobilizado?id=12000061&amp;nome=PISTA%20DE%20ABASTECIMENTO%20SOLVENTE</v>
      </c>
      <c r="I364" t="e">
        <f t="shared" ca="1" si="11"/>
        <v>#NAME?</v>
      </c>
    </row>
    <row r="365" spans="1:9" x14ac:dyDescent="0.25">
      <c r="A365" s="2" t="s">
        <v>606</v>
      </c>
      <c r="B365" s="2" t="s">
        <v>10</v>
      </c>
      <c r="C365" s="3">
        <v>38696</v>
      </c>
      <c r="D365" t="s">
        <v>607</v>
      </c>
      <c r="E365" s="2" t="s">
        <v>608</v>
      </c>
      <c r="F365" s="2" t="s">
        <v>609</v>
      </c>
      <c r="G365" t="s">
        <v>586</v>
      </c>
      <c r="H365" t="str">
        <f t="shared" si="10"/>
        <v>https://videplast.com.br/consulta-imobilizado?id=20000087&amp;nome=IMPRESSORA%20FLEXOG%206%20CORES%20MOD.SOLUTTION%201200%20Nº107</v>
      </c>
      <c r="I365" t="e">
        <f t="shared" ca="1" si="11"/>
        <v>#NAME?</v>
      </c>
    </row>
    <row r="366" spans="1:9" x14ac:dyDescent="0.25">
      <c r="A366" s="2" t="s">
        <v>606</v>
      </c>
      <c r="B366" s="2" t="s">
        <v>26</v>
      </c>
      <c r="C366" s="3">
        <v>44182</v>
      </c>
      <c r="D366" t="s">
        <v>381</v>
      </c>
      <c r="E366" s="2" t="s">
        <v>12</v>
      </c>
      <c r="F366" s="2" t="s">
        <v>12</v>
      </c>
      <c r="G366" t="s">
        <v>586</v>
      </c>
      <c r="H366" t="str">
        <f t="shared" si="10"/>
        <v>https://videplast.com.br/consulta-imobilizado?id=20000087&amp;nome=FRETE</v>
      </c>
      <c r="I366" t="e">
        <f t="shared" ca="1" si="11"/>
        <v>#NAME?</v>
      </c>
    </row>
    <row r="367" spans="1:9" x14ac:dyDescent="0.25">
      <c r="A367" s="2" t="s">
        <v>606</v>
      </c>
      <c r="B367" s="2" t="s">
        <v>21</v>
      </c>
      <c r="C367" s="3">
        <v>44182</v>
      </c>
      <c r="D367" t="s">
        <v>381</v>
      </c>
      <c r="E367" s="2" t="s">
        <v>12</v>
      </c>
      <c r="F367" s="2" t="s">
        <v>12</v>
      </c>
      <c r="G367" t="s">
        <v>586</v>
      </c>
      <c r="H367" t="str">
        <f t="shared" si="10"/>
        <v>https://videplast.com.br/consulta-imobilizado?id=20000087&amp;nome=FRETE</v>
      </c>
      <c r="I367" t="e">
        <f t="shared" ca="1" si="11"/>
        <v>#NAME?</v>
      </c>
    </row>
    <row r="368" spans="1:9" x14ac:dyDescent="0.25">
      <c r="A368" s="2" t="s">
        <v>606</v>
      </c>
      <c r="B368" s="2" t="s">
        <v>29</v>
      </c>
      <c r="C368" s="3">
        <v>44182</v>
      </c>
      <c r="D368" t="s">
        <v>381</v>
      </c>
      <c r="E368" s="2" t="s">
        <v>12</v>
      </c>
      <c r="F368" s="2" t="s">
        <v>12</v>
      </c>
      <c r="G368" t="s">
        <v>586</v>
      </c>
      <c r="H368" t="str">
        <f t="shared" si="10"/>
        <v>https://videplast.com.br/consulta-imobilizado?id=20000087&amp;nome=FRETE</v>
      </c>
      <c r="I368" t="e">
        <f t="shared" ca="1" si="11"/>
        <v>#NAME?</v>
      </c>
    </row>
    <row r="369" spans="1:9" x14ac:dyDescent="0.25">
      <c r="A369" s="2" t="s">
        <v>606</v>
      </c>
      <c r="B369" s="2" t="s">
        <v>31</v>
      </c>
      <c r="C369" s="3">
        <v>44182</v>
      </c>
      <c r="D369" t="s">
        <v>381</v>
      </c>
      <c r="E369" s="2" t="s">
        <v>12</v>
      </c>
      <c r="F369" s="2" t="s">
        <v>12</v>
      </c>
      <c r="G369" t="s">
        <v>586</v>
      </c>
      <c r="H369" t="str">
        <f t="shared" si="10"/>
        <v>https://videplast.com.br/consulta-imobilizado?id=20000087&amp;nome=FRETE</v>
      </c>
      <c r="I369" t="e">
        <f t="shared" ca="1" si="11"/>
        <v>#NAME?</v>
      </c>
    </row>
    <row r="370" spans="1:9" x14ac:dyDescent="0.25">
      <c r="A370" s="2" t="s">
        <v>606</v>
      </c>
      <c r="B370" s="2" t="s">
        <v>33</v>
      </c>
      <c r="C370" s="3">
        <v>44182</v>
      </c>
      <c r="D370" t="s">
        <v>381</v>
      </c>
      <c r="E370" s="2" t="s">
        <v>12</v>
      </c>
      <c r="F370" s="2" t="s">
        <v>12</v>
      </c>
      <c r="G370" t="s">
        <v>586</v>
      </c>
      <c r="H370" t="str">
        <f t="shared" si="10"/>
        <v>https://videplast.com.br/consulta-imobilizado?id=20000087&amp;nome=FRETE</v>
      </c>
      <c r="I370" t="e">
        <f t="shared" ca="1" si="11"/>
        <v>#NAME?</v>
      </c>
    </row>
    <row r="371" spans="1:9" x14ac:dyDescent="0.25">
      <c r="A371" s="2" t="s">
        <v>606</v>
      </c>
      <c r="B371" s="2" t="s">
        <v>35</v>
      </c>
      <c r="C371" s="3">
        <v>44182</v>
      </c>
      <c r="D371" t="s">
        <v>610</v>
      </c>
      <c r="E371" s="2" t="s">
        <v>12</v>
      </c>
      <c r="F371" s="2" t="s">
        <v>12</v>
      </c>
      <c r="G371" t="s">
        <v>586</v>
      </c>
      <c r="H371" t="str">
        <f t="shared" si="10"/>
        <v>https://videplast.com.br/consulta-imobilizado?id=20000087&amp;nome=FRETE%20DA%20IMPRESSORA%20FELXOGRAFICA</v>
      </c>
      <c r="I371" t="e">
        <f t="shared" ca="1" si="11"/>
        <v>#NAME?</v>
      </c>
    </row>
    <row r="372" spans="1:9" x14ac:dyDescent="0.25">
      <c r="A372" s="2" t="s">
        <v>606</v>
      </c>
      <c r="B372" s="2" t="s">
        <v>37</v>
      </c>
      <c r="C372" s="3">
        <v>44182</v>
      </c>
      <c r="D372" t="s">
        <v>610</v>
      </c>
      <c r="E372" s="2" t="s">
        <v>12</v>
      </c>
      <c r="F372" s="2" t="s">
        <v>12</v>
      </c>
      <c r="G372" t="s">
        <v>586</v>
      </c>
      <c r="H372" t="str">
        <f t="shared" si="10"/>
        <v>https://videplast.com.br/consulta-imobilizado?id=20000087&amp;nome=FRETE%20DA%20IMPRESSORA%20FELXOGRAFICA</v>
      </c>
      <c r="I372" t="e">
        <f t="shared" ca="1" si="11"/>
        <v>#NAME?</v>
      </c>
    </row>
    <row r="373" spans="1:9" x14ac:dyDescent="0.25">
      <c r="A373" s="2" t="s">
        <v>606</v>
      </c>
      <c r="B373" s="2" t="s">
        <v>39</v>
      </c>
      <c r="C373" s="3">
        <v>44182</v>
      </c>
      <c r="D373" t="s">
        <v>611</v>
      </c>
      <c r="E373" s="2" t="s">
        <v>12</v>
      </c>
      <c r="F373" s="2" t="s">
        <v>12</v>
      </c>
      <c r="G373" t="s">
        <v>586</v>
      </c>
      <c r="H373" t="str">
        <f t="shared" si="10"/>
        <v>https://videplast.com.br/consulta-imobilizado?id=20000087&amp;nome=FRETE%20DA%20IMPRESSORA%20FELXOGRAFICA%20BETA</v>
      </c>
      <c r="I373" t="e">
        <f t="shared" ca="1" si="11"/>
        <v>#NAME?</v>
      </c>
    </row>
    <row r="374" spans="1:9" x14ac:dyDescent="0.25">
      <c r="A374" s="2" t="s">
        <v>606</v>
      </c>
      <c r="B374" s="2" t="s">
        <v>126</v>
      </c>
      <c r="C374" s="3">
        <v>44182</v>
      </c>
      <c r="D374" t="s">
        <v>612</v>
      </c>
      <c r="E374" s="2" t="s">
        <v>12</v>
      </c>
      <c r="F374" s="2" t="s">
        <v>12</v>
      </c>
      <c r="G374" t="s">
        <v>586</v>
      </c>
      <c r="H374" t="str">
        <f t="shared" si="10"/>
        <v>https://videplast.com.br/consulta-imobilizado?id=20000087&amp;nome=FRETE%20REF.%20TRANSPORTE%20DA%20IMPRESSORA%20BETA%2008%20CORES</v>
      </c>
      <c r="I374" t="e">
        <f t="shared" ca="1" si="11"/>
        <v>#NAME?</v>
      </c>
    </row>
    <row r="375" spans="1:9" x14ac:dyDescent="0.25">
      <c r="A375" s="2" t="s">
        <v>613</v>
      </c>
      <c r="B375" s="2" t="s">
        <v>10</v>
      </c>
      <c r="C375" s="3">
        <v>40451</v>
      </c>
      <c r="D375" t="s">
        <v>614</v>
      </c>
      <c r="E375" s="2" t="s">
        <v>615</v>
      </c>
      <c r="F375" s="2" t="s">
        <v>616</v>
      </c>
      <c r="G375" t="s">
        <v>586</v>
      </c>
      <c r="H375" t="str">
        <f t="shared" si="10"/>
        <v>https://videplast.com.br/consulta-imobilizado?id=20000130&amp;nome=IMPRESSORA%20FLEXO%208C%20ACCESS%20GOLD%20GL%20800%20Nº%20111</v>
      </c>
      <c r="I375" t="e">
        <f t="shared" ca="1" si="11"/>
        <v>#NAME?</v>
      </c>
    </row>
    <row r="376" spans="1:9" x14ac:dyDescent="0.25">
      <c r="A376" s="2" t="s">
        <v>613</v>
      </c>
      <c r="B376" s="2" t="s">
        <v>26</v>
      </c>
      <c r="C376" s="3">
        <v>40451</v>
      </c>
      <c r="D376" t="s">
        <v>617</v>
      </c>
      <c r="E376" s="2" t="s">
        <v>12</v>
      </c>
      <c r="F376" s="2" t="s">
        <v>12</v>
      </c>
      <c r="G376" t="s">
        <v>586</v>
      </c>
      <c r="H376" t="str">
        <f t="shared" si="10"/>
        <v>https://videplast.com.br/consulta-imobilizado?id=20000130&amp;nome=FRETE%20REF.%20COMPRA%20IMPRESSORA%20FLEXO%208C</v>
      </c>
      <c r="I376" t="e">
        <f t="shared" ca="1" si="11"/>
        <v>#NAME?</v>
      </c>
    </row>
    <row r="377" spans="1:9" x14ac:dyDescent="0.25">
      <c r="A377" s="2" t="s">
        <v>613</v>
      </c>
      <c r="B377" s="2" t="s">
        <v>21</v>
      </c>
      <c r="C377" s="3">
        <v>40451</v>
      </c>
      <c r="D377" t="s">
        <v>617</v>
      </c>
      <c r="E377" s="2" t="s">
        <v>12</v>
      </c>
      <c r="F377" s="2" t="s">
        <v>12</v>
      </c>
      <c r="G377" t="s">
        <v>586</v>
      </c>
      <c r="H377" t="str">
        <f t="shared" si="10"/>
        <v>https://videplast.com.br/consulta-imobilizado?id=20000130&amp;nome=FRETE%20REF.%20COMPRA%20IMPRESSORA%20FLEXO%208C</v>
      </c>
      <c r="I377" t="e">
        <f t="shared" ca="1" si="11"/>
        <v>#NAME?</v>
      </c>
    </row>
    <row r="378" spans="1:9" x14ac:dyDescent="0.25">
      <c r="A378" s="2" t="s">
        <v>613</v>
      </c>
      <c r="B378" s="2" t="s">
        <v>29</v>
      </c>
      <c r="C378" s="3">
        <v>40421</v>
      </c>
      <c r="D378" t="s">
        <v>617</v>
      </c>
      <c r="E378" s="2" t="s">
        <v>12</v>
      </c>
      <c r="F378" s="2" t="s">
        <v>12</v>
      </c>
      <c r="G378" t="s">
        <v>586</v>
      </c>
      <c r="H378" t="str">
        <f t="shared" si="10"/>
        <v>https://videplast.com.br/consulta-imobilizado?id=20000130&amp;nome=FRETE%20REF.%20COMPRA%20IMPRESSORA%20FLEXO%208C</v>
      </c>
      <c r="I378" t="e">
        <f t="shared" ca="1" si="11"/>
        <v>#NAME?</v>
      </c>
    </row>
    <row r="379" spans="1:9" x14ac:dyDescent="0.25">
      <c r="A379" s="2" t="s">
        <v>613</v>
      </c>
      <c r="B379" s="2" t="s">
        <v>31</v>
      </c>
      <c r="C379" s="3">
        <v>40421</v>
      </c>
      <c r="D379" t="s">
        <v>617</v>
      </c>
      <c r="E379" s="2" t="s">
        <v>12</v>
      </c>
      <c r="F379" s="2" t="s">
        <v>12</v>
      </c>
      <c r="G379" t="s">
        <v>586</v>
      </c>
      <c r="H379" t="str">
        <f t="shared" si="10"/>
        <v>https://videplast.com.br/consulta-imobilizado?id=20000130&amp;nome=FRETE%20REF.%20COMPRA%20IMPRESSORA%20FLEXO%208C</v>
      </c>
      <c r="I379" t="e">
        <f t="shared" ca="1" si="11"/>
        <v>#NAME?</v>
      </c>
    </row>
    <row r="380" spans="1:9" x14ac:dyDescent="0.25">
      <c r="A380" s="2" t="s">
        <v>613</v>
      </c>
      <c r="B380" s="2" t="s">
        <v>33</v>
      </c>
      <c r="C380" s="3">
        <v>40451</v>
      </c>
      <c r="D380" t="s">
        <v>618</v>
      </c>
      <c r="E380" s="2" t="s">
        <v>12</v>
      </c>
      <c r="F380" s="2" t="s">
        <v>12</v>
      </c>
      <c r="G380" t="s">
        <v>586</v>
      </c>
      <c r="H380" t="str">
        <f t="shared" si="10"/>
        <v>https://videplast.com.br/consulta-imobilizado?id=20000130&amp;nome=LOCACAO%20DE%20MUNK%20P/DESCARREGAMENTO%20DA%20IMPRESSORA</v>
      </c>
      <c r="I380" t="e">
        <f t="shared" ca="1" si="11"/>
        <v>#NAME?</v>
      </c>
    </row>
    <row r="381" spans="1:9" x14ac:dyDescent="0.25">
      <c r="A381" s="2" t="s">
        <v>613</v>
      </c>
      <c r="B381" s="2" t="s">
        <v>35</v>
      </c>
      <c r="C381" s="3">
        <v>40451</v>
      </c>
      <c r="D381" t="s">
        <v>619</v>
      </c>
      <c r="E381" s="2" t="s">
        <v>12</v>
      </c>
      <c r="F381" s="2" t="s">
        <v>12</v>
      </c>
      <c r="G381" t="s">
        <v>586</v>
      </c>
      <c r="H381" t="str">
        <f t="shared" si="10"/>
        <v>https://videplast.com.br/consulta-imobilizado?id=20000130&amp;nome=BARRA%20DE%20VIGA%20I%205%20127%20X%205,43%20A-36</v>
      </c>
      <c r="I381" t="e">
        <f t="shared" ca="1" si="11"/>
        <v>#NAME?</v>
      </c>
    </row>
    <row r="382" spans="1:9" x14ac:dyDescent="0.25">
      <c r="A382" s="2" t="s">
        <v>613</v>
      </c>
      <c r="B382" s="2" t="s">
        <v>37</v>
      </c>
      <c r="C382" s="3">
        <v>40451</v>
      </c>
      <c r="D382" t="s">
        <v>620</v>
      </c>
      <c r="E382" s="2" t="s">
        <v>12</v>
      </c>
      <c r="F382" s="2" t="s">
        <v>12</v>
      </c>
      <c r="G382" t="s">
        <v>586</v>
      </c>
      <c r="H382" t="str">
        <f t="shared" si="10"/>
        <v>https://videplast.com.br/consulta-imobilizado?id=20000130&amp;nome=DISJUNTOR%20630A%2036KA%20S/%20DISPARADOR%203VT3763</v>
      </c>
      <c r="I382" t="e">
        <f t="shared" ca="1" si="11"/>
        <v>#NAME?</v>
      </c>
    </row>
    <row r="383" spans="1:9" x14ac:dyDescent="0.25">
      <c r="A383" s="2" t="s">
        <v>613</v>
      </c>
      <c r="B383" s="2" t="s">
        <v>39</v>
      </c>
      <c r="C383" s="3">
        <v>40451</v>
      </c>
      <c r="D383" t="s">
        <v>621</v>
      </c>
      <c r="E383" s="2" t="s">
        <v>12</v>
      </c>
      <c r="F383" s="2" t="s">
        <v>12</v>
      </c>
      <c r="G383" t="s">
        <v>586</v>
      </c>
      <c r="H383" t="str">
        <f t="shared" si="10"/>
        <v>https://videplast.com.br/consulta-imobilizado?id=20000130&amp;nome=MATERIAIS%20ELETRICOS%20DIVERSOS</v>
      </c>
      <c r="I383" t="e">
        <f t="shared" ca="1" si="11"/>
        <v>#NAME?</v>
      </c>
    </row>
    <row r="384" spans="1:9" x14ac:dyDescent="0.25">
      <c r="A384" s="2" t="s">
        <v>613</v>
      </c>
      <c r="B384" s="2" t="s">
        <v>126</v>
      </c>
      <c r="C384" s="3">
        <v>40451</v>
      </c>
      <c r="D384" t="s">
        <v>622</v>
      </c>
      <c r="E384" s="2" t="s">
        <v>12</v>
      </c>
      <c r="F384" s="2" t="s">
        <v>12</v>
      </c>
      <c r="G384" t="s">
        <v>586</v>
      </c>
      <c r="H384" t="str">
        <f t="shared" si="10"/>
        <v>https://videplast.com.br/consulta-imobilizado?id=20000130&amp;nome=CHAPA%20INOX%20304%201,2X125X200</v>
      </c>
      <c r="I384" t="e">
        <f t="shared" ca="1" si="11"/>
        <v>#NAME?</v>
      </c>
    </row>
    <row r="385" spans="1:9" x14ac:dyDescent="0.25">
      <c r="A385" s="2" t="s">
        <v>613</v>
      </c>
      <c r="B385" s="2" t="s">
        <v>623</v>
      </c>
      <c r="C385" s="3">
        <v>40482</v>
      </c>
      <c r="D385" t="s">
        <v>624</v>
      </c>
      <c r="E385" s="2" t="s">
        <v>12</v>
      </c>
      <c r="F385" s="2" t="s">
        <v>12</v>
      </c>
      <c r="G385" t="s">
        <v>586</v>
      </c>
      <c r="H385" t="str">
        <f t="shared" si="10"/>
        <v>https://videplast.com.br/consulta-imobilizado?id=20000130&amp;nome=40%20CAMISAS%20PORTA%20CLICHE%20CARBOFLEX%20MANDRIL%20121,074</v>
      </c>
      <c r="I385" t="e">
        <f t="shared" ca="1" si="11"/>
        <v>#NAME?</v>
      </c>
    </row>
    <row r="386" spans="1:9" x14ac:dyDescent="0.25">
      <c r="A386" s="2" t="s">
        <v>613</v>
      </c>
      <c r="B386" s="2" t="s">
        <v>625</v>
      </c>
      <c r="C386" s="3">
        <v>40482</v>
      </c>
      <c r="D386" t="s">
        <v>626</v>
      </c>
      <c r="E386" s="2" t="s">
        <v>12</v>
      </c>
      <c r="F386" s="2" t="s">
        <v>12</v>
      </c>
      <c r="G386" t="s">
        <v>586</v>
      </c>
      <c r="H386" t="str">
        <f t="shared" ref="H386:H449" si="12" xml:space="preserve"> "https://videplast.com.br/consulta-imobilizado?id=" &amp; A386 &amp; "&amp;nome=" &amp; SUBSTITUTE(D386, " ", "%20")</f>
        <v>https://videplast.com.br/consulta-imobilizado?id=20000130&amp;nome=MONITOR%20LCD%2015%20POLEGADAS%20TOUCH%20SCREEN%20TYCO</v>
      </c>
      <c r="I386" t="e">
        <f t="shared" ref="I386:I449" ca="1" si="13">_xlfn.IMAGE("https://chart.googleapis.com/chart?chs=150x150&amp;cht=qr&amp;chl=" &amp; H386)</f>
        <v>#NAME?</v>
      </c>
    </row>
    <row r="387" spans="1:9" x14ac:dyDescent="0.25">
      <c r="A387" s="2" t="s">
        <v>613</v>
      </c>
      <c r="B387" s="2" t="s">
        <v>627</v>
      </c>
      <c r="C387" s="3">
        <v>40451</v>
      </c>
      <c r="D387" t="s">
        <v>628</v>
      </c>
      <c r="E387" s="2" t="s">
        <v>12</v>
      </c>
      <c r="F387" s="2" t="s">
        <v>12</v>
      </c>
      <c r="G387" t="s">
        <v>586</v>
      </c>
      <c r="H387" t="str">
        <f t="shared" si="12"/>
        <v>https://videplast.com.br/consulta-imobilizado?id=20000130&amp;nome=DISPARADOR%20630A%203VT9363-6AB00%20SIEMENS</v>
      </c>
      <c r="I387" t="e">
        <f t="shared" ca="1" si="13"/>
        <v>#NAME?</v>
      </c>
    </row>
    <row r="388" spans="1:9" x14ac:dyDescent="0.25">
      <c r="A388" s="2" t="s">
        <v>613</v>
      </c>
      <c r="B388" s="2" t="s">
        <v>629</v>
      </c>
      <c r="C388" s="3">
        <v>40847</v>
      </c>
      <c r="D388" t="s">
        <v>630</v>
      </c>
      <c r="E388" s="2" t="s">
        <v>12</v>
      </c>
      <c r="F388" s="2" t="s">
        <v>12</v>
      </c>
      <c r="G388" t="s">
        <v>586</v>
      </c>
      <c r="H388" t="str">
        <f t="shared" si="12"/>
        <v>https://videplast.com.br/consulta-imobilizado?id=20000130&amp;nome=ROLO%20CURVO%20RCA%20NITRI%2030X80X0854X1040%20MM</v>
      </c>
      <c r="I388" t="e">
        <f t="shared" ca="1" si="13"/>
        <v>#NAME?</v>
      </c>
    </row>
    <row r="389" spans="1:9" x14ac:dyDescent="0.25">
      <c r="A389" s="2" t="s">
        <v>613</v>
      </c>
      <c r="B389" s="2" t="s">
        <v>631</v>
      </c>
      <c r="C389" s="3">
        <v>40724</v>
      </c>
      <c r="D389" t="s">
        <v>632</v>
      </c>
      <c r="E389" s="2" t="s">
        <v>12</v>
      </c>
      <c r="F389" s="2" t="s">
        <v>12</v>
      </c>
      <c r="G389" t="s">
        <v>586</v>
      </c>
      <c r="H389" t="str">
        <f t="shared" si="12"/>
        <v>https://videplast.com.br/consulta-imobilizado?id=20000130&amp;nome=MAO%20DE%20OBRA%20P/INSTACAO%20DA%20MAQ.IMPRESSORA%20ACCESS</v>
      </c>
      <c r="I389" t="e">
        <f t="shared" ca="1" si="13"/>
        <v>#NAME?</v>
      </c>
    </row>
    <row r="390" spans="1:9" x14ac:dyDescent="0.25">
      <c r="A390" s="2" t="s">
        <v>613</v>
      </c>
      <c r="B390" s="2" t="s">
        <v>633</v>
      </c>
      <c r="C390" s="3">
        <v>42269</v>
      </c>
      <c r="D390" t="s">
        <v>634</v>
      </c>
      <c r="E390" s="2" t="s">
        <v>12</v>
      </c>
      <c r="F390" s="2" t="s">
        <v>12</v>
      </c>
      <c r="G390" t="s">
        <v>586</v>
      </c>
      <c r="H390" t="str">
        <f t="shared" si="12"/>
        <v>https://videplast.com.br/consulta-imobilizado?id=20000130&amp;nome=PAINEL%20DE%20COMANDO%20REXROTH%20,%20CABOS%20,FIRMWARE%20FWA</v>
      </c>
      <c r="I390" t="e">
        <f t="shared" ca="1" si="13"/>
        <v>#NAME?</v>
      </c>
    </row>
    <row r="391" spans="1:9" x14ac:dyDescent="0.25">
      <c r="A391" s="2" t="s">
        <v>613</v>
      </c>
      <c r="B391" s="2" t="s">
        <v>635</v>
      </c>
      <c r="C391" s="3">
        <v>44182</v>
      </c>
      <c r="D391" t="s">
        <v>636</v>
      </c>
      <c r="E391" s="2" t="s">
        <v>637</v>
      </c>
      <c r="F391" s="2" t="s">
        <v>12</v>
      </c>
      <c r="G391" t="s">
        <v>586</v>
      </c>
      <c r="H391" t="str">
        <f t="shared" si="12"/>
        <v>https://videplast.com.br/consulta-imobilizado?id=20000130&amp;nome=FRETE%20PELA%20COMPRA%20DE%20EQUIPAMENTOS%20DA%20FLEXO%20TECH</v>
      </c>
      <c r="I391" t="e">
        <f t="shared" ca="1" si="13"/>
        <v>#NAME?</v>
      </c>
    </row>
    <row r="392" spans="1:9" x14ac:dyDescent="0.25">
      <c r="A392" s="2" t="s">
        <v>613</v>
      </c>
      <c r="B392" s="2" t="s">
        <v>638</v>
      </c>
      <c r="C392" s="3">
        <v>44182</v>
      </c>
      <c r="D392" t="s">
        <v>636</v>
      </c>
      <c r="E392" s="2" t="s">
        <v>637</v>
      </c>
      <c r="F392" s="2" t="s">
        <v>12</v>
      </c>
      <c r="G392" t="s">
        <v>586</v>
      </c>
      <c r="H392" t="str">
        <f t="shared" si="12"/>
        <v>https://videplast.com.br/consulta-imobilizado?id=20000130&amp;nome=FRETE%20PELA%20COMPRA%20DE%20EQUIPAMENTOS%20DA%20FLEXO%20TECH</v>
      </c>
      <c r="I392" t="e">
        <f t="shared" ca="1" si="13"/>
        <v>#NAME?</v>
      </c>
    </row>
    <row r="393" spans="1:9" x14ac:dyDescent="0.25">
      <c r="A393" s="2" t="s">
        <v>639</v>
      </c>
      <c r="B393" s="2" t="s">
        <v>10</v>
      </c>
      <c r="C393" s="3">
        <v>44183</v>
      </c>
      <c r="D393" t="s">
        <v>640</v>
      </c>
      <c r="E393" s="2" t="s">
        <v>641</v>
      </c>
      <c r="F393" s="2" t="s">
        <v>642</v>
      </c>
      <c r="G393" t="s">
        <v>586</v>
      </c>
      <c r="H393" t="str">
        <f t="shared" si="12"/>
        <v>https://videplast.com.br/consulta-imobilizado?id=20000587&amp;nome=IMPRESSORA%20WINDMOLLER%2061140%20MIRAFLEX%20AM%208C%20Nº%20116</v>
      </c>
      <c r="I393" t="e">
        <f t="shared" ca="1" si="13"/>
        <v>#NAME?</v>
      </c>
    </row>
    <row r="394" spans="1:9" x14ac:dyDescent="0.25">
      <c r="A394" s="2" t="s">
        <v>639</v>
      </c>
      <c r="B394" s="2" t="s">
        <v>26</v>
      </c>
      <c r="C394" s="3">
        <v>44183</v>
      </c>
      <c r="D394" t="s">
        <v>643</v>
      </c>
      <c r="E394" s="2" t="s">
        <v>641</v>
      </c>
      <c r="F394" s="2" t="s">
        <v>12</v>
      </c>
      <c r="G394" t="s">
        <v>586</v>
      </c>
      <c r="H394" t="str">
        <f t="shared" si="12"/>
        <v>https://videplast.com.br/consulta-imobilizado?id=20000587&amp;nome=FRETE%20IMPRESSORA%20WINDMOLLER%2061140%20MIRAFLEX%20AM8</v>
      </c>
      <c r="I394" t="e">
        <f t="shared" ca="1" si="13"/>
        <v>#NAME?</v>
      </c>
    </row>
    <row r="395" spans="1:9" x14ac:dyDescent="0.25">
      <c r="A395" s="2" t="s">
        <v>639</v>
      </c>
      <c r="B395" s="2" t="s">
        <v>21</v>
      </c>
      <c r="C395" s="3">
        <v>44183</v>
      </c>
      <c r="D395" t="s">
        <v>643</v>
      </c>
      <c r="E395" s="2" t="s">
        <v>641</v>
      </c>
      <c r="F395" s="2" t="s">
        <v>12</v>
      </c>
      <c r="G395" t="s">
        <v>586</v>
      </c>
      <c r="H395" t="str">
        <f t="shared" si="12"/>
        <v>https://videplast.com.br/consulta-imobilizado?id=20000587&amp;nome=FRETE%20IMPRESSORA%20WINDMOLLER%2061140%20MIRAFLEX%20AM8</v>
      </c>
      <c r="I395" t="e">
        <f t="shared" ca="1" si="13"/>
        <v>#NAME?</v>
      </c>
    </row>
    <row r="396" spans="1:9" x14ac:dyDescent="0.25">
      <c r="A396" s="2" t="s">
        <v>639</v>
      </c>
      <c r="B396" s="2" t="s">
        <v>29</v>
      </c>
      <c r="C396" s="3">
        <v>44183</v>
      </c>
      <c r="D396" t="s">
        <v>644</v>
      </c>
      <c r="E396" s="2" t="s">
        <v>641</v>
      </c>
      <c r="F396" s="2" t="s">
        <v>12</v>
      </c>
      <c r="G396" t="s">
        <v>586</v>
      </c>
      <c r="H396" t="str">
        <f t="shared" si="12"/>
        <v>https://videplast.com.br/consulta-imobilizado?id=20000587&amp;nome=SERVIÇOS%20DE%20INSTALAÇÃO%20MAQUINA%20WINDMOLLER</v>
      </c>
      <c r="I396" t="e">
        <f t="shared" ca="1" si="13"/>
        <v>#NAME?</v>
      </c>
    </row>
    <row r="397" spans="1:9" x14ac:dyDescent="0.25">
      <c r="A397" s="2" t="s">
        <v>639</v>
      </c>
      <c r="B397" s="2" t="s">
        <v>31</v>
      </c>
      <c r="C397" s="3">
        <v>44183</v>
      </c>
      <c r="D397" t="s">
        <v>644</v>
      </c>
      <c r="E397" s="2" t="s">
        <v>641</v>
      </c>
      <c r="F397" s="2" t="s">
        <v>12</v>
      </c>
      <c r="G397" t="s">
        <v>586</v>
      </c>
      <c r="H397" t="str">
        <f t="shared" si="12"/>
        <v>https://videplast.com.br/consulta-imobilizado?id=20000587&amp;nome=SERVIÇOS%20DE%20INSTALAÇÃO%20MAQUINA%20WINDMOLLER</v>
      </c>
      <c r="I397" t="e">
        <f t="shared" ca="1" si="13"/>
        <v>#NAME?</v>
      </c>
    </row>
    <row r="398" spans="1:9" x14ac:dyDescent="0.25">
      <c r="A398" s="2" t="s">
        <v>639</v>
      </c>
      <c r="B398" s="2" t="s">
        <v>33</v>
      </c>
      <c r="C398" s="3">
        <v>44183</v>
      </c>
      <c r="D398" t="s">
        <v>644</v>
      </c>
      <c r="E398" s="2" t="s">
        <v>641</v>
      </c>
      <c r="F398" s="2" t="s">
        <v>12</v>
      </c>
      <c r="G398" t="s">
        <v>586</v>
      </c>
      <c r="H398" t="str">
        <f t="shared" si="12"/>
        <v>https://videplast.com.br/consulta-imobilizado?id=20000587&amp;nome=SERVIÇOS%20DE%20INSTALAÇÃO%20MAQUINA%20WINDMOLLER</v>
      </c>
      <c r="I398" t="e">
        <f t="shared" ca="1" si="13"/>
        <v>#NAME?</v>
      </c>
    </row>
    <row r="399" spans="1:9" x14ac:dyDescent="0.25">
      <c r="A399" s="2" t="s">
        <v>639</v>
      </c>
      <c r="B399" s="2" t="s">
        <v>35</v>
      </c>
      <c r="C399" s="3">
        <v>44250</v>
      </c>
      <c r="D399" t="s">
        <v>645</v>
      </c>
      <c r="E399" s="2" t="s">
        <v>12</v>
      </c>
      <c r="F399" s="2" t="s">
        <v>12</v>
      </c>
      <c r="G399" t="s">
        <v>586</v>
      </c>
      <c r="H399" t="str">
        <f t="shared" si="12"/>
        <v>https://videplast.com.br/consulta-imobilizado?id=20000587&amp;nome=CONVERSOR%20DE%20FREQUENCIA%2016KW%20WINDMOLLER%2035041995</v>
      </c>
      <c r="I399" t="e">
        <f t="shared" ca="1" si="13"/>
        <v>#NAME?</v>
      </c>
    </row>
    <row r="400" spans="1:9" x14ac:dyDescent="0.25">
      <c r="A400" s="2" t="s">
        <v>639</v>
      </c>
      <c r="B400" s="2" t="s">
        <v>37</v>
      </c>
      <c r="C400" s="3">
        <v>44250</v>
      </c>
      <c r="D400" t="s">
        <v>646</v>
      </c>
      <c r="E400" s="2" t="s">
        <v>12</v>
      </c>
      <c r="F400" s="2" t="s">
        <v>12</v>
      </c>
      <c r="G400" t="s">
        <v>586</v>
      </c>
      <c r="H400" t="str">
        <f t="shared" si="12"/>
        <v>https://videplast.com.br/consulta-imobilizado?id=20000587&amp;nome=CONTROLADOR%20SERVO%20COMANDO%20ACOPOS%208V1010.00-2%201A</v>
      </c>
      <c r="I400" t="e">
        <f t="shared" ca="1" si="13"/>
        <v>#NAME?</v>
      </c>
    </row>
    <row r="401" spans="1:9" x14ac:dyDescent="0.25">
      <c r="A401" s="2" t="s">
        <v>639</v>
      </c>
      <c r="B401" s="2" t="s">
        <v>39</v>
      </c>
      <c r="C401" s="3">
        <v>44719</v>
      </c>
      <c r="D401" t="s">
        <v>647</v>
      </c>
      <c r="E401" s="2" t="s">
        <v>12</v>
      </c>
      <c r="F401" s="2" t="s">
        <v>12</v>
      </c>
      <c r="G401" t="s">
        <v>586</v>
      </c>
      <c r="H401" t="str">
        <f t="shared" si="12"/>
        <v>https://videplast.com.br/consulta-imobilizado?id=20000587&amp;nome=SERVO%20MOTOR%20BMH1002%20S0015%201,35KW%20WINDMOLLER</v>
      </c>
      <c r="I401" t="e">
        <f t="shared" ca="1" si="13"/>
        <v>#NAME?</v>
      </c>
    </row>
    <row r="402" spans="1:9" x14ac:dyDescent="0.25">
      <c r="A402" s="2" t="s">
        <v>639</v>
      </c>
      <c r="B402" s="2" t="s">
        <v>126</v>
      </c>
      <c r="C402" s="3">
        <v>44719</v>
      </c>
      <c r="D402" t="s">
        <v>648</v>
      </c>
      <c r="E402" s="2" t="s">
        <v>12</v>
      </c>
      <c r="F402" s="2" t="s">
        <v>12</v>
      </c>
      <c r="G402" t="s">
        <v>586</v>
      </c>
      <c r="H402" t="str">
        <f t="shared" si="12"/>
        <v>https://videplast.com.br/consulta-imobilizado?id=20000587&amp;nome=PLACA%20DE%20CONTROLE%20I902S%20TMS%20WINDMOLLER</v>
      </c>
      <c r="I402" t="e">
        <f t="shared" ca="1" si="13"/>
        <v>#NAME?</v>
      </c>
    </row>
    <row r="403" spans="1:9" x14ac:dyDescent="0.25">
      <c r="A403" s="2" t="s">
        <v>639</v>
      </c>
      <c r="B403" s="2" t="s">
        <v>127</v>
      </c>
      <c r="C403" s="3">
        <v>44719</v>
      </c>
      <c r="D403" t="s">
        <v>649</v>
      </c>
      <c r="E403" s="2" t="s">
        <v>12</v>
      </c>
      <c r="F403" s="2" t="s">
        <v>12</v>
      </c>
      <c r="G403" t="s">
        <v>586</v>
      </c>
      <c r="H403" t="str">
        <f t="shared" si="12"/>
        <v>https://videplast.com.br/consulta-imobilizado?id=20000587&amp;nome=FRETE%20REF%20SERVO%20MOTOR%20E%20PLACA%20DE%20CONTROLE</v>
      </c>
      <c r="I403" t="e">
        <f t="shared" ca="1" si="13"/>
        <v>#NAME?</v>
      </c>
    </row>
    <row r="404" spans="1:9" x14ac:dyDescent="0.25">
      <c r="A404" s="2" t="s">
        <v>639</v>
      </c>
      <c r="B404" s="2" t="s">
        <v>128</v>
      </c>
      <c r="C404" s="3">
        <v>45243</v>
      </c>
      <c r="D404" t="s">
        <v>650</v>
      </c>
      <c r="E404" s="2" t="s">
        <v>12</v>
      </c>
      <c r="F404" s="2" t="s">
        <v>12</v>
      </c>
      <c r="G404" t="s">
        <v>586</v>
      </c>
      <c r="H404" t="str">
        <f t="shared" si="12"/>
        <v>https://videplast.com.br/consulta-imobilizado?id=20000587&amp;nome=ANALISADOR%20DE%20SOLVENTE%20WINDMOLLER%20OF:%2058658</v>
      </c>
      <c r="I404" t="e">
        <f t="shared" ca="1" si="13"/>
        <v>#NAME?</v>
      </c>
    </row>
    <row r="405" spans="1:9" x14ac:dyDescent="0.25">
      <c r="A405" s="2" t="s">
        <v>639</v>
      </c>
      <c r="B405" s="2" t="s">
        <v>623</v>
      </c>
      <c r="C405" s="3">
        <v>45243</v>
      </c>
      <c r="D405" t="s">
        <v>650</v>
      </c>
      <c r="E405" s="2" t="s">
        <v>12</v>
      </c>
      <c r="F405" s="2" t="s">
        <v>12</v>
      </c>
      <c r="G405" t="s">
        <v>586</v>
      </c>
      <c r="H405" t="str">
        <f t="shared" si="12"/>
        <v>https://videplast.com.br/consulta-imobilizado?id=20000587&amp;nome=ANALISADOR%20DE%20SOLVENTE%20WINDMOLLER%20OF:%2058658</v>
      </c>
      <c r="I405" t="e">
        <f t="shared" ca="1" si="13"/>
        <v>#NAME?</v>
      </c>
    </row>
    <row r="406" spans="1:9" x14ac:dyDescent="0.25">
      <c r="A406" s="2" t="s">
        <v>639</v>
      </c>
      <c r="B406" s="2" t="s">
        <v>625</v>
      </c>
      <c r="C406" s="3">
        <v>45632</v>
      </c>
      <c r="D406" t="s">
        <v>651</v>
      </c>
      <c r="E406" s="2" t="s">
        <v>12</v>
      </c>
      <c r="F406" s="2" t="s">
        <v>12</v>
      </c>
      <c r="G406" t="s">
        <v>586</v>
      </c>
      <c r="H406" t="str">
        <f t="shared" si="12"/>
        <v>https://videplast.com.br/consulta-imobilizado?id=20000587&amp;nome=MONITOR%20TOUCH%20SCREEN%20GT%20TM%202702C%20CTW%20HD%2027"%20GREE%20N</v>
      </c>
      <c r="I406" t="e">
        <f t="shared" ca="1" si="13"/>
        <v>#NAME?</v>
      </c>
    </row>
    <row r="407" spans="1:9" x14ac:dyDescent="0.25">
      <c r="A407" s="2" t="s">
        <v>652</v>
      </c>
      <c r="B407" s="2" t="s">
        <v>10</v>
      </c>
      <c r="C407" s="3">
        <v>44337</v>
      </c>
      <c r="D407" t="s">
        <v>653</v>
      </c>
      <c r="E407" s="2" t="s">
        <v>654</v>
      </c>
      <c r="F407" s="2" t="s">
        <v>655</v>
      </c>
      <c r="G407" t="s">
        <v>586</v>
      </c>
      <c r="H407" t="str">
        <f t="shared" si="12"/>
        <v>https://videplast.com.br/consulta-imobilizado?id=20000618&amp;nome=IMPRESSORA%20FLEXOGRAFICA%208C%20MOD%20BETA%201200%20Nº%20109</v>
      </c>
      <c r="I407" t="e">
        <f t="shared" ca="1" si="13"/>
        <v>#NAME?</v>
      </c>
    </row>
    <row r="408" spans="1:9" x14ac:dyDescent="0.25">
      <c r="A408" s="2" t="s">
        <v>652</v>
      </c>
      <c r="B408" s="2" t="s">
        <v>26</v>
      </c>
      <c r="C408" s="3">
        <v>44337</v>
      </c>
      <c r="D408" t="s">
        <v>656</v>
      </c>
      <c r="E408" s="2" t="s">
        <v>12</v>
      </c>
      <c r="F408" s="2" t="s">
        <v>12</v>
      </c>
      <c r="G408" t="s">
        <v>586</v>
      </c>
      <c r="H408" t="str">
        <f t="shared" si="12"/>
        <v>https://videplast.com.br/consulta-imobilizado?id=20000618&amp;nome=3%20BATERIA%20P/%20DRIVE%20E%201%20DRIVE%20DE%20ACIONAMENTO%20SERVO</v>
      </c>
      <c r="I408" t="e">
        <f t="shared" ca="1" si="13"/>
        <v>#NAME?</v>
      </c>
    </row>
    <row r="409" spans="1:9" x14ac:dyDescent="0.25">
      <c r="A409" s="2" t="s">
        <v>652</v>
      </c>
      <c r="B409" s="2" t="s">
        <v>21</v>
      </c>
      <c r="C409" s="3">
        <v>44337</v>
      </c>
      <c r="D409" t="s">
        <v>656</v>
      </c>
      <c r="E409" s="2" t="s">
        <v>12</v>
      </c>
      <c r="F409" s="2" t="s">
        <v>12</v>
      </c>
      <c r="G409" t="s">
        <v>586</v>
      </c>
      <c r="H409" t="str">
        <f t="shared" si="12"/>
        <v>https://videplast.com.br/consulta-imobilizado?id=20000618&amp;nome=3%20BATERIA%20P/%20DRIVE%20E%201%20DRIVE%20DE%20ACIONAMENTO%20SERVO</v>
      </c>
      <c r="I409" t="e">
        <f t="shared" ca="1" si="13"/>
        <v>#NAME?</v>
      </c>
    </row>
    <row r="410" spans="1:9" x14ac:dyDescent="0.25">
      <c r="A410" s="2" t="s">
        <v>652</v>
      </c>
      <c r="B410" s="2" t="s">
        <v>29</v>
      </c>
      <c r="C410" s="3">
        <v>44337</v>
      </c>
      <c r="D410" t="s">
        <v>657</v>
      </c>
      <c r="E410" s="2" t="s">
        <v>12</v>
      </c>
      <c r="F410" s="2" t="s">
        <v>12</v>
      </c>
      <c r="G410" t="s">
        <v>586</v>
      </c>
      <c r="H410" t="str">
        <f t="shared" si="12"/>
        <v>https://videplast.com.br/consulta-imobilizado?id=20000618&amp;nome=CILINDRO%20EMBORRACHADO%20IMP.%20FLEXOGRAFICA%20Nº%20109</v>
      </c>
      <c r="I410" t="e">
        <f t="shared" ca="1" si="13"/>
        <v>#NAME?</v>
      </c>
    </row>
    <row r="411" spans="1:9" x14ac:dyDescent="0.25">
      <c r="A411" s="2" t="s">
        <v>652</v>
      </c>
      <c r="B411" s="2" t="s">
        <v>31</v>
      </c>
      <c r="C411" s="3">
        <v>44337</v>
      </c>
      <c r="D411" t="s">
        <v>658</v>
      </c>
      <c r="E411" s="2" t="s">
        <v>12</v>
      </c>
      <c r="F411" s="2" t="s">
        <v>12</v>
      </c>
      <c r="G411" t="s">
        <v>586</v>
      </c>
      <c r="H411" t="str">
        <f t="shared" si="12"/>
        <v>https://videplast.com.br/consulta-imobilizado?id=20000618&amp;nome=SUPER%20HANDYSCAN%20DIGITAL%204000%20BST%20LATINA</v>
      </c>
      <c r="I411" t="e">
        <f t="shared" ca="1" si="13"/>
        <v>#NAME?</v>
      </c>
    </row>
    <row r="412" spans="1:9" x14ac:dyDescent="0.25">
      <c r="A412" s="2" t="s">
        <v>652</v>
      </c>
      <c r="B412" s="2" t="s">
        <v>33</v>
      </c>
      <c r="C412" s="3">
        <v>44469</v>
      </c>
      <c r="D412" t="s">
        <v>659</v>
      </c>
      <c r="E412" s="2" t="s">
        <v>12</v>
      </c>
      <c r="F412" s="2" t="s">
        <v>12</v>
      </c>
      <c r="G412" t="s">
        <v>586</v>
      </c>
      <c r="H412" t="str">
        <f t="shared" si="12"/>
        <v>https://videplast.com.br/consulta-imobilizado?id=20000618&amp;nome=TAMBOR%20CENTRAL</v>
      </c>
      <c r="I412" t="e">
        <f t="shared" ca="1" si="13"/>
        <v>#NAME?</v>
      </c>
    </row>
    <row r="413" spans="1:9" x14ac:dyDescent="0.25">
      <c r="A413" s="2" t="s">
        <v>652</v>
      </c>
      <c r="B413" s="2" t="s">
        <v>35</v>
      </c>
      <c r="C413" s="3">
        <v>44469</v>
      </c>
      <c r="D413" t="s">
        <v>660</v>
      </c>
      <c r="E413" s="2" t="s">
        <v>12</v>
      </c>
      <c r="F413" s="2" t="s">
        <v>12</v>
      </c>
      <c r="G413" t="s">
        <v>586</v>
      </c>
      <c r="H413" t="str">
        <f t="shared" si="12"/>
        <v>https://videplast.com.br/consulta-imobilizado?id=20000618&amp;nome=FRETE%20REF%20A%20TAMBOR</v>
      </c>
      <c r="I413" t="e">
        <f t="shared" ca="1" si="13"/>
        <v>#NAME?</v>
      </c>
    </row>
    <row r="414" spans="1:9" x14ac:dyDescent="0.25">
      <c r="A414" s="2" t="s">
        <v>652</v>
      </c>
      <c r="B414" s="2" t="s">
        <v>37</v>
      </c>
      <c r="C414" s="3">
        <v>44559</v>
      </c>
      <c r="D414" t="s">
        <v>661</v>
      </c>
      <c r="E414" s="2" t="s">
        <v>12</v>
      </c>
      <c r="F414" s="2" t="s">
        <v>12</v>
      </c>
      <c r="G414" t="s">
        <v>586</v>
      </c>
      <c r="H414" t="str">
        <f t="shared" si="12"/>
        <v>https://videplast.com.br/consulta-imobilizado?id=20000618&amp;nome=MANUTENÇÃO%20IMPRESSORA%20FLEXOPOWER%20BETA</v>
      </c>
      <c r="I414" t="e">
        <f t="shared" ca="1" si="13"/>
        <v>#NAME?</v>
      </c>
    </row>
    <row r="415" spans="1:9" x14ac:dyDescent="0.25">
      <c r="A415" s="2" t="s">
        <v>652</v>
      </c>
      <c r="B415" s="2" t="s">
        <v>39</v>
      </c>
      <c r="C415" s="3">
        <v>45499</v>
      </c>
      <c r="D415" t="s">
        <v>662</v>
      </c>
      <c r="E415" s="2" t="s">
        <v>12</v>
      </c>
      <c r="F415" s="2" t="s">
        <v>12</v>
      </c>
      <c r="G415" t="s">
        <v>586</v>
      </c>
      <c r="H415" t="str">
        <f t="shared" si="12"/>
        <v>https://videplast.com.br/consulta-imobilizado?id=20000618&amp;nome=MATERIAIS%20P/%20MONTAGEM%20DA%20IMPRESSORA%20BETA%208%20CORES</v>
      </c>
      <c r="I415" t="e">
        <f t="shared" ca="1" si="13"/>
        <v>#NAME?</v>
      </c>
    </row>
    <row r="416" spans="1:9" x14ac:dyDescent="0.25">
      <c r="A416" s="2" t="s">
        <v>663</v>
      </c>
      <c r="B416" s="2" t="s">
        <v>10</v>
      </c>
      <c r="C416" s="3">
        <v>45398</v>
      </c>
      <c r="D416" t="s">
        <v>664</v>
      </c>
      <c r="E416" s="2" t="s">
        <v>665</v>
      </c>
      <c r="F416" s="2" t="s">
        <v>12</v>
      </c>
      <c r="G416" t="s">
        <v>586</v>
      </c>
      <c r="H416" t="str">
        <f t="shared" si="12"/>
        <v>https://videplast.com.br/consulta-imobilizado?id=20000698&amp;nome=IMPRESSORA%20FLEXOGRAFICA%20MIRAFLEX%20WINDMOLLER%208%20COR</v>
      </c>
      <c r="I416" t="e">
        <f t="shared" ca="1" si="13"/>
        <v>#NAME?</v>
      </c>
    </row>
    <row r="417" spans="1:9" x14ac:dyDescent="0.25">
      <c r="A417" s="2" t="s">
        <v>663</v>
      </c>
      <c r="B417" s="2" t="s">
        <v>26</v>
      </c>
      <c r="C417" s="3">
        <v>45381</v>
      </c>
      <c r="D417" t="s">
        <v>666</v>
      </c>
      <c r="E417" s="2" t="s">
        <v>12</v>
      </c>
      <c r="F417" s="2" t="s">
        <v>12</v>
      </c>
      <c r="G417" t="s">
        <v>586</v>
      </c>
      <c r="H417" t="str">
        <f t="shared" si="12"/>
        <v>https://videplast.com.br/consulta-imobilizado?id=20000698&amp;nome=FRETE%20IMPRESSORA%20FLEXOGRAFICA%20MIRAFLEX%20WINDMOLLER</v>
      </c>
      <c r="I417" t="e">
        <f t="shared" ca="1" si="13"/>
        <v>#NAME?</v>
      </c>
    </row>
    <row r="418" spans="1:9" x14ac:dyDescent="0.25">
      <c r="A418" s="2" t="s">
        <v>663</v>
      </c>
      <c r="B418" s="2" t="s">
        <v>21</v>
      </c>
      <c r="C418" s="3">
        <v>45385</v>
      </c>
      <c r="D418" t="s">
        <v>666</v>
      </c>
      <c r="E418" s="2" t="s">
        <v>12</v>
      </c>
      <c r="F418" s="2" t="s">
        <v>12</v>
      </c>
      <c r="G418" t="s">
        <v>586</v>
      </c>
      <c r="H418" t="str">
        <f t="shared" si="12"/>
        <v>https://videplast.com.br/consulta-imobilizado?id=20000698&amp;nome=FRETE%20IMPRESSORA%20FLEXOGRAFICA%20MIRAFLEX%20WINDMOLLER</v>
      </c>
      <c r="I418" t="e">
        <f t="shared" ca="1" si="13"/>
        <v>#NAME?</v>
      </c>
    </row>
    <row r="419" spans="1:9" x14ac:dyDescent="0.25">
      <c r="A419" s="2" t="s">
        <v>663</v>
      </c>
      <c r="B419" s="2" t="s">
        <v>31</v>
      </c>
      <c r="C419" s="3">
        <v>45433</v>
      </c>
      <c r="D419" t="s">
        <v>667</v>
      </c>
      <c r="E419" s="2" t="s">
        <v>12</v>
      </c>
      <c r="F419" s="2" t="s">
        <v>12</v>
      </c>
      <c r="G419" t="s">
        <v>586</v>
      </c>
      <c r="H419" t="str">
        <f t="shared" si="12"/>
        <v>https://videplast.com.br/consulta-imobilizado?id=20000698&amp;nome=DESPESA%20REF%20VISTORIA%20DO%20PERITO%20PARA%20IMPRESSORA</v>
      </c>
      <c r="I419" t="e">
        <f t="shared" ca="1" si="13"/>
        <v>#NAME?</v>
      </c>
    </row>
    <row r="420" spans="1:9" x14ac:dyDescent="0.25">
      <c r="A420" s="2" t="s">
        <v>663</v>
      </c>
      <c r="B420" s="2" t="s">
        <v>33</v>
      </c>
      <c r="C420" s="3">
        <v>45503</v>
      </c>
      <c r="D420" t="s">
        <v>667</v>
      </c>
      <c r="E420" s="2" t="s">
        <v>12</v>
      </c>
      <c r="F420" s="2" t="s">
        <v>12</v>
      </c>
      <c r="G420" t="s">
        <v>586</v>
      </c>
      <c r="H420" t="str">
        <f t="shared" si="12"/>
        <v>https://videplast.com.br/consulta-imobilizado?id=20000698&amp;nome=DESPESA%20REF%20VISTORIA%20DO%20PERITO%20PARA%20IMPRESSORA</v>
      </c>
      <c r="I420" t="e">
        <f t="shared" ca="1" si="13"/>
        <v>#NAME?</v>
      </c>
    </row>
    <row r="421" spans="1:9" x14ac:dyDescent="0.25">
      <c r="A421" s="2" t="s">
        <v>663</v>
      </c>
      <c r="B421" s="2" t="s">
        <v>35</v>
      </c>
      <c r="C421" s="3">
        <v>45626</v>
      </c>
      <c r="D421" t="s">
        <v>668</v>
      </c>
      <c r="E421" s="2" t="s">
        <v>12</v>
      </c>
      <c r="F421" s="2" t="s">
        <v>12</v>
      </c>
      <c r="G421" t="s">
        <v>586</v>
      </c>
      <c r="H421" t="str">
        <f t="shared" si="12"/>
        <v>https://videplast.com.br/consulta-imobilizado?id=20000698&amp;nome=DESPESAS%20COMPLEMENTARES%20IMPRESSORA%20FLEXOGRAFICA</v>
      </c>
      <c r="I421" t="e">
        <f t="shared" ca="1" si="13"/>
        <v>#NAME?</v>
      </c>
    </row>
    <row r="422" spans="1:9" x14ac:dyDescent="0.25">
      <c r="A422" s="2" t="s">
        <v>663</v>
      </c>
      <c r="B422" s="2" t="s">
        <v>37</v>
      </c>
      <c r="C422" s="3">
        <v>45742</v>
      </c>
      <c r="D422" t="s">
        <v>669</v>
      </c>
      <c r="E422" s="2" t="s">
        <v>12</v>
      </c>
      <c r="F422" s="2" t="s">
        <v>12</v>
      </c>
      <c r="G422" t="s">
        <v>586</v>
      </c>
      <c r="H422" t="str">
        <f t="shared" si="12"/>
        <v>https://videplast.com.br/consulta-imobilizado?id=20000698&amp;nome=DESPESAS%20COM%20PERICIA%20E%20INSTALACAO%20IMPRESSORA%20FLEXO</v>
      </c>
      <c r="I422" t="e">
        <f t="shared" ca="1" si="13"/>
        <v>#NAME?</v>
      </c>
    </row>
    <row r="423" spans="1:9" x14ac:dyDescent="0.25">
      <c r="A423" s="2" t="s">
        <v>670</v>
      </c>
      <c r="B423" s="2" t="s">
        <v>10</v>
      </c>
      <c r="C423" s="3">
        <v>45113</v>
      </c>
      <c r="D423" t="s">
        <v>671</v>
      </c>
      <c r="E423" s="2" t="s">
        <v>672</v>
      </c>
      <c r="F423" s="2" t="s">
        <v>673</v>
      </c>
      <c r="G423" t="s">
        <v>586</v>
      </c>
      <c r="H423" t="str">
        <f t="shared" si="12"/>
        <v>https://videplast.com.br/consulta-imobilizado?id=20000712&amp;nome=IMPRESSORA%20FLEXOGRAFICA%208C%20FISCHER%20E%20KRECKE%20Nº%20115</v>
      </c>
      <c r="I423" t="e">
        <f t="shared" ca="1" si="13"/>
        <v>#NAME?</v>
      </c>
    </row>
    <row r="424" spans="1:9" x14ac:dyDescent="0.25">
      <c r="A424" s="2" t="s">
        <v>670</v>
      </c>
      <c r="B424" s="2" t="s">
        <v>26</v>
      </c>
      <c r="C424" s="3">
        <v>45113</v>
      </c>
      <c r="D424" t="s">
        <v>381</v>
      </c>
      <c r="E424" s="2" t="s">
        <v>12</v>
      </c>
      <c r="F424" s="2" t="s">
        <v>12</v>
      </c>
      <c r="G424" t="s">
        <v>586</v>
      </c>
      <c r="H424" t="str">
        <f t="shared" si="12"/>
        <v>https://videplast.com.br/consulta-imobilizado?id=20000712&amp;nome=FRETE</v>
      </c>
      <c r="I424" t="e">
        <f t="shared" ca="1" si="13"/>
        <v>#NAME?</v>
      </c>
    </row>
    <row r="425" spans="1:9" x14ac:dyDescent="0.25">
      <c r="A425" s="2" t="s">
        <v>670</v>
      </c>
      <c r="B425" s="2" t="s">
        <v>21</v>
      </c>
      <c r="C425" s="3">
        <v>45113</v>
      </c>
      <c r="D425" t="s">
        <v>381</v>
      </c>
      <c r="E425" s="2" t="s">
        <v>12</v>
      </c>
      <c r="F425" s="2" t="s">
        <v>12</v>
      </c>
      <c r="G425" t="s">
        <v>586</v>
      </c>
      <c r="H425" t="str">
        <f t="shared" si="12"/>
        <v>https://videplast.com.br/consulta-imobilizado?id=20000712&amp;nome=FRETE</v>
      </c>
      <c r="I425" t="e">
        <f t="shared" ca="1" si="13"/>
        <v>#NAME?</v>
      </c>
    </row>
    <row r="426" spans="1:9" x14ac:dyDescent="0.25">
      <c r="A426" s="2" t="s">
        <v>670</v>
      </c>
      <c r="B426" s="2" t="s">
        <v>29</v>
      </c>
      <c r="C426" s="3">
        <v>45113</v>
      </c>
      <c r="D426" t="s">
        <v>381</v>
      </c>
      <c r="E426" s="2" t="s">
        <v>12</v>
      </c>
      <c r="F426" s="2" t="s">
        <v>12</v>
      </c>
      <c r="G426" t="s">
        <v>586</v>
      </c>
      <c r="H426" t="str">
        <f t="shared" si="12"/>
        <v>https://videplast.com.br/consulta-imobilizado?id=20000712&amp;nome=FRETE</v>
      </c>
      <c r="I426" t="e">
        <f t="shared" ca="1" si="13"/>
        <v>#NAME?</v>
      </c>
    </row>
    <row r="427" spans="1:9" x14ac:dyDescent="0.25">
      <c r="A427" s="2" t="s">
        <v>670</v>
      </c>
      <c r="B427" s="2" t="s">
        <v>31</v>
      </c>
      <c r="C427" s="3">
        <v>45113</v>
      </c>
      <c r="D427" t="s">
        <v>381</v>
      </c>
      <c r="E427" s="2" t="s">
        <v>12</v>
      </c>
      <c r="F427" s="2" t="s">
        <v>12</v>
      </c>
      <c r="G427" t="s">
        <v>586</v>
      </c>
      <c r="H427" t="str">
        <f t="shared" si="12"/>
        <v>https://videplast.com.br/consulta-imobilizado?id=20000712&amp;nome=FRETE</v>
      </c>
      <c r="I427" t="e">
        <f t="shared" ca="1" si="13"/>
        <v>#NAME?</v>
      </c>
    </row>
    <row r="428" spans="1:9" x14ac:dyDescent="0.25">
      <c r="A428" s="2" t="s">
        <v>670</v>
      </c>
      <c r="B428" s="2" t="s">
        <v>33</v>
      </c>
      <c r="C428" s="3">
        <v>45113</v>
      </c>
      <c r="D428" t="s">
        <v>381</v>
      </c>
      <c r="E428" s="2" t="s">
        <v>12</v>
      </c>
      <c r="F428" s="2" t="s">
        <v>12</v>
      </c>
      <c r="G428" t="s">
        <v>586</v>
      </c>
      <c r="H428" t="str">
        <f t="shared" si="12"/>
        <v>https://videplast.com.br/consulta-imobilizado?id=20000712&amp;nome=FRETE</v>
      </c>
      <c r="I428" t="e">
        <f t="shared" ca="1" si="13"/>
        <v>#NAME?</v>
      </c>
    </row>
    <row r="429" spans="1:9" x14ac:dyDescent="0.25">
      <c r="A429" s="2" t="s">
        <v>670</v>
      </c>
      <c r="B429" s="2" t="s">
        <v>35</v>
      </c>
      <c r="C429" s="3">
        <v>45113</v>
      </c>
      <c r="D429" t="s">
        <v>381</v>
      </c>
      <c r="E429" s="2" t="s">
        <v>12</v>
      </c>
      <c r="F429" s="2" t="s">
        <v>12</v>
      </c>
      <c r="G429" t="s">
        <v>586</v>
      </c>
      <c r="H429" t="str">
        <f t="shared" si="12"/>
        <v>https://videplast.com.br/consulta-imobilizado?id=20000712&amp;nome=FRETE</v>
      </c>
      <c r="I429" t="e">
        <f t="shared" ca="1" si="13"/>
        <v>#NAME?</v>
      </c>
    </row>
    <row r="430" spans="1:9" x14ac:dyDescent="0.25">
      <c r="A430" s="2" t="s">
        <v>670</v>
      </c>
      <c r="B430" s="2" t="s">
        <v>37</v>
      </c>
      <c r="C430" s="3">
        <v>45113</v>
      </c>
      <c r="D430" t="s">
        <v>674</v>
      </c>
      <c r="E430" s="2" t="s">
        <v>12</v>
      </c>
      <c r="F430" s="2" t="s">
        <v>12</v>
      </c>
      <c r="G430" t="s">
        <v>586</v>
      </c>
      <c r="H430" t="str">
        <f t="shared" si="12"/>
        <v>https://videplast.com.br/consulta-imobilizado?id=20000712&amp;nome=BARRA%20DE%20TUDO%20RED.%20IND.%201.1/4%20CH%201,20%206%20MT%20FP15S</v>
      </c>
      <c r="I430" t="e">
        <f t="shared" ca="1" si="13"/>
        <v>#NAME?</v>
      </c>
    </row>
    <row r="431" spans="1:9" x14ac:dyDescent="0.25">
      <c r="A431" s="2" t="s">
        <v>670</v>
      </c>
      <c r="B431" s="2" t="s">
        <v>39</v>
      </c>
      <c r="C431" s="3">
        <v>45113</v>
      </c>
      <c r="D431" t="s">
        <v>675</v>
      </c>
      <c r="E431" s="2" t="s">
        <v>12</v>
      </c>
      <c r="F431" s="2" t="s">
        <v>12</v>
      </c>
      <c r="G431" t="s">
        <v>586</v>
      </c>
      <c r="H431" t="str">
        <f t="shared" si="12"/>
        <v>https://videplast.com.br/consulta-imobilizado?id=20000712&amp;nome=BARRA%20DE%20VIGA%20U%204%20POL.%20101,6%20X%204,67MM%20A-36</v>
      </c>
      <c r="I431" t="e">
        <f t="shared" ca="1" si="13"/>
        <v>#NAME?</v>
      </c>
    </row>
    <row r="432" spans="1:9" x14ac:dyDescent="0.25">
      <c r="A432" s="2" t="s">
        <v>670</v>
      </c>
      <c r="B432" s="2" t="s">
        <v>126</v>
      </c>
      <c r="C432" s="3">
        <v>45113</v>
      </c>
      <c r="D432" t="s">
        <v>676</v>
      </c>
      <c r="E432" s="2" t="s">
        <v>12</v>
      </c>
      <c r="F432" s="2" t="s">
        <v>12</v>
      </c>
      <c r="G432" t="s">
        <v>586</v>
      </c>
      <c r="H432" t="str">
        <f t="shared" si="12"/>
        <v>https://videplast.com.br/consulta-imobilizado?id=20000712&amp;nome=CHAPA%20EXPANDIDA%203/16%20MALHA%2050X100%203X1%20MT</v>
      </c>
      <c r="I432" t="e">
        <f t="shared" ca="1" si="13"/>
        <v>#NAME?</v>
      </c>
    </row>
    <row r="433" spans="1:9" x14ac:dyDescent="0.25">
      <c r="A433" s="2" t="s">
        <v>670</v>
      </c>
      <c r="B433" s="2" t="s">
        <v>127</v>
      </c>
      <c r="C433" s="3">
        <v>45113</v>
      </c>
      <c r="D433" t="s">
        <v>677</v>
      </c>
      <c r="E433" s="2" t="s">
        <v>12</v>
      </c>
      <c r="F433" s="2" t="s">
        <v>12</v>
      </c>
      <c r="G433" t="s">
        <v>586</v>
      </c>
      <c r="H433" t="str">
        <f t="shared" si="12"/>
        <v>https://videplast.com.br/consulta-imobilizado?id=20000712&amp;nome=CABO%203X6,5%20ELETRICO%20PVC%203/4,55%20MT%20DE%20CABO</v>
      </c>
      <c r="I433" t="e">
        <f t="shared" ca="1" si="13"/>
        <v>#NAME?</v>
      </c>
    </row>
    <row r="434" spans="1:9" x14ac:dyDescent="0.25">
      <c r="A434" s="2" t="s">
        <v>670</v>
      </c>
      <c r="B434" s="2" t="s">
        <v>128</v>
      </c>
      <c r="C434" s="3">
        <v>45113</v>
      </c>
      <c r="D434" t="s">
        <v>678</v>
      </c>
      <c r="E434" s="2" t="s">
        <v>12</v>
      </c>
      <c r="F434" s="2" t="s">
        <v>12</v>
      </c>
      <c r="G434" t="s">
        <v>586</v>
      </c>
      <c r="H434" t="str">
        <f t="shared" si="12"/>
        <v>https://videplast.com.br/consulta-imobilizado?id=20000712&amp;nome=MAO%20DE%20OBRA%20NA%20INSTALACAO%20ELETRICA%20DA%20MAQUINA</v>
      </c>
      <c r="I434" t="e">
        <f t="shared" ca="1" si="13"/>
        <v>#NAME?</v>
      </c>
    </row>
    <row r="435" spans="1:9" x14ac:dyDescent="0.25">
      <c r="A435" s="2" t="s">
        <v>670</v>
      </c>
      <c r="B435" s="2" t="s">
        <v>623</v>
      </c>
      <c r="C435" s="3">
        <v>45113</v>
      </c>
      <c r="D435" t="s">
        <v>679</v>
      </c>
      <c r="E435" s="2" t="s">
        <v>12</v>
      </c>
      <c r="F435" s="2" t="s">
        <v>12</v>
      </c>
      <c r="G435" t="s">
        <v>586</v>
      </c>
      <c r="H435" t="str">
        <f t="shared" si="12"/>
        <v>https://videplast.com.br/consulta-imobilizado?id=20000712&amp;nome=GALVANIZADO%20UNIAO%20ASSENTO%20FF3/4%20P/CONFECCAO%20DA</v>
      </c>
      <c r="I435" t="e">
        <f t="shared" ca="1" si="13"/>
        <v>#NAME?</v>
      </c>
    </row>
    <row r="436" spans="1:9" x14ac:dyDescent="0.25">
      <c r="A436" s="2" t="s">
        <v>670</v>
      </c>
      <c r="B436" s="2" t="s">
        <v>625</v>
      </c>
      <c r="C436" s="3">
        <v>45113</v>
      </c>
      <c r="D436" t="s">
        <v>680</v>
      </c>
      <c r="E436" s="2" t="s">
        <v>12</v>
      </c>
      <c r="F436" s="2" t="s">
        <v>12</v>
      </c>
      <c r="G436" t="s">
        <v>586</v>
      </c>
      <c r="H436" t="str">
        <f t="shared" si="12"/>
        <v>https://videplast.com.br/consulta-imobilizado?id=20000712&amp;nome=VALVULA%20DOCOL%20ESFERA%202%20P/CONFECCAO%20DA%20TUBULACAO</v>
      </c>
      <c r="I436" t="e">
        <f t="shared" ca="1" si="13"/>
        <v>#NAME?</v>
      </c>
    </row>
    <row r="437" spans="1:9" x14ac:dyDescent="0.25">
      <c r="A437" s="2" t="s">
        <v>670</v>
      </c>
      <c r="B437" s="2" t="s">
        <v>681</v>
      </c>
      <c r="C437" s="3">
        <v>45113</v>
      </c>
      <c r="D437" t="s">
        <v>682</v>
      </c>
      <c r="E437" s="2" t="s">
        <v>12</v>
      </c>
      <c r="F437" s="2" t="s">
        <v>12</v>
      </c>
      <c r="G437" t="s">
        <v>586</v>
      </c>
      <c r="H437" t="str">
        <f t="shared" si="12"/>
        <v>https://videplast.com.br/consulta-imobilizado?id=20000712&amp;nome=NIPEL%20GALVANIZADO%202%20P/CONFECCAO%20DA%20TUBULACAO%20DA</v>
      </c>
      <c r="I437" t="e">
        <f t="shared" ca="1" si="13"/>
        <v>#NAME?</v>
      </c>
    </row>
    <row r="438" spans="1:9" x14ac:dyDescent="0.25">
      <c r="A438" s="2" t="s">
        <v>670</v>
      </c>
      <c r="B438" s="2" t="s">
        <v>683</v>
      </c>
      <c r="C438" s="3">
        <v>45113</v>
      </c>
      <c r="D438" t="s">
        <v>684</v>
      </c>
      <c r="E438" s="2" t="s">
        <v>12</v>
      </c>
      <c r="F438" s="2" t="s">
        <v>12</v>
      </c>
      <c r="G438" t="s">
        <v>586</v>
      </c>
      <c r="H438" t="str">
        <f t="shared" si="12"/>
        <v>https://videplast.com.br/consulta-imobilizado?id=20000712&amp;nome=COTOVELO%20GALVANIZADO%20FF%2090X2%20P/CONFECCAO%20DA</v>
      </c>
      <c r="I438" t="e">
        <f t="shared" ca="1" si="13"/>
        <v>#NAME?</v>
      </c>
    </row>
    <row r="439" spans="1:9" x14ac:dyDescent="0.25">
      <c r="A439" s="2" t="s">
        <v>670</v>
      </c>
      <c r="B439" s="2" t="s">
        <v>685</v>
      </c>
      <c r="C439" s="3">
        <v>45113</v>
      </c>
      <c r="D439" t="s">
        <v>686</v>
      </c>
      <c r="E439" s="2" t="s">
        <v>12</v>
      </c>
      <c r="F439" s="2" t="s">
        <v>12</v>
      </c>
      <c r="G439" t="s">
        <v>586</v>
      </c>
      <c r="H439" t="str">
        <f t="shared" si="12"/>
        <v>https://videplast.com.br/consulta-imobilizado?id=20000712&amp;nome=TUBO%20GALVANIZADO%20A%20FOGO%20550L%203/4%20P/CONFECCAO%20DA</v>
      </c>
      <c r="I439" t="e">
        <f t="shared" ca="1" si="13"/>
        <v>#NAME?</v>
      </c>
    </row>
    <row r="440" spans="1:9" x14ac:dyDescent="0.25">
      <c r="A440" s="2" t="s">
        <v>670</v>
      </c>
      <c r="B440" s="2" t="s">
        <v>627</v>
      </c>
      <c r="C440" s="3">
        <v>45113</v>
      </c>
      <c r="D440" t="s">
        <v>687</v>
      </c>
      <c r="E440" s="2" t="s">
        <v>12</v>
      </c>
      <c r="F440" s="2" t="s">
        <v>12</v>
      </c>
      <c r="G440" t="s">
        <v>586</v>
      </c>
      <c r="H440" t="str">
        <f t="shared" si="12"/>
        <v>https://videplast.com.br/consulta-imobilizado?id=20000712&amp;nome=TE%20GALVANIZADO%20FFF%2090X3/4%20P/CONFECCAO%20DA</v>
      </c>
      <c r="I440" t="e">
        <f t="shared" ca="1" si="13"/>
        <v>#NAME?</v>
      </c>
    </row>
    <row r="441" spans="1:9" x14ac:dyDescent="0.25">
      <c r="A441" s="2" t="s">
        <v>670</v>
      </c>
      <c r="B441" s="2" t="s">
        <v>688</v>
      </c>
      <c r="C441" s="3">
        <v>45113</v>
      </c>
      <c r="D441" t="s">
        <v>689</v>
      </c>
      <c r="E441" s="2" t="s">
        <v>12</v>
      </c>
      <c r="F441" s="2" t="s">
        <v>12</v>
      </c>
      <c r="G441" t="s">
        <v>586</v>
      </c>
      <c r="H441" t="str">
        <f t="shared" si="12"/>
        <v>https://videplast.com.br/consulta-imobilizado?id=20000712&amp;nome=VALVULA%20ESFERA%20DOCOL%200,3/4%20P/CONFECCAO%20DA</v>
      </c>
      <c r="I441" t="e">
        <f t="shared" ca="1" si="13"/>
        <v>#NAME?</v>
      </c>
    </row>
    <row r="442" spans="1:9" x14ac:dyDescent="0.25">
      <c r="A442" s="2" t="s">
        <v>670</v>
      </c>
      <c r="B442" s="2" t="s">
        <v>629</v>
      </c>
      <c r="C442" s="3">
        <v>45113</v>
      </c>
      <c r="D442" t="s">
        <v>690</v>
      </c>
      <c r="E442" s="2" t="s">
        <v>12</v>
      </c>
      <c r="F442" s="2" t="s">
        <v>12</v>
      </c>
      <c r="G442" t="s">
        <v>586</v>
      </c>
      <c r="H442" t="str">
        <f t="shared" si="12"/>
        <v>https://videplast.com.br/consulta-imobilizado?id=20000712&amp;nome=LUVA%20FF2%20GALVANIZADO%20P/CONFECCAO%20DA%20TUBULACAO%20DA</v>
      </c>
      <c r="I442" t="e">
        <f t="shared" ca="1" si="13"/>
        <v>#NAME?</v>
      </c>
    </row>
    <row r="443" spans="1:9" x14ac:dyDescent="0.25">
      <c r="A443" s="2" t="s">
        <v>670</v>
      </c>
      <c r="B443" s="2" t="s">
        <v>691</v>
      </c>
      <c r="C443" s="3">
        <v>45113</v>
      </c>
      <c r="D443" t="s">
        <v>692</v>
      </c>
      <c r="E443" s="2" t="s">
        <v>12</v>
      </c>
      <c r="F443" s="2" t="s">
        <v>12</v>
      </c>
      <c r="G443" t="s">
        <v>586</v>
      </c>
      <c r="H443" t="str">
        <f t="shared" si="12"/>
        <v>https://videplast.com.br/consulta-imobilizado?id=20000712&amp;nome=UNIAO%20ASSENTO%20FF2%20GALVANIZADO%20P/CONFECCAO%20DA</v>
      </c>
      <c r="I443" t="e">
        <f t="shared" ca="1" si="13"/>
        <v>#NAME?</v>
      </c>
    </row>
    <row r="444" spans="1:9" x14ac:dyDescent="0.25">
      <c r="A444" s="2" t="s">
        <v>670</v>
      </c>
      <c r="B444" s="2" t="s">
        <v>631</v>
      </c>
      <c r="C444" s="3">
        <v>45113</v>
      </c>
      <c r="D444" t="s">
        <v>693</v>
      </c>
      <c r="E444" s="2" t="s">
        <v>12</v>
      </c>
      <c r="F444" s="2" t="s">
        <v>12</v>
      </c>
      <c r="G444" t="s">
        <v>586</v>
      </c>
      <c r="H444" t="str">
        <f t="shared" si="12"/>
        <v>https://videplast.com.br/consulta-imobilizado?id=20000712&amp;nome=TUBO%20GALVANIZADO%20A%20FOGO%205580L%202X76,10%20P/CONFECCAO</v>
      </c>
      <c r="I444" t="e">
        <f t="shared" ca="1" si="13"/>
        <v>#NAME?</v>
      </c>
    </row>
    <row r="445" spans="1:9" x14ac:dyDescent="0.25">
      <c r="A445" s="2" t="s">
        <v>670</v>
      </c>
      <c r="B445" s="2" t="s">
        <v>633</v>
      </c>
      <c r="C445" s="3">
        <v>45113</v>
      </c>
      <c r="D445" t="s">
        <v>694</v>
      </c>
      <c r="E445" s="2" t="s">
        <v>12</v>
      </c>
      <c r="F445" s="2" t="s">
        <v>12</v>
      </c>
      <c r="G445" t="s">
        <v>586</v>
      </c>
      <c r="H445" t="str">
        <f t="shared" si="12"/>
        <v>https://videplast.com.br/consulta-imobilizado?id=20000712&amp;nome=BUCHA%20RED,%20GALVANIZADO%202X1,1/4%20P/CONFECCAO%20DA</v>
      </c>
      <c r="I445" t="e">
        <f t="shared" ca="1" si="13"/>
        <v>#NAME?</v>
      </c>
    </row>
    <row r="446" spans="1:9" x14ac:dyDescent="0.25">
      <c r="A446" s="2" t="s">
        <v>670</v>
      </c>
      <c r="B446" s="2" t="s">
        <v>635</v>
      </c>
      <c r="C446" s="3">
        <v>45113</v>
      </c>
      <c r="D446" t="s">
        <v>695</v>
      </c>
      <c r="E446" s="2" t="s">
        <v>12</v>
      </c>
      <c r="F446" s="2" t="s">
        <v>12</v>
      </c>
      <c r="G446" t="s">
        <v>586</v>
      </c>
      <c r="H446" t="str">
        <f t="shared" si="12"/>
        <v>https://videplast.com.br/consulta-imobilizado?id=20000712&amp;nome=CURVA%2090X2FF%20GALVANIZADO%20P/CONFECCAO%20DA%20TUBULACAO</v>
      </c>
      <c r="I446" t="e">
        <f t="shared" ca="1" si="13"/>
        <v>#NAME?</v>
      </c>
    </row>
    <row r="447" spans="1:9" x14ac:dyDescent="0.25">
      <c r="A447" s="2" t="s">
        <v>670</v>
      </c>
      <c r="B447" s="2" t="s">
        <v>638</v>
      </c>
      <c r="C447" s="3">
        <v>45113</v>
      </c>
      <c r="D447" t="s">
        <v>696</v>
      </c>
      <c r="E447" s="2" t="s">
        <v>12</v>
      </c>
      <c r="F447" s="2" t="s">
        <v>12</v>
      </c>
      <c r="G447" t="s">
        <v>586</v>
      </c>
      <c r="H447" t="str">
        <f t="shared" si="12"/>
        <v>https://videplast.com.br/consulta-imobilizado?id=20000712&amp;nome=ADAPTADOR%20GALVANIZADO%201.1/4%20P/CONFECCAO%20DA</v>
      </c>
      <c r="I447" t="e">
        <f t="shared" ca="1" si="13"/>
        <v>#NAME?</v>
      </c>
    </row>
    <row r="448" spans="1:9" x14ac:dyDescent="0.25">
      <c r="A448" s="2" t="s">
        <v>670</v>
      </c>
      <c r="B448" s="2" t="s">
        <v>697</v>
      </c>
      <c r="C448" s="3">
        <v>45113</v>
      </c>
      <c r="D448" t="s">
        <v>698</v>
      </c>
      <c r="E448" s="2" t="s">
        <v>12</v>
      </c>
      <c r="F448" s="2" t="s">
        <v>12</v>
      </c>
      <c r="G448" t="s">
        <v>586</v>
      </c>
      <c r="H448" t="str">
        <f t="shared" si="12"/>
        <v>https://videplast.com.br/consulta-imobilizado?id=20000712&amp;nome=BUCHA%20RED,%20GALVANIZADO%202.1/2X2%20P/CONFECCAO%20DA</v>
      </c>
      <c r="I448" t="e">
        <f t="shared" ca="1" si="13"/>
        <v>#NAME?</v>
      </c>
    </row>
    <row r="449" spans="1:9" x14ac:dyDescent="0.25">
      <c r="A449" s="2" t="s">
        <v>670</v>
      </c>
      <c r="B449" s="2" t="s">
        <v>699</v>
      </c>
      <c r="C449" s="3">
        <v>45113</v>
      </c>
      <c r="D449" t="s">
        <v>700</v>
      </c>
      <c r="E449" s="2" t="s">
        <v>12</v>
      </c>
      <c r="F449" s="2" t="s">
        <v>12</v>
      </c>
      <c r="G449" t="s">
        <v>586</v>
      </c>
      <c r="H449" t="str">
        <f t="shared" si="12"/>
        <v>https://videplast.com.br/consulta-imobilizado?id=20000712&amp;nome=AT%20CORDOALHA%20DE%20ACO%201-4HS%20P/CONFECCAO%20DA</v>
      </c>
      <c r="I449" t="e">
        <f t="shared" ca="1" si="13"/>
        <v>#NAME?</v>
      </c>
    </row>
    <row r="450" spans="1:9" x14ac:dyDescent="0.25">
      <c r="A450" s="2" t="s">
        <v>670</v>
      </c>
      <c r="B450" s="2" t="s">
        <v>701</v>
      </c>
      <c r="C450" s="3">
        <v>45113</v>
      </c>
      <c r="D450" t="s">
        <v>702</v>
      </c>
      <c r="E450" s="2" t="s">
        <v>12</v>
      </c>
      <c r="F450" s="2" t="s">
        <v>12</v>
      </c>
      <c r="G450" t="s">
        <v>586</v>
      </c>
      <c r="H450" t="str">
        <f t="shared" ref="H450:H513" si="14" xml:space="preserve"> "https://videplast.com.br/consulta-imobilizado?id=" &amp; A450 &amp; "&amp;nome=" &amp; SUBSTITUTE(D450, " ", "%20")</f>
        <v>https://videplast.com.br/consulta-imobilizado?id=20000712&amp;nome=SERVICO%20DE%20GUINDASTE%20ARTILADO%20P/%20MAQ.%20ADQUIRIDA</v>
      </c>
      <c r="I450" t="e">
        <f t="shared" ref="I450:I513" ca="1" si="15">_xlfn.IMAGE("https://chart.googleapis.com/chart?chs=150x150&amp;cht=qr&amp;chl=" &amp; H450)</f>
        <v>#NAME?</v>
      </c>
    </row>
    <row r="451" spans="1:9" x14ac:dyDescent="0.25">
      <c r="A451" s="2" t="s">
        <v>670</v>
      </c>
      <c r="B451" s="2" t="s">
        <v>703</v>
      </c>
      <c r="C451" s="3">
        <v>45113</v>
      </c>
      <c r="D451" t="s">
        <v>704</v>
      </c>
      <c r="E451" s="2" t="s">
        <v>12</v>
      </c>
      <c r="F451" s="2" t="s">
        <v>12</v>
      </c>
      <c r="G451" t="s">
        <v>586</v>
      </c>
      <c r="H451" t="str">
        <f t="shared" si="14"/>
        <v>https://videplast.com.br/consulta-imobilizado?id=20000712&amp;nome=PERFIL%20DOBRADO</v>
      </c>
      <c r="I451" t="e">
        <f t="shared" ca="1" si="15"/>
        <v>#NAME?</v>
      </c>
    </row>
    <row r="452" spans="1:9" x14ac:dyDescent="0.25">
      <c r="A452" s="2" t="s">
        <v>670</v>
      </c>
      <c r="B452" s="2" t="s">
        <v>705</v>
      </c>
      <c r="C452" s="3">
        <v>45113</v>
      </c>
      <c r="D452" t="s">
        <v>706</v>
      </c>
      <c r="E452" s="2" t="s">
        <v>12</v>
      </c>
      <c r="F452" s="2" t="s">
        <v>12</v>
      </c>
      <c r="G452" t="s">
        <v>586</v>
      </c>
      <c r="H452" t="str">
        <f t="shared" si="14"/>
        <v>https://videplast.com.br/consulta-imobilizado?id=20000712&amp;nome=CABO%20COBRE%20NU%2070,00MM%20NORMATIZADO</v>
      </c>
      <c r="I452" t="e">
        <f t="shared" ca="1" si="15"/>
        <v>#NAME?</v>
      </c>
    </row>
    <row r="453" spans="1:9" x14ac:dyDescent="0.25">
      <c r="A453" s="2" t="s">
        <v>670</v>
      </c>
      <c r="B453" s="2" t="s">
        <v>707</v>
      </c>
      <c r="C453" s="3">
        <v>45113</v>
      </c>
      <c r="D453" t="s">
        <v>708</v>
      </c>
      <c r="E453" s="2" t="s">
        <v>12</v>
      </c>
      <c r="F453" s="2" t="s">
        <v>12</v>
      </c>
      <c r="G453" t="s">
        <v>586</v>
      </c>
      <c r="H453" t="str">
        <f t="shared" si="14"/>
        <v>https://videplast.com.br/consulta-imobilizado?id=20000712&amp;nome=SOLOGEL%2012KG%20C1000</v>
      </c>
      <c r="I453" t="e">
        <f t="shared" ca="1" si="15"/>
        <v>#NAME?</v>
      </c>
    </row>
    <row r="454" spans="1:9" x14ac:dyDescent="0.25">
      <c r="A454" s="2" t="s">
        <v>670</v>
      </c>
      <c r="B454" s="2" t="s">
        <v>709</v>
      </c>
      <c r="C454" s="3">
        <v>45113</v>
      </c>
      <c r="D454" t="s">
        <v>710</v>
      </c>
      <c r="E454" s="2" t="s">
        <v>12</v>
      </c>
      <c r="F454" s="2" t="s">
        <v>12</v>
      </c>
      <c r="G454" t="s">
        <v>586</v>
      </c>
      <c r="H454" t="str">
        <f t="shared" si="14"/>
        <v>https://videplast.com.br/consulta-imobilizado?id=20000712&amp;nome=ELETRODUTO%20PVC%201%20ELECON</v>
      </c>
      <c r="I454" t="e">
        <f t="shared" ca="1" si="15"/>
        <v>#NAME?</v>
      </c>
    </row>
    <row r="455" spans="1:9" x14ac:dyDescent="0.25">
      <c r="A455" s="2" t="s">
        <v>670</v>
      </c>
      <c r="B455" s="2" t="s">
        <v>711</v>
      </c>
      <c r="C455" s="3">
        <v>45113</v>
      </c>
      <c r="D455" t="s">
        <v>712</v>
      </c>
      <c r="E455" s="2" t="s">
        <v>12</v>
      </c>
      <c r="F455" s="2" t="s">
        <v>12</v>
      </c>
      <c r="G455" t="s">
        <v>586</v>
      </c>
      <c r="H455" t="str">
        <f t="shared" si="14"/>
        <v>https://videplast.com.br/consulta-imobilizado?id=20000712&amp;nome=ABRACADEIRA%201TP%20D%20COM%20PARAFUSO%20GE</v>
      </c>
      <c r="I455" t="e">
        <f t="shared" ca="1" si="15"/>
        <v>#NAME?</v>
      </c>
    </row>
    <row r="456" spans="1:9" x14ac:dyDescent="0.25">
      <c r="A456" s="2" t="s">
        <v>670</v>
      </c>
      <c r="B456" s="2" t="s">
        <v>713</v>
      </c>
      <c r="C456" s="3">
        <v>45113</v>
      </c>
      <c r="D456" t="s">
        <v>714</v>
      </c>
      <c r="E456" s="2" t="s">
        <v>12</v>
      </c>
      <c r="F456" s="2" t="s">
        <v>12</v>
      </c>
      <c r="G456" t="s">
        <v>586</v>
      </c>
      <c r="H456" t="str">
        <f t="shared" si="14"/>
        <v>https://videplast.com.br/consulta-imobilizado?id=20000712&amp;nome=CONECTOR%20PARA%20ATERRAMENTO%20ASGG</v>
      </c>
      <c r="I456" t="e">
        <f t="shared" ca="1" si="15"/>
        <v>#NAME?</v>
      </c>
    </row>
    <row r="457" spans="1:9" x14ac:dyDescent="0.25">
      <c r="A457" s="2" t="s">
        <v>670</v>
      </c>
      <c r="B457" s="2" t="s">
        <v>715</v>
      </c>
      <c r="C457" s="3">
        <v>45113</v>
      </c>
      <c r="D457" t="s">
        <v>716</v>
      </c>
      <c r="E457" s="2" t="s">
        <v>12</v>
      </c>
      <c r="F457" s="2" t="s">
        <v>12</v>
      </c>
      <c r="G457" t="s">
        <v>586</v>
      </c>
      <c r="H457" t="str">
        <f t="shared" si="14"/>
        <v>https://videplast.com.br/consulta-imobilizado?id=20000712&amp;nome=CABO%2070,00MM%200,6/1KV%2090%20FLEX%20VD</v>
      </c>
      <c r="I457" t="e">
        <f t="shared" ca="1" si="15"/>
        <v>#NAME?</v>
      </c>
    </row>
    <row r="458" spans="1:9" x14ac:dyDescent="0.25">
      <c r="A458" s="2" t="s">
        <v>670</v>
      </c>
      <c r="B458" s="2" t="s">
        <v>717</v>
      </c>
      <c r="C458" s="3">
        <v>45113</v>
      </c>
      <c r="D458" t="s">
        <v>718</v>
      </c>
      <c r="E458" s="2" t="s">
        <v>12</v>
      </c>
      <c r="F458" s="2" t="s">
        <v>12</v>
      </c>
      <c r="G458" t="s">
        <v>586</v>
      </c>
      <c r="H458" t="str">
        <f t="shared" si="14"/>
        <v>https://videplast.com.br/consulta-imobilizado?id=20000712&amp;nome=HASTE%20ATERRAMENTO%205/8%202,40</v>
      </c>
      <c r="I458" t="e">
        <f t="shared" ca="1" si="15"/>
        <v>#NAME?</v>
      </c>
    </row>
    <row r="459" spans="1:9" x14ac:dyDescent="0.25">
      <c r="A459" s="2" t="s">
        <v>670</v>
      </c>
      <c r="B459" s="2" t="s">
        <v>719</v>
      </c>
      <c r="C459" s="3">
        <v>45113</v>
      </c>
      <c r="D459" t="s">
        <v>720</v>
      </c>
      <c r="E459" s="2" t="s">
        <v>12</v>
      </c>
      <c r="F459" s="2" t="s">
        <v>12</v>
      </c>
      <c r="G459" t="s">
        <v>586</v>
      </c>
      <c r="H459" t="str">
        <f t="shared" si="14"/>
        <v>https://videplast.com.br/consulta-imobilizado?id=20000712&amp;nome=ABRACADEIRA%20NAT%20NYLON%20200X4,8,</v>
      </c>
      <c r="I459" t="e">
        <f t="shared" ca="1" si="15"/>
        <v>#NAME?</v>
      </c>
    </row>
    <row r="460" spans="1:9" x14ac:dyDescent="0.25">
      <c r="A460" s="2" t="s">
        <v>670</v>
      </c>
      <c r="B460" s="2" t="s">
        <v>721</v>
      </c>
      <c r="C460" s="3">
        <v>45113</v>
      </c>
      <c r="D460" t="s">
        <v>722</v>
      </c>
      <c r="E460" s="2" t="s">
        <v>12</v>
      </c>
      <c r="F460" s="2" t="s">
        <v>12</v>
      </c>
      <c r="G460" t="s">
        <v>586</v>
      </c>
      <c r="H460" t="str">
        <f t="shared" si="14"/>
        <v>https://videplast.com.br/consulta-imobilizado?id=20000712&amp;nome=CONECTOR%20EMENDA/MEDICAO%204%20PARAFUSOS,</v>
      </c>
      <c r="I460" t="e">
        <f t="shared" ca="1" si="15"/>
        <v>#NAME?</v>
      </c>
    </row>
    <row r="461" spans="1:9" x14ac:dyDescent="0.25">
      <c r="A461" s="2" t="s">
        <v>670</v>
      </c>
      <c r="B461" s="2" t="s">
        <v>723</v>
      </c>
      <c r="C461" s="3">
        <v>45113</v>
      </c>
      <c r="D461" t="s">
        <v>724</v>
      </c>
      <c r="E461" s="2" t="s">
        <v>12</v>
      </c>
      <c r="F461" s="2" t="s">
        <v>12</v>
      </c>
      <c r="G461" t="s">
        <v>586</v>
      </c>
      <c r="H461" t="str">
        <f t="shared" si="14"/>
        <v>https://videplast.com.br/consulta-imobilizado?id=20000712&amp;nome=CAIXA%20INSPENSAO%20TERRA%20SUSPENS,</v>
      </c>
      <c r="I461" t="e">
        <f t="shared" ca="1" si="15"/>
        <v>#NAME?</v>
      </c>
    </row>
    <row r="462" spans="1:9" x14ac:dyDescent="0.25">
      <c r="A462" s="2" t="s">
        <v>670</v>
      </c>
      <c r="B462" s="2" t="s">
        <v>725</v>
      </c>
      <c r="C462" s="3">
        <v>45113</v>
      </c>
      <c r="D462" t="s">
        <v>726</v>
      </c>
      <c r="E462" s="2" t="s">
        <v>12</v>
      </c>
      <c r="F462" s="2" t="s">
        <v>12</v>
      </c>
      <c r="G462" t="s">
        <v>586</v>
      </c>
      <c r="H462" t="str">
        <f t="shared" si="14"/>
        <v>https://videplast.com.br/consulta-imobilizado?id=20000712&amp;nome=REATOR%20ELETRONICO%20AFP%202X110W%20220V</v>
      </c>
      <c r="I462" t="e">
        <f t="shared" ca="1" si="15"/>
        <v>#NAME?</v>
      </c>
    </row>
    <row r="463" spans="1:9" x14ac:dyDescent="0.25">
      <c r="A463" s="2" t="s">
        <v>670</v>
      </c>
      <c r="B463" s="2" t="s">
        <v>727</v>
      </c>
      <c r="C463" s="3">
        <v>45113</v>
      </c>
      <c r="D463" t="s">
        <v>728</v>
      </c>
      <c r="E463" s="2" t="s">
        <v>12</v>
      </c>
      <c r="F463" s="2" t="s">
        <v>12</v>
      </c>
      <c r="G463" t="s">
        <v>586</v>
      </c>
      <c r="H463" t="str">
        <f t="shared" si="14"/>
        <v>https://videplast.com.br/consulta-imobilizado?id=20000712&amp;nome=LAMPADA%20FLUOR%20110W%20220V,%20%20P/INSTALACAO%20DE</v>
      </c>
      <c r="I463" t="e">
        <f t="shared" ca="1" si="15"/>
        <v>#NAME?</v>
      </c>
    </row>
    <row r="464" spans="1:9" x14ac:dyDescent="0.25">
      <c r="A464" s="2" t="s">
        <v>670</v>
      </c>
      <c r="B464" s="2" t="s">
        <v>729</v>
      </c>
      <c r="C464" s="3">
        <v>45113</v>
      </c>
      <c r="D464" t="s">
        <v>730</v>
      </c>
      <c r="E464" s="2" t="s">
        <v>12</v>
      </c>
      <c r="F464" s="2" t="s">
        <v>12</v>
      </c>
      <c r="G464" t="s">
        <v>586</v>
      </c>
      <c r="H464" t="str">
        <f t="shared" si="14"/>
        <v>https://videplast.com.br/consulta-imobilizado?id=20000712&amp;nome=LUMINARIA%202X110W%20LABS%20REFL%20BR%20DIF%20ACRILICO</v>
      </c>
      <c r="I464" t="e">
        <f t="shared" ca="1" si="15"/>
        <v>#NAME?</v>
      </c>
    </row>
    <row r="465" spans="1:9" x14ac:dyDescent="0.25">
      <c r="A465" s="2" t="s">
        <v>670</v>
      </c>
      <c r="B465" s="2" t="s">
        <v>731</v>
      </c>
      <c r="C465" s="3">
        <v>45113</v>
      </c>
      <c r="D465" t="s">
        <v>732</v>
      </c>
      <c r="E465" s="2" t="s">
        <v>12</v>
      </c>
      <c r="F465" s="2" t="s">
        <v>12</v>
      </c>
      <c r="G465" t="s">
        <v>586</v>
      </c>
      <c r="H465" t="str">
        <f t="shared" si="14"/>
        <v>https://videplast.com.br/consulta-imobilizado?id=20000712&amp;nome=TUBO%20IND.%20RED.3</v>
      </c>
      <c r="I465" t="e">
        <f t="shared" ca="1" si="15"/>
        <v>#NAME?</v>
      </c>
    </row>
    <row r="466" spans="1:9" x14ac:dyDescent="0.25">
      <c r="A466" s="2" t="s">
        <v>670</v>
      </c>
      <c r="B466" s="2" t="s">
        <v>733</v>
      </c>
      <c r="C466" s="3">
        <v>45113</v>
      </c>
      <c r="D466" t="s">
        <v>734</v>
      </c>
      <c r="E466" s="2" t="s">
        <v>12</v>
      </c>
      <c r="F466" s="2" t="s">
        <v>12</v>
      </c>
      <c r="G466" t="s">
        <v>586</v>
      </c>
      <c r="H466" t="str">
        <f t="shared" si="14"/>
        <v>https://videplast.com.br/consulta-imobilizado?id=20000712&amp;nome=FUSO%20DE%20ESFERA%20BOBST</v>
      </c>
      <c r="I466" t="e">
        <f t="shared" ca="1" si="15"/>
        <v>#NAME?</v>
      </c>
    </row>
    <row r="467" spans="1:9" x14ac:dyDescent="0.25">
      <c r="A467" s="2" t="s">
        <v>670</v>
      </c>
      <c r="B467" s="2" t="s">
        <v>735</v>
      </c>
      <c r="C467" s="3">
        <v>45113</v>
      </c>
      <c r="D467" t="s">
        <v>736</v>
      </c>
      <c r="E467" s="2" t="s">
        <v>12</v>
      </c>
      <c r="F467" s="2" t="s">
        <v>12</v>
      </c>
      <c r="G467" t="s">
        <v>586</v>
      </c>
      <c r="H467" t="str">
        <f t="shared" si="14"/>
        <v>https://videplast.com.br/consulta-imobilizado?id=20000712&amp;nome=DESPESA%20ADUANEIRA%20NFE%20%20BOBST%20BIELEFELD%20GMBH,.%20P/O</v>
      </c>
      <c r="I467" t="e">
        <f t="shared" ca="1" si="15"/>
        <v>#NAME?</v>
      </c>
    </row>
    <row r="468" spans="1:9" x14ac:dyDescent="0.25">
      <c r="A468" s="2" t="s">
        <v>670</v>
      </c>
      <c r="B468" s="2" t="s">
        <v>737</v>
      </c>
      <c r="C468" s="3">
        <v>45113</v>
      </c>
      <c r="D468" t="s">
        <v>738</v>
      </c>
      <c r="E468" s="2" t="s">
        <v>12</v>
      </c>
      <c r="F468" s="2" t="s">
        <v>12</v>
      </c>
      <c r="G468" t="s">
        <v>586</v>
      </c>
      <c r="H468" t="str">
        <f t="shared" si="14"/>
        <v>https://videplast.com.br/consulta-imobilizado?id=20000712&amp;nome=REESTABELECIMENTO%20DE%20FUNCIONAMENTO%20DO%20SMARTGPS</v>
      </c>
      <c r="I468" t="e">
        <f t="shared" ca="1" si="15"/>
        <v>#NAME?</v>
      </c>
    </row>
    <row r="469" spans="1:9" x14ac:dyDescent="0.25">
      <c r="A469" s="2" t="s">
        <v>670</v>
      </c>
      <c r="B469" s="2" t="s">
        <v>739</v>
      </c>
      <c r="C469" s="3">
        <v>45345</v>
      </c>
      <c r="D469" t="s">
        <v>740</v>
      </c>
      <c r="E469" s="2" t="s">
        <v>12</v>
      </c>
      <c r="F469" s="2" t="s">
        <v>12</v>
      </c>
      <c r="G469" t="s">
        <v>586</v>
      </c>
      <c r="H469" t="str">
        <f t="shared" si="14"/>
        <v>https://videplast.com.br/consulta-imobilizado?id=20000712&amp;nome=SISTEMA%20DE%20VIDEO%20INSPECAO%20AVT</v>
      </c>
      <c r="I469" t="e">
        <f t="shared" ca="1" si="15"/>
        <v>#NAME?</v>
      </c>
    </row>
    <row r="470" spans="1:9" x14ac:dyDescent="0.25">
      <c r="A470" s="2" t="s">
        <v>670</v>
      </c>
      <c r="B470" s="2" t="s">
        <v>741</v>
      </c>
      <c r="C470" s="3">
        <v>45446</v>
      </c>
      <c r="D470" t="s">
        <v>742</v>
      </c>
      <c r="E470" s="2" t="s">
        <v>12</v>
      </c>
      <c r="F470" s="2" t="s">
        <v>12</v>
      </c>
      <c r="G470" t="s">
        <v>586</v>
      </c>
      <c r="H470" t="str">
        <f t="shared" si="14"/>
        <v>https://videplast.com.br/consulta-imobilizado?id=20000712&amp;nome=KIT%20PARA%20INSTALACAO%20DO%20AVT</v>
      </c>
      <c r="I470" t="e">
        <f t="shared" ca="1" si="15"/>
        <v>#NAME?</v>
      </c>
    </row>
    <row r="471" spans="1:9" x14ac:dyDescent="0.25">
      <c r="A471" s="2" t="s">
        <v>670</v>
      </c>
      <c r="B471" s="2" t="s">
        <v>743</v>
      </c>
      <c r="C471" s="3">
        <v>45607</v>
      </c>
      <c r="D471" t="s">
        <v>744</v>
      </c>
      <c r="E471" s="2" t="s">
        <v>12</v>
      </c>
      <c r="F471" s="2" t="s">
        <v>12</v>
      </c>
      <c r="G471" t="s">
        <v>586</v>
      </c>
      <c r="H471" t="str">
        <f t="shared" si="14"/>
        <v>https://videplast.com.br/consulta-imobilizado?id=20000712&amp;nome=EIXO%20EXPANSIVO%20EM%20ALUMINIO%206"%20GARRAS%20CONTINUAS</v>
      </c>
      <c r="I471" t="e">
        <f t="shared" ca="1" si="15"/>
        <v>#NAME?</v>
      </c>
    </row>
    <row r="472" spans="1:9" x14ac:dyDescent="0.25">
      <c r="A472" s="2" t="s">
        <v>670</v>
      </c>
      <c r="B472" s="2" t="s">
        <v>745</v>
      </c>
      <c r="C472" s="3">
        <v>45610</v>
      </c>
      <c r="D472" t="s">
        <v>746</v>
      </c>
      <c r="E472" s="2" t="s">
        <v>12</v>
      </c>
      <c r="F472" s="2" t="s">
        <v>12</v>
      </c>
      <c r="G472" t="s">
        <v>586</v>
      </c>
      <c r="H472" t="str">
        <f t="shared" si="14"/>
        <v>https://videplast.com.br/consulta-imobilizado?id=20000712&amp;nome=FRETE%20EIXO%20EXPANSIVO%20EM%20ALUMINIO%206"</v>
      </c>
      <c r="I472" t="e">
        <f t="shared" ca="1" si="15"/>
        <v>#NAME?</v>
      </c>
    </row>
    <row r="473" spans="1:9" x14ac:dyDescent="0.25">
      <c r="A473" s="2" t="s">
        <v>747</v>
      </c>
      <c r="B473" s="2" t="s">
        <v>10</v>
      </c>
      <c r="C473" s="3">
        <v>40724</v>
      </c>
      <c r="D473" t="s">
        <v>748</v>
      </c>
      <c r="E473" s="2" t="s">
        <v>12</v>
      </c>
      <c r="F473" s="2" t="s">
        <v>12</v>
      </c>
      <c r="G473" t="s">
        <v>586</v>
      </c>
      <c r="H473" t="str">
        <f t="shared" si="14"/>
        <v>https://videplast.com.br/consulta-imobilizado?id=21000304&amp;nome=04%20BR%20DE%20VIGA%20U%204%20POL%20101,6X4,67MM%20E%2009%20BR%20DE</v>
      </c>
      <c r="I473" t="e">
        <f t="shared" ca="1" si="15"/>
        <v>#NAME?</v>
      </c>
    </row>
    <row r="474" spans="1:9" x14ac:dyDescent="0.25">
      <c r="A474" s="2" t="s">
        <v>747</v>
      </c>
      <c r="B474" s="2" t="s">
        <v>26</v>
      </c>
      <c r="C474" s="3">
        <v>40724</v>
      </c>
      <c r="D474" t="s">
        <v>749</v>
      </c>
      <c r="E474" s="2" t="s">
        <v>12</v>
      </c>
      <c r="F474" s="2" t="s">
        <v>12</v>
      </c>
      <c r="G474" t="s">
        <v>586</v>
      </c>
      <c r="H474" t="str">
        <f t="shared" si="14"/>
        <v>https://videplast.com.br/consulta-imobilizado?id=21000304&amp;nome=04%20BR%20DE%20VIGA%20U%204POL%20%20101,6X4,67MM%20E%2009%20BR%20DE</v>
      </c>
      <c r="I474" t="e">
        <f t="shared" ca="1" si="15"/>
        <v>#NAME?</v>
      </c>
    </row>
    <row r="475" spans="1:9" x14ac:dyDescent="0.25">
      <c r="A475" s="2" t="s">
        <v>750</v>
      </c>
      <c r="B475" s="2" t="s">
        <v>10</v>
      </c>
      <c r="C475" s="3">
        <v>40816</v>
      </c>
      <c r="D475" t="s">
        <v>751</v>
      </c>
      <c r="E475" s="2" t="s">
        <v>12</v>
      </c>
      <c r="F475" s="2" t="s">
        <v>12</v>
      </c>
      <c r="G475" t="s">
        <v>586</v>
      </c>
      <c r="H475" t="str">
        <f t="shared" si="14"/>
        <v>https://videplast.com.br/consulta-imobilizado?id=21000309&amp;nome=AR%20CONDICIONADO%20220V%20SPLIT/CONSUL%2012000%20BTUS</v>
      </c>
      <c r="I475" t="e">
        <f t="shared" ca="1" si="15"/>
        <v>#NAME?</v>
      </c>
    </row>
    <row r="476" spans="1:9" x14ac:dyDescent="0.25">
      <c r="A476" s="2" t="s">
        <v>752</v>
      </c>
      <c r="B476" s="2" t="s">
        <v>10</v>
      </c>
      <c r="C476" s="3">
        <v>41090</v>
      </c>
      <c r="D476" t="s">
        <v>753</v>
      </c>
      <c r="E476" s="2" t="s">
        <v>12</v>
      </c>
      <c r="F476" s="2" t="s">
        <v>12</v>
      </c>
      <c r="G476" t="s">
        <v>586</v>
      </c>
      <c r="H476" t="str">
        <f t="shared" si="14"/>
        <v>https://videplast.com.br/consulta-imobilizado?id=21000325&amp;nome=AR%20CONDICIONADO%2018000%20BTUS%20TIP%20ACJ</v>
      </c>
      <c r="I476" t="e">
        <f t="shared" ca="1" si="15"/>
        <v>#NAME?</v>
      </c>
    </row>
    <row r="477" spans="1:9" x14ac:dyDescent="0.25">
      <c r="A477" s="2" t="s">
        <v>754</v>
      </c>
      <c r="B477" s="2" t="s">
        <v>10</v>
      </c>
      <c r="C477" s="3">
        <v>41121</v>
      </c>
      <c r="D477" t="s">
        <v>755</v>
      </c>
      <c r="E477" s="2" t="s">
        <v>12</v>
      </c>
      <c r="F477" s="2" t="s">
        <v>12</v>
      </c>
      <c r="G477" t="s">
        <v>586</v>
      </c>
      <c r="H477" t="str">
        <f t="shared" si="14"/>
        <v>https://videplast.com.br/consulta-imobilizado?id=21000327&amp;nome=CASTANHA%20PNEUMATICA%20CPPU%2074X150X170</v>
      </c>
      <c r="I477" t="e">
        <f t="shared" ca="1" si="15"/>
        <v>#NAME?</v>
      </c>
    </row>
    <row r="478" spans="1:9" x14ac:dyDescent="0.25">
      <c r="A478" s="2" t="s">
        <v>754</v>
      </c>
      <c r="B478" s="2" t="s">
        <v>26</v>
      </c>
      <c r="C478" s="3">
        <v>41121</v>
      </c>
      <c r="D478" t="s">
        <v>755</v>
      </c>
      <c r="E478" s="2" t="s">
        <v>12</v>
      </c>
      <c r="F478" s="2" t="s">
        <v>12</v>
      </c>
      <c r="G478" t="s">
        <v>586</v>
      </c>
      <c r="H478" t="str">
        <f t="shared" si="14"/>
        <v>https://videplast.com.br/consulta-imobilizado?id=21000327&amp;nome=CASTANHA%20PNEUMATICA%20CPPU%2074X150X170</v>
      </c>
      <c r="I478" t="e">
        <f t="shared" ca="1" si="15"/>
        <v>#NAME?</v>
      </c>
    </row>
    <row r="479" spans="1:9" x14ac:dyDescent="0.25">
      <c r="A479" s="2" t="s">
        <v>756</v>
      </c>
      <c r="B479" s="2" t="s">
        <v>10</v>
      </c>
      <c r="C479" s="3">
        <v>41182</v>
      </c>
      <c r="D479" t="s">
        <v>757</v>
      </c>
      <c r="E479" s="2" t="s">
        <v>12</v>
      </c>
      <c r="F479" s="2" t="s">
        <v>12</v>
      </c>
      <c r="G479" t="s">
        <v>586</v>
      </c>
      <c r="H479" t="str">
        <f t="shared" si="14"/>
        <v>https://videplast.com.br/consulta-imobilizado?id=21000336&amp;nome=PAINEL%20P/%20TALHA%20CONJUGADA%20SISTEMA%20FLEXOTECH%20COM</v>
      </c>
      <c r="I479" t="e">
        <f t="shared" ca="1" si="15"/>
        <v>#NAME?</v>
      </c>
    </row>
    <row r="480" spans="1:9" x14ac:dyDescent="0.25">
      <c r="A480" s="2" t="s">
        <v>758</v>
      </c>
      <c r="B480" s="2" t="s">
        <v>10</v>
      </c>
      <c r="C480" s="3">
        <v>41305</v>
      </c>
      <c r="D480" t="s">
        <v>759</v>
      </c>
      <c r="E480" s="2" t="s">
        <v>12</v>
      </c>
      <c r="F480" s="2" t="s">
        <v>12</v>
      </c>
      <c r="G480" t="s">
        <v>586</v>
      </c>
      <c r="H480" t="str">
        <f t="shared" si="14"/>
        <v>https://videplast.com.br/consulta-imobilizado?id=21000345&amp;nome=SERVIDOR%20POWEREDGE%20T310%20CHASSIS%20P/ATE%204%20DISCOS</v>
      </c>
      <c r="I480" t="e">
        <f t="shared" ca="1" si="15"/>
        <v>#NAME?</v>
      </c>
    </row>
    <row r="481" spans="1:9" x14ac:dyDescent="0.25">
      <c r="A481" s="2" t="s">
        <v>760</v>
      </c>
      <c r="B481" s="2" t="s">
        <v>10</v>
      </c>
      <c r="C481" s="3">
        <v>41333</v>
      </c>
      <c r="D481" t="s">
        <v>761</v>
      </c>
      <c r="E481" s="2" t="s">
        <v>762</v>
      </c>
      <c r="F481" s="2" t="s">
        <v>12</v>
      </c>
      <c r="G481" t="s">
        <v>586</v>
      </c>
      <c r="H481" t="str">
        <f t="shared" si="14"/>
        <v>https://videplast.com.br/consulta-imobilizado?id=21000347&amp;nome=MONITOR%20LCD%20CONVERSOR</v>
      </c>
      <c r="I481" t="e">
        <f t="shared" ca="1" si="15"/>
        <v>#NAME?</v>
      </c>
    </row>
    <row r="482" spans="1:9" x14ac:dyDescent="0.25">
      <c r="A482" s="2" t="s">
        <v>763</v>
      </c>
      <c r="B482" s="2" t="s">
        <v>10</v>
      </c>
      <c r="C482" s="3">
        <v>41333</v>
      </c>
      <c r="D482" t="s">
        <v>764</v>
      </c>
      <c r="E482" s="2" t="s">
        <v>12</v>
      </c>
      <c r="F482" s="2" t="s">
        <v>12</v>
      </c>
      <c r="G482" t="s">
        <v>586</v>
      </c>
      <c r="H482" t="str">
        <f t="shared" si="14"/>
        <v>https://videplast.com.br/consulta-imobilizado?id=21000348&amp;nome=AR%20CONDICIONADO%20ACJ%207500%20BTUS%20ELECTROLUX</v>
      </c>
      <c r="I482" t="e">
        <f t="shared" ca="1" si="15"/>
        <v>#NAME?</v>
      </c>
    </row>
    <row r="483" spans="1:9" x14ac:dyDescent="0.25">
      <c r="A483" s="2" t="s">
        <v>765</v>
      </c>
      <c r="B483" s="2" t="s">
        <v>10</v>
      </c>
      <c r="C483" s="3">
        <v>41333</v>
      </c>
      <c r="D483" t="s">
        <v>766</v>
      </c>
      <c r="E483" s="2" t="s">
        <v>767</v>
      </c>
      <c r="F483" s="2" t="s">
        <v>12</v>
      </c>
      <c r="G483" t="s">
        <v>586</v>
      </c>
      <c r="H483" t="str">
        <f t="shared" si="14"/>
        <v>https://videplast.com.br/consulta-imobilizado?id=21000350&amp;nome=CARRO%20HIDRAULICO%20TM%202220%20680X1150%20SIMPLES%20NYLON,</v>
      </c>
      <c r="I483" t="e">
        <f t="shared" ca="1" si="15"/>
        <v>#NAME?</v>
      </c>
    </row>
    <row r="484" spans="1:9" x14ac:dyDescent="0.25">
      <c r="A484" s="2" t="s">
        <v>768</v>
      </c>
      <c r="B484" s="2" t="s">
        <v>10</v>
      </c>
      <c r="C484" s="3">
        <v>41333</v>
      </c>
      <c r="D484" t="s">
        <v>769</v>
      </c>
      <c r="E484" s="2" t="s">
        <v>770</v>
      </c>
      <c r="F484" s="2" t="s">
        <v>12</v>
      </c>
      <c r="G484" t="s">
        <v>586</v>
      </c>
      <c r="H484" t="str">
        <f t="shared" si="14"/>
        <v>https://videplast.com.br/consulta-imobilizado?id=21000351&amp;nome=BALANCA%20ELETRONICA%20300%20KG</v>
      </c>
      <c r="I484" t="e">
        <f t="shared" ca="1" si="15"/>
        <v>#NAME?</v>
      </c>
    </row>
    <row r="485" spans="1:9" x14ac:dyDescent="0.25">
      <c r="A485" s="2" t="s">
        <v>771</v>
      </c>
      <c r="B485" s="2" t="s">
        <v>10</v>
      </c>
      <c r="C485" s="3">
        <v>41425</v>
      </c>
      <c r="D485" t="s">
        <v>772</v>
      </c>
      <c r="E485" s="2" t="s">
        <v>773</v>
      </c>
      <c r="F485" s="2" t="s">
        <v>12</v>
      </c>
      <c r="G485" t="s">
        <v>586</v>
      </c>
      <c r="H485" t="str">
        <f t="shared" si="14"/>
        <v>https://videplast.com.br/consulta-imobilizado?id=21000354&amp;nome=LAVADORA%20ALTA%20PRESSAO%20KARCHER%20HD-585%20220V%201600%20LBS</v>
      </c>
      <c r="I485" t="e">
        <f t="shared" ca="1" si="15"/>
        <v>#NAME?</v>
      </c>
    </row>
    <row r="486" spans="1:9" x14ac:dyDescent="0.25">
      <c r="A486" s="2" t="s">
        <v>774</v>
      </c>
      <c r="B486" s="2" t="s">
        <v>10</v>
      </c>
      <c r="C486" s="3">
        <v>41578</v>
      </c>
      <c r="D486" t="s">
        <v>775</v>
      </c>
      <c r="E486" s="2" t="s">
        <v>776</v>
      </c>
      <c r="F486" s="2" t="s">
        <v>12</v>
      </c>
      <c r="G486" t="s">
        <v>586</v>
      </c>
      <c r="H486" t="str">
        <f t="shared" si="14"/>
        <v>https://videplast.com.br/consulta-imobilizado?id=21000362&amp;nome=IMPRESSORA%20ZEBRA%20GC420%20203%20DPI%20COM%20PEEL%20OFF</v>
      </c>
      <c r="I486" t="e">
        <f t="shared" ca="1" si="15"/>
        <v>#NAME?</v>
      </c>
    </row>
    <row r="487" spans="1:9" x14ac:dyDescent="0.25">
      <c r="A487" s="2" t="s">
        <v>774</v>
      </c>
      <c r="B487" s="2" t="s">
        <v>26</v>
      </c>
      <c r="C487" s="3">
        <v>41578</v>
      </c>
      <c r="D487" t="s">
        <v>775</v>
      </c>
      <c r="E487" s="2" t="s">
        <v>777</v>
      </c>
      <c r="F487" s="2" t="s">
        <v>12</v>
      </c>
      <c r="G487" t="s">
        <v>586</v>
      </c>
      <c r="H487" t="str">
        <f t="shared" si="14"/>
        <v>https://videplast.com.br/consulta-imobilizado?id=21000362&amp;nome=IMPRESSORA%20ZEBRA%20GC420%20203%20DPI%20COM%20PEEL%20OFF</v>
      </c>
      <c r="I487" t="e">
        <f t="shared" ca="1" si="15"/>
        <v>#NAME?</v>
      </c>
    </row>
    <row r="488" spans="1:9" x14ac:dyDescent="0.25">
      <c r="A488" s="2" t="s">
        <v>778</v>
      </c>
      <c r="B488" s="2" t="s">
        <v>26</v>
      </c>
      <c r="C488" s="3">
        <v>41578</v>
      </c>
      <c r="D488" t="s">
        <v>779</v>
      </c>
      <c r="E488" s="2" t="s">
        <v>12</v>
      </c>
      <c r="F488" s="2" t="s">
        <v>12</v>
      </c>
      <c r="G488" t="s">
        <v>586</v>
      </c>
      <c r="H488" t="str">
        <f t="shared" si="14"/>
        <v>https://videplast.com.br/consulta-imobilizado?id=21000363&amp;nome=CAMISA%20CARBOLOX%20162,340X143,356X1330,00,%20P/O</v>
      </c>
      <c r="I488" t="e">
        <f t="shared" ca="1" si="15"/>
        <v>#NAME?</v>
      </c>
    </row>
    <row r="489" spans="1:9" x14ac:dyDescent="0.25">
      <c r="A489" s="2" t="s">
        <v>778</v>
      </c>
      <c r="B489" s="2" t="s">
        <v>21</v>
      </c>
      <c r="C489" s="3">
        <v>41578</v>
      </c>
      <c r="D489" t="s">
        <v>780</v>
      </c>
      <c r="E489" s="2" t="s">
        <v>12</v>
      </c>
      <c r="F489" s="2" t="s">
        <v>12</v>
      </c>
      <c r="G489" t="s">
        <v>586</v>
      </c>
      <c r="H489" t="str">
        <f t="shared" si="14"/>
        <v>https://videplast.com.br/consulta-imobilizado?id=21000363&amp;nome=CAMISA%20CARBOLOX%20162,340X143,356X1330,00</v>
      </c>
      <c r="I489" t="e">
        <f t="shared" ca="1" si="15"/>
        <v>#NAME?</v>
      </c>
    </row>
    <row r="490" spans="1:9" x14ac:dyDescent="0.25">
      <c r="A490" s="2" t="s">
        <v>778</v>
      </c>
      <c r="B490" s="2" t="s">
        <v>29</v>
      </c>
      <c r="C490" s="3">
        <v>41578</v>
      </c>
      <c r="D490" t="s">
        <v>780</v>
      </c>
      <c r="E490" s="2" t="s">
        <v>12</v>
      </c>
      <c r="F490" s="2" t="s">
        <v>12</v>
      </c>
      <c r="G490" t="s">
        <v>586</v>
      </c>
      <c r="H490" t="str">
        <f t="shared" si="14"/>
        <v>https://videplast.com.br/consulta-imobilizado?id=21000363&amp;nome=CAMISA%20CARBOLOX%20162,340X143,356X1330,00</v>
      </c>
      <c r="I490" t="e">
        <f t="shared" ca="1" si="15"/>
        <v>#NAME?</v>
      </c>
    </row>
    <row r="491" spans="1:9" x14ac:dyDescent="0.25">
      <c r="A491" s="2" t="s">
        <v>781</v>
      </c>
      <c r="B491" s="2" t="s">
        <v>10</v>
      </c>
      <c r="C491" s="3">
        <v>41608</v>
      </c>
      <c r="D491" t="s">
        <v>782</v>
      </c>
      <c r="E491" s="2" t="s">
        <v>783</v>
      </c>
      <c r="F491" s="2" t="s">
        <v>12</v>
      </c>
      <c r="G491" t="s">
        <v>586</v>
      </c>
      <c r="H491" t="str">
        <f t="shared" si="14"/>
        <v>https://videplast.com.br/consulta-imobilizado?id=21000365&amp;nome=TRANSFORMADOR%20TTR%201000KVA</v>
      </c>
      <c r="I491" t="e">
        <f t="shared" ca="1" si="15"/>
        <v>#NAME?</v>
      </c>
    </row>
    <row r="492" spans="1:9" x14ac:dyDescent="0.25">
      <c r="A492" s="2" t="s">
        <v>784</v>
      </c>
      <c r="B492" s="2" t="s">
        <v>10</v>
      </c>
      <c r="C492" s="3">
        <v>41698</v>
      </c>
      <c r="D492" t="s">
        <v>785</v>
      </c>
      <c r="E492" s="2" t="s">
        <v>12</v>
      </c>
      <c r="F492" s="2" t="s">
        <v>12</v>
      </c>
      <c r="G492" t="s">
        <v>586</v>
      </c>
      <c r="H492" t="str">
        <f t="shared" si="14"/>
        <v>https://videplast.com.br/consulta-imobilizado?id=21000368&amp;nome=CAMISA%20CARBOLOX%20%20149,621X121,074X1290,00%20320%203,8</v>
      </c>
      <c r="I492" t="e">
        <f t="shared" ca="1" si="15"/>
        <v>#NAME?</v>
      </c>
    </row>
    <row r="493" spans="1:9" x14ac:dyDescent="0.25">
      <c r="A493" s="2" t="s">
        <v>786</v>
      </c>
      <c r="B493" s="2" t="s">
        <v>10</v>
      </c>
      <c r="C493" s="3">
        <v>41455</v>
      </c>
      <c r="D493" t="s">
        <v>787</v>
      </c>
      <c r="E493" s="2" t="s">
        <v>12</v>
      </c>
      <c r="F493" s="2" t="s">
        <v>788</v>
      </c>
      <c r="G493" t="s">
        <v>586</v>
      </c>
      <c r="H493" t="str">
        <f t="shared" si="14"/>
        <v>https://videplast.com.br/consulta-imobilizado?id=21000375&amp;nome=IMPRESSORA%20FLEXO%20GIUGNI%20MINIFLEX%20390/200%201%20COR</v>
      </c>
      <c r="I493" t="e">
        <f t="shared" ca="1" si="15"/>
        <v>#NAME?</v>
      </c>
    </row>
    <row r="494" spans="1:9" x14ac:dyDescent="0.25">
      <c r="A494" s="2" t="s">
        <v>789</v>
      </c>
      <c r="B494" s="2" t="s">
        <v>10</v>
      </c>
      <c r="C494" s="3">
        <v>41455</v>
      </c>
      <c r="D494" t="s">
        <v>787</v>
      </c>
      <c r="E494" s="2" t="s">
        <v>12</v>
      </c>
      <c r="F494" s="2" t="s">
        <v>790</v>
      </c>
      <c r="G494" t="s">
        <v>586</v>
      </c>
      <c r="H494" t="str">
        <f t="shared" si="14"/>
        <v>https://videplast.com.br/consulta-imobilizado?id=21000376&amp;nome=IMPRESSORA%20FLEXO%20GIUGNI%20MINIFLEX%20390/200%201%20COR</v>
      </c>
      <c r="I494" t="e">
        <f t="shared" ca="1" si="15"/>
        <v>#NAME?</v>
      </c>
    </row>
    <row r="495" spans="1:9" x14ac:dyDescent="0.25">
      <c r="A495" s="2" t="s">
        <v>791</v>
      </c>
      <c r="B495" s="2" t="s">
        <v>10</v>
      </c>
      <c r="C495" s="3">
        <v>41820</v>
      </c>
      <c r="D495" t="s">
        <v>792</v>
      </c>
      <c r="E495" s="2" t="s">
        <v>12</v>
      </c>
      <c r="F495" s="2" t="s">
        <v>12</v>
      </c>
      <c r="G495" t="s">
        <v>586</v>
      </c>
      <c r="H495" t="str">
        <f t="shared" si="14"/>
        <v>https://videplast.com.br/consulta-imobilizado?id=21000381&amp;nome=CAMISA%20CARBOLOX%20149,606X121,074X890,00%20280%204,8</v>
      </c>
      <c r="I495" t="e">
        <f t="shared" ca="1" si="15"/>
        <v>#NAME?</v>
      </c>
    </row>
    <row r="496" spans="1:9" x14ac:dyDescent="0.25">
      <c r="A496" s="2" t="s">
        <v>793</v>
      </c>
      <c r="B496" s="2" t="s">
        <v>10</v>
      </c>
      <c r="C496" s="3">
        <v>41820</v>
      </c>
      <c r="D496" t="s">
        <v>794</v>
      </c>
      <c r="E496" s="2" t="s">
        <v>795</v>
      </c>
      <c r="F496" s="2" t="s">
        <v>12</v>
      </c>
      <c r="G496" t="s">
        <v>586</v>
      </c>
      <c r="H496" t="str">
        <f t="shared" si="14"/>
        <v>https://videplast.com.br/consulta-imobilizado?id=21000382&amp;nome=IMPRESSORA%20GC%20420-1005A1-00%20ZB</v>
      </c>
      <c r="I496" t="e">
        <f t="shared" ca="1" si="15"/>
        <v>#NAME?</v>
      </c>
    </row>
    <row r="497" spans="1:9" x14ac:dyDescent="0.25">
      <c r="A497" s="2" t="s">
        <v>796</v>
      </c>
      <c r="B497" s="2" t="s">
        <v>10</v>
      </c>
      <c r="C497" s="3">
        <v>41882</v>
      </c>
      <c r="D497" t="s">
        <v>775</v>
      </c>
      <c r="E497" s="2" t="s">
        <v>12</v>
      </c>
      <c r="F497" s="2" t="s">
        <v>797</v>
      </c>
      <c r="G497" t="s">
        <v>586</v>
      </c>
      <c r="H497" t="str">
        <f t="shared" si="14"/>
        <v>https://videplast.com.br/consulta-imobilizado?id=21000385&amp;nome=IMPRESSORA%20ZEBRA%20GC420%20203%20DPI%20COM%20PEEL%20OFF</v>
      </c>
      <c r="I497" t="e">
        <f t="shared" ca="1" si="15"/>
        <v>#NAME?</v>
      </c>
    </row>
    <row r="498" spans="1:9" x14ac:dyDescent="0.25">
      <c r="A498" s="2" t="s">
        <v>796</v>
      </c>
      <c r="B498" s="2" t="s">
        <v>26</v>
      </c>
      <c r="C498" s="3">
        <v>41882</v>
      </c>
      <c r="D498" t="s">
        <v>775</v>
      </c>
      <c r="E498" s="2" t="s">
        <v>12</v>
      </c>
      <c r="F498" s="2" t="s">
        <v>798</v>
      </c>
      <c r="G498" t="s">
        <v>586</v>
      </c>
      <c r="H498" t="str">
        <f t="shared" si="14"/>
        <v>https://videplast.com.br/consulta-imobilizado?id=21000385&amp;nome=IMPRESSORA%20ZEBRA%20GC420%20203%20DPI%20COM%20PEEL%20OFF</v>
      </c>
      <c r="I498" t="e">
        <f t="shared" ca="1" si="15"/>
        <v>#NAME?</v>
      </c>
    </row>
    <row r="499" spans="1:9" x14ac:dyDescent="0.25">
      <c r="A499" s="2" t="s">
        <v>796</v>
      </c>
      <c r="B499" s="2" t="s">
        <v>21</v>
      </c>
      <c r="C499" s="3">
        <v>41882</v>
      </c>
      <c r="D499" t="s">
        <v>775</v>
      </c>
      <c r="E499" s="2" t="s">
        <v>12</v>
      </c>
      <c r="F499" s="2" t="s">
        <v>799</v>
      </c>
      <c r="G499" t="s">
        <v>586</v>
      </c>
      <c r="H499" t="str">
        <f t="shared" si="14"/>
        <v>https://videplast.com.br/consulta-imobilizado?id=21000385&amp;nome=IMPRESSORA%20ZEBRA%20GC420%20203%20DPI%20COM%20PEEL%20OFF</v>
      </c>
      <c r="I499" t="e">
        <f t="shared" ca="1" si="15"/>
        <v>#NAME?</v>
      </c>
    </row>
    <row r="500" spans="1:9" x14ac:dyDescent="0.25">
      <c r="A500" s="2" t="s">
        <v>147</v>
      </c>
      <c r="B500" s="2" t="s">
        <v>10</v>
      </c>
      <c r="C500" s="3">
        <v>41882</v>
      </c>
      <c r="D500" t="s">
        <v>148</v>
      </c>
      <c r="E500" s="2" t="s">
        <v>800</v>
      </c>
      <c r="F500" s="2" t="s">
        <v>801</v>
      </c>
      <c r="G500" t="s">
        <v>586</v>
      </c>
      <c r="H500" t="str">
        <f t="shared" si="14"/>
        <v>https://videplast.com.br/consulta-imobilizado?id=21000387&amp;nome=CARRO%20HIDRAULICO%20TM%202220%20680X1150%20SIMPLES%20NYLON</v>
      </c>
      <c r="I500" t="e">
        <f t="shared" ca="1" si="15"/>
        <v>#NAME?</v>
      </c>
    </row>
    <row r="501" spans="1:9" x14ac:dyDescent="0.25">
      <c r="A501" s="2" t="s">
        <v>147</v>
      </c>
      <c r="B501" s="2" t="s">
        <v>26</v>
      </c>
      <c r="C501" s="3">
        <v>41882</v>
      </c>
      <c r="D501" t="s">
        <v>148</v>
      </c>
      <c r="E501" s="2" t="s">
        <v>802</v>
      </c>
      <c r="F501" s="2" t="s">
        <v>12</v>
      </c>
      <c r="G501" t="s">
        <v>586</v>
      </c>
      <c r="H501" t="str">
        <f t="shared" si="14"/>
        <v>https://videplast.com.br/consulta-imobilizado?id=21000387&amp;nome=CARRO%20HIDRAULICO%20TM%202220%20680X1150%20SIMPLES%20NYLON</v>
      </c>
      <c r="I501" t="e">
        <f t="shared" ca="1" si="15"/>
        <v>#NAME?</v>
      </c>
    </row>
    <row r="502" spans="1:9" x14ac:dyDescent="0.25">
      <c r="A502" s="2" t="s">
        <v>803</v>
      </c>
      <c r="B502" s="2" t="s">
        <v>10</v>
      </c>
      <c r="C502" s="3">
        <v>41912</v>
      </c>
      <c r="D502" t="s">
        <v>804</v>
      </c>
      <c r="E502" s="2" t="s">
        <v>805</v>
      </c>
      <c r="F502" s="2" t="s">
        <v>12</v>
      </c>
      <c r="G502" t="s">
        <v>586</v>
      </c>
      <c r="H502" t="str">
        <f t="shared" si="14"/>
        <v>https://videplast.com.br/consulta-imobilizado?id=21000391&amp;nome=LAVADORA%20STIHL%20RE%20143%2047680124507</v>
      </c>
      <c r="I502" t="e">
        <f t="shared" ca="1" si="15"/>
        <v>#NAME?</v>
      </c>
    </row>
    <row r="503" spans="1:9" x14ac:dyDescent="0.25">
      <c r="A503" s="2" t="s">
        <v>806</v>
      </c>
      <c r="B503" s="2" t="s">
        <v>10</v>
      </c>
      <c r="C503" s="3">
        <v>41943</v>
      </c>
      <c r="D503" t="s">
        <v>807</v>
      </c>
      <c r="E503" s="2" t="s">
        <v>12</v>
      </c>
      <c r="F503" s="2" t="s">
        <v>12</v>
      </c>
      <c r="G503" t="s">
        <v>586</v>
      </c>
      <c r="H503" t="str">
        <f t="shared" si="14"/>
        <v>https://videplast.com.br/consulta-imobilizado?id=21000396&amp;nome=CHUVEIRO%20E%20LAVA-OLHOS%20DE%20EMERGENCIA%20COMBAT</v>
      </c>
      <c r="I503" t="e">
        <f t="shared" ca="1" si="15"/>
        <v>#NAME?</v>
      </c>
    </row>
    <row r="504" spans="1:9" x14ac:dyDescent="0.25">
      <c r="A504" s="2" t="s">
        <v>808</v>
      </c>
      <c r="B504" s="2" t="s">
        <v>10</v>
      </c>
      <c r="C504" s="3">
        <v>41943</v>
      </c>
      <c r="D504" t="s">
        <v>809</v>
      </c>
      <c r="E504" s="2" t="s">
        <v>12</v>
      </c>
      <c r="F504" s="2" t="s">
        <v>12</v>
      </c>
      <c r="G504" t="s">
        <v>586</v>
      </c>
      <c r="H504" t="str">
        <f t="shared" si="14"/>
        <v>https://videplast.com.br/consulta-imobilizado?id=21000397&amp;nome=CAMARAS%20DOCTOR%20BLADE%20DE%20TROCA%20RAPIDA%20FDBH</v>
      </c>
      <c r="I504" t="e">
        <f t="shared" ca="1" si="15"/>
        <v>#NAME?</v>
      </c>
    </row>
    <row r="505" spans="1:9" x14ac:dyDescent="0.25">
      <c r="A505" s="2" t="s">
        <v>810</v>
      </c>
      <c r="B505" s="2" t="s">
        <v>10</v>
      </c>
      <c r="C505" s="3">
        <v>42004</v>
      </c>
      <c r="D505" t="s">
        <v>811</v>
      </c>
      <c r="E505" s="2" t="s">
        <v>812</v>
      </c>
      <c r="F505" s="2" t="s">
        <v>813</v>
      </c>
      <c r="G505" t="s">
        <v>586</v>
      </c>
      <c r="H505" t="str">
        <f t="shared" si="14"/>
        <v>https://videplast.com.br/consulta-imobilizado?id=21000404&amp;nome=IMPRESORA%20ZEBRA%20GC420%20203DPI%20104MM</v>
      </c>
      <c r="I505" t="e">
        <f t="shared" ca="1" si="15"/>
        <v>#NAME?</v>
      </c>
    </row>
    <row r="506" spans="1:9" x14ac:dyDescent="0.25">
      <c r="A506" s="2" t="s">
        <v>810</v>
      </c>
      <c r="B506" s="2" t="s">
        <v>26</v>
      </c>
      <c r="C506" s="3">
        <v>42004</v>
      </c>
      <c r="D506" t="s">
        <v>811</v>
      </c>
      <c r="E506" s="2" t="s">
        <v>814</v>
      </c>
      <c r="F506" s="2" t="s">
        <v>815</v>
      </c>
      <c r="G506" t="s">
        <v>586</v>
      </c>
      <c r="H506" t="str">
        <f t="shared" si="14"/>
        <v>https://videplast.com.br/consulta-imobilizado?id=21000404&amp;nome=IMPRESORA%20ZEBRA%20GC420%20203DPI%20104MM</v>
      </c>
      <c r="I506" t="e">
        <f t="shared" ca="1" si="15"/>
        <v>#NAME?</v>
      </c>
    </row>
    <row r="507" spans="1:9" x14ac:dyDescent="0.25">
      <c r="A507" s="2" t="s">
        <v>816</v>
      </c>
      <c r="B507" s="2" t="s">
        <v>10</v>
      </c>
      <c r="C507" s="3">
        <v>42004</v>
      </c>
      <c r="D507" t="s">
        <v>817</v>
      </c>
      <c r="E507" s="2" t="s">
        <v>818</v>
      </c>
      <c r="F507" s="2" t="s">
        <v>12</v>
      </c>
      <c r="G507" t="s">
        <v>586</v>
      </c>
      <c r="H507" t="str">
        <f t="shared" si="14"/>
        <v>https://videplast.com.br/consulta-imobilizado?id=21000406&amp;nome=CHUVEIRO%20E%20LAVAOHOS%20DE%20EMERGENCIA%20MODELO%20COMBAT</v>
      </c>
      <c r="I507" t="e">
        <f t="shared" ca="1" si="15"/>
        <v>#NAME?</v>
      </c>
    </row>
    <row r="508" spans="1:9" x14ac:dyDescent="0.25">
      <c r="A508" s="2" t="s">
        <v>819</v>
      </c>
      <c r="B508" s="2" t="s">
        <v>10</v>
      </c>
      <c r="C508" s="3">
        <v>38160</v>
      </c>
      <c r="D508" t="s">
        <v>820</v>
      </c>
      <c r="E508" s="2" t="s">
        <v>12</v>
      </c>
      <c r="F508" s="2" t="s">
        <v>12</v>
      </c>
      <c r="G508" t="s">
        <v>586</v>
      </c>
      <c r="H508" t="str">
        <f t="shared" si="14"/>
        <v>https://videplast.com.br/consulta-imobilizado?id=21000412&amp;nome=CABO%20FLEXIVEL%201X50MM2%20PARA%20IMPRESSAO</v>
      </c>
      <c r="I508" t="e">
        <f t="shared" ca="1" si="15"/>
        <v>#NAME?</v>
      </c>
    </row>
    <row r="509" spans="1:9" x14ac:dyDescent="0.25">
      <c r="A509" s="2" t="s">
        <v>821</v>
      </c>
      <c r="B509" s="2" t="s">
        <v>10</v>
      </c>
      <c r="C509" s="3">
        <v>38713</v>
      </c>
      <c r="D509" t="s">
        <v>822</v>
      </c>
      <c r="E509" s="2" t="s">
        <v>12</v>
      </c>
      <c r="F509" s="2" t="s">
        <v>12</v>
      </c>
      <c r="G509" t="s">
        <v>586</v>
      </c>
      <c r="H509" t="str">
        <f t="shared" si="14"/>
        <v>https://videplast.com.br/consulta-imobilizado?id=21000430&amp;nome=MATERIAIS%20USADOS%20NA%20INSTALACAO%20DE%20IMPRESSORA</v>
      </c>
      <c r="I509" t="e">
        <f t="shared" ca="1" si="15"/>
        <v>#NAME?</v>
      </c>
    </row>
    <row r="510" spans="1:9" x14ac:dyDescent="0.25">
      <c r="A510" s="2" t="s">
        <v>823</v>
      </c>
      <c r="B510" s="2" t="s">
        <v>10</v>
      </c>
      <c r="C510" s="3">
        <v>38713</v>
      </c>
      <c r="D510" t="s">
        <v>822</v>
      </c>
      <c r="E510" s="2" t="s">
        <v>12</v>
      </c>
      <c r="F510" s="2" t="s">
        <v>12</v>
      </c>
      <c r="G510" t="s">
        <v>586</v>
      </c>
      <c r="H510" t="str">
        <f t="shared" si="14"/>
        <v>https://videplast.com.br/consulta-imobilizado?id=21000431&amp;nome=MATERIAIS%20USADOS%20NA%20INSTALACAO%20DE%20IMPRESSORA</v>
      </c>
      <c r="I510" t="e">
        <f t="shared" ca="1" si="15"/>
        <v>#NAME?</v>
      </c>
    </row>
    <row r="511" spans="1:9" x14ac:dyDescent="0.25">
      <c r="A511" s="2" t="s">
        <v>824</v>
      </c>
      <c r="B511" s="2" t="s">
        <v>10</v>
      </c>
      <c r="C511" s="3">
        <v>38702</v>
      </c>
      <c r="D511" t="s">
        <v>822</v>
      </c>
      <c r="E511" s="2" t="s">
        <v>12</v>
      </c>
      <c r="F511" s="2" t="s">
        <v>12</v>
      </c>
      <c r="G511" t="s">
        <v>586</v>
      </c>
      <c r="H511" t="str">
        <f t="shared" si="14"/>
        <v>https://videplast.com.br/consulta-imobilizado?id=21000432&amp;nome=MATERIAIS%20USADOS%20NA%20INSTALACAO%20DE%20IMPRESSORA</v>
      </c>
      <c r="I511" t="e">
        <f t="shared" ca="1" si="15"/>
        <v>#NAME?</v>
      </c>
    </row>
    <row r="512" spans="1:9" x14ac:dyDescent="0.25">
      <c r="A512" s="2" t="s">
        <v>825</v>
      </c>
      <c r="B512" s="2" t="s">
        <v>10</v>
      </c>
      <c r="C512" s="3">
        <v>38702</v>
      </c>
      <c r="D512" t="s">
        <v>822</v>
      </c>
      <c r="E512" s="2" t="s">
        <v>12</v>
      </c>
      <c r="F512" s="2" t="s">
        <v>12</v>
      </c>
      <c r="G512" t="s">
        <v>586</v>
      </c>
      <c r="H512" t="str">
        <f t="shared" si="14"/>
        <v>https://videplast.com.br/consulta-imobilizado?id=21000433&amp;nome=MATERIAIS%20USADOS%20NA%20INSTALACAO%20DE%20IMPRESSORA</v>
      </c>
      <c r="I512" t="e">
        <f t="shared" ca="1" si="15"/>
        <v>#NAME?</v>
      </c>
    </row>
    <row r="513" spans="1:9" x14ac:dyDescent="0.25">
      <c r="A513" s="2" t="s">
        <v>826</v>
      </c>
      <c r="B513" s="2" t="s">
        <v>10</v>
      </c>
      <c r="C513" s="3">
        <v>38702</v>
      </c>
      <c r="D513" t="s">
        <v>822</v>
      </c>
      <c r="E513" s="2" t="s">
        <v>12</v>
      </c>
      <c r="F513" s="2" t="s">
        <v>12</v>
      </c>
      <c r="G513" t="s">
        <v>586</v>
      </c>
      <c r="H513" t="str">
        <f t="shared" si="14"/>
        <v>https://videplast.com.br/consulta-imobilizado?id=21000434&amp;nome=MATERIAIS%20USADOS%20NA%20INSTALACAO%20DE%20IMPRESSORA</v>
      </c>
      <c r="I513" t="e">
        <f t="shared" ca="1" si="15"/>
        <v>#NAME?</v>
      </c>
    </row>
    <row r="514" spans="1:9" x14ac:dyDescent="0.25">
      <c r="A514" s="2" t="s">
        <v>827</v>
      </c>
      <c r="B514" s="2" t="s">
        <v>10</v>
      </c>
      <c r="C514" s="3">
        <v>38706</v>
      </c>
      <c r="D514" t="s">
        <v>822</v>
      </c>
      <c r="E514" s="2" t="s">
        <v>12</v>
      </c>
      <c r="F514" s="2" t="s">
        <v>12</v>
      </c>
      <c r="G514" t="s">
        <v>586</v>
      </c>
      <c r="H514" t="str">
        <f t="shared" ref="H514:H577" si="16" xml:space="preserve"> "https://videplast.com.br/consulta-imobilizado?id=" &amp; A514 &amp; "&amp;nome=" &amp; SUBSTITUTE(D514, " ", "%20")</f>
        <v>https://videplast.com.br/consulta-imobilizado?id=21000435&amp;nome=MATERIAIS%20USADOS%20NA%20INSTALACAO%20DE%20IMPRESSORA</v>
      </c>
      <c r="I514" t="e">
        <f t="shared" ref="I514:I577" ca="1" si="17">_xlfn.IMAGE("https://chart.googleapis.com/chart?chs=150x150&amp;cht=qr&amp;chl=" &amp; H514)</f>
        <v>#NAME?</v>
      </c>
    </row>
    <row r="515" spans="1:9" x14ac:dyDescent="0.25">
      <c r="A515" s="2" t="s">
        <v>828</v>
      </c>
      <c r="B515" s="2" t="s">
        <v>10</v>
      </c>
      <c r="C515" s="3">
        <v>38944</v>
      </c>
      <c r="D515" t="s">
        <v>829</v>
      </c>
      <c r="E515" s="2" t="s">
        <v>12</v>
      </c>
      <c r="F515" s="2" t="s">
        <v>12</v>
      </c>
      <c r="G515" t="s">
        <v>586</v>
      </c>
      <c r="H515" t="str">
        <f t="shared" si="16"/>
        <v>https://videplast.com.br/consulta-imobilizado?id=21000451&amp;nome=10%20CARRINHOS%20PORTA%20CLICHES</v>
      </c>
      <c r="I515" t="e">
        <f t="shared" ca="1" si="17"/>
        <v>#NAME?</v>
      </c>
    </row>
    <row r="516" spans="1:9" x14ac:dyDescent="0.25">
      <c r="A516" s="2" t="s">
        <v>830</v>
      </c>
      <c r="B516" s="2" t="s">
        <v>10</v>
      </c>
      <c r="C516" s="3">
        <v>39107</v>
      </c>
      <c r="D516" t="s">
        <v>831</v>
      </c>
      <c r="E516" s="2" t="s">
        <v>12</v>
      </c>
      <c r="F516" s="2" t="s">
        <v>12</v>
      </c>
      <c r="G516" t="s">
        <v>586</v>
      </c>
      <c r="H516" t="str">
        <f t="shared" si="16"/>
        <v>https://videplast.com.br/consulta-imobilizado?id=21000462&amp;nome=BOMBA%20DE%20COMBUSTIVEL</v>
      </c>
      <c r="I516" t="e">
        <f t="shared" ca="1" si="17"/>
        <v>#NAME?</v>
      </c>
    </row>
    <row r="517" spans="1:9" x14ac:dyDescent="0.25">
      <c r="A517" s="2" t="s">
        <v>832</v>
      </c>
      <c r="B517" s="2" t="s">
        <v>10</v>
      </c>
      <c r="C517" s="3">
        <v>39182</v>
      </c>
      <c r="D517" t="s">
        <v>833</v>
      </c>
      <c r="E517" s="2" t="s">
        <v>12</v>
      </c>
      <c r="F517" s="2" t="s">
        <v>12</v>
      </c>
      <c r="G517" t="s">
        <v>586</v>
      </c>
      <c r="H517" t="str">
        <f t="shared" si="16"/>
        <v>https://videplast.com.br/consulta-imobilizado?id=21000469&amp;nome=56%20ENGRENAGENS%20DURAFLEX%20Z</v>
      </c>
      <c r="I517" t="e">
        <f t="shared" ca="1" si="17"/>
        <v>#NAME?</v>
      </c>
    </row>
    <row r="518" spans="1:9" x14ac:dyDescent="0.25">
      <c r="A518" s="2" t="s">
        <v>834</v>
      </c>
      <c r="B518" s="2" t="s">
        <v>10</v>
      </c>
      <c r="C518" s="3">
        <v>39199</v>
      </c>
      <c r="D518" t="s">
        <v>835</v>
      </c>
      <c r="E518" s="2" t="s">
        <v>12</v>
      </c>
      <c r="F518" s="2" t="s">
        <v>12</v>
      </c>
      <c r="G518" t="s">
        <v>586</v>
      </c>
      <c r="H518" t="str">
        <f t="shared" si="16"/>
        <v>https://videplast.com.br/consulta-imobilizado?id=21000472&amp;nome=MAO%20DE%20OBRA%20EM%20SERVICOS%20ELETRICOS%20P/%20ATERRAMENTO</v>
      </c>
      <c r="I518" t="e">
        <f t="shared" ca="1" si="17"/>
        <v>#NAME?</v>
      </c>
    </row>
    <row r="519" spans="1:9" x14ac:dyDescent="0.25">
      <c r="A519" s="2" t="s">
        <v>836</v>
      </c>
      <c r="B519" s="2" t="s">
        <v>10</v>
      </c>
      <c r="C519" s="3">
        <v>39225</v>
      </c>
      <c r="D519" t="s">
        <v>837</v>
      </c>
      <c r="E519" s="2" t="s">
        <v>12</v>
      </c>
      <c r="F519" s="2" t="s">
        <v>12</v>
      </c>
      <c r="G519" t="s">
        <v>586</v>
      </c>
      <c r="H519" t="str">
        <f t="shared" si="16"/>
        <v>https://videplast.com.br/consulta-imobilizado?id=21000474&amp;nome=EMPILHADEIRA%20MANUAL%20500KG</v>
      </c>
      <c r="I519" t="e">
        <f t="shared" ca="1" si="17"/>
        <v>#NAME?</v>
      </c>
    </row>
    <row r="520" spans="1:9" x14ac:dyDescent="0.25">
      <c r="A520" s="2" t="s">
        <v>838</v>
      </c>
      <c r="B520" s="2" t="s">
        <v>10</v>
      </c>
      <c r="C520" s="3">
        <v>39212</v>
      </c>
      <c r="D520" t="s">
        <v>839</v>
      </c>
      <c r="E520" s="2" t="s">
        <v>12</v>
      </c>
      <c r="F520" s="2" t="s">
        <v>12</v>
      </c>
      <c r="G520" t="s">
        <v>586</v>
      </c>
      <c r="H520" t="str">
        <f t="shared" si="16"/>
        <v>https://videplast.com.br/consulta-imobilizado?id=21000476&amp;nome=FERR%20CANTONEIRA,FERRO%20CHATO,ACO%20TERF%20E%20NYLON</v>
      </c>
      <c r="I520" t="e">
        <f t="shared" ca="1" si="17"/>
        <v>#NAME?</v>
      </c>
    </row>
    <row r="521" spans="1:9" x14ac:dyDescent="0.25">
      <c r="A521" s="2" t="s">
        <v>840</v>
      </c>
      <c r="B521" s="2" t="s">
        <v>26</v>
      </c>
      <c r="C521" s="3">
        <v>39231</v>
      </c>
      <c r="D521" t="s">
        <v>841</v>
      </c>
      <c r="E521" s="2" t="s">
        <v>12</v>
      </c>
      <c r="F521" s="2" t="s">
        <v>12</v>
      </c>
      <c r="G521" t="s">
        <v>586</v>
      </c>
      <c r="H521" t="str">
        <f t="shared" si="16"/>
        <v>https://videplast.com.br/consulta-imobilizado?id=21000481&amp;nome=8%20COROAS%20DENTADAS%20DURAFLEX</v>
      </c>
      <c r="I521" t="e">
        <f t="shared" ca="1" si="17"/>
        <v>#NAME?</v>
      </c>
    </row>
    <row r="522" spans="1:9" x14ac:dyDescent="0.25">
      <c r="A522" s="2" t="s">
        <v>842</v>
      </c>
      <c r="B522" s="2" t="s">
        <v>10</v>
      </c>
      <c r="C522" s="3">
        <v>39254</v>
      </c>
      <c r="D522" t="s">
        <v>843</v>
      </c>
      <c r="E522" s="2" t="s">
        <v>12</v>
      </c>
      <c r="F522" s="2" t="s">
        <v>12</v>
      </c>
      <c r="G522" t="s">
        <v>586</v>
      </c>
      <c r="H522" t="str">
        <f t="shared" si="16"/>
        <v>https://videplast.com.br/consulta-imobilizado?id=21000488&amp;nome=CARRINHO%20FABRICACAO%20INTERNA</v>
      </c>
      <c r="I522" t="e">
        <f t="shared" ca="1" si="17"/>
        <v>#NAME?</v>
      </c>
    </row>
    <row r="523" spans="1:9" x14ac:dyDescent="0.25">
      <c r="A523" s="2" t="s">
        <v>842</v>
      </c>
      <c r="B523" s="2" t="s">
        <v>26</v>
      </c>
      <c r="C523" s="3">
        <v>39254</v>
      </c>
      <c r="D523" t="s">
        <v>844</v>
      </c>
      <c r="E523" s="2" t="s">
        <v>12</v>
      </c>
      <c r="F523" s="2" t="s">
        <v>12</v>
      </c>
      <c r="G523" t="s">
        <v>586</v>
      </c>
      <c r="H523" t="str">
        <f t="shared" si="16"/>
        <v>https://videplast.com.br/consulta-imobilizado?id=21000488&amp;nome=METALON%2030%20X%2030%20N18%20PARA%20CONFECCAO%20DO%20CARRINHO</v>
      </c>
      <c r="I523" t="e">
        <f t="shared" ca="1" si="17"/>
        <v>#NAME?</v>
      </c>
    </row>
    <row r="524" spans="1:9" x14ac:dyDescent="0.25">
      <c r="A524" s="2" t="s">
        <v>845</v>
      </c>
      <c r="B524" s="2" t="s">
        <v>10</v>
      </c>
      <c r="C524" s="3">
        <v>39247</v>
      </c>
      <c r="D524" t="s">
        <v>846</v>
      </c>
      <c r="E524" s="2" t="s">
        <v>12</v>
      </c>
      <c r="F524" s="2" t="s">
        <v>12</v>
      </c>
      <c r="G524" t="s">
        <v>586</v>
      </c>
      <c r="H524" t="str">
        <f t="shared" si="16"/>
        <v>https://videplast.com.br/consulta-imobilizado?id=21000491&amp;nome=IMPRESSOR%20TERMICO%20TP-80-B</v>
      </c>
      <c r="I524" t="e">
        <f t="shared" ca="1" si="17"/>
        <v>#NAME?</v>
      </c>
    </row>
    <row r="525" spans="1:9" x14ac:dyDescent="0.25">
      <c r="A525" s="2" t="s">
        <v>847</v>
      </c>
      <c r="B525" s="2" t="s">
        <v>10</v>
      </c>
      <c r="C525" s="3">
        <v>39248</v>
      </c>
      <c r="D525" t="s">
        <v>846</v>
      </c>
      <c r="E525" s="2" t="s">
        <v>12</v>
      </c>
      <c r="F525" s="2" t="s">
        <v>12</v>
      </c>
      <c r="G525" t="s">
        <v>586</v>
      </c>
      <c r="H525" t="str">
        <f t="shared" si="16"/>
        <v>https://videplast.com.br/consulta-imobilizado?id=21000492&amp;nome=IMPRESSOR%20TERMICO%20TP-80-B</v>
      </c>
      <c r="I525" t="e">
        <f t="shared" ca="1" si="17"/>
        <v>#NAME?</v>
      </c>
    </row>
    <row r="526" spans="1:9" x14ac:dyDescent="0.25">
      <c r="A526" s="2" t="s">
        <v>848</v>
      </c>
      <c r="B526" s="2" t="s">
        <v>10</v>
      </c>
      <c r="C526" s="3">
        <v>39377</v>
      </c>
      <c r="D526" t="s">
        <v>849</v>
      </c>
      <c r="E526" s="2" t="s">
        <v>12</v>
      </c>
      <c r="F526" s="2" t="s">
        <v>12</v>
      </c>
      <c r="G526" t="s">
        <v>586</v>
      </c>
      <c r="H526" t="str">
        <f t="shared" si="16"/>
        <v>https://videplast.com.br/consulta-imobilizado?id=21000497&amp;nome=ENGRENAGEM%20DURAFLEX</v>
      </c>
      <c r="I526" t="e">
        <f t="shared" ca="1" si="17"/>
        <v>#NAME?</v>
      </c>
    </row>
    <row r="527" spans="1:9" x14ac:dyDescent="0.25">
      <c r="A527" s="2" t="s">
        <v>850</v>
      </c>
      <c r="B527" s="2" t="s">
        <v>10</v>
      </c>
      <c r="C527" s="3">
        <v>39428</v>
      </c>
      <c r="D527" t="s">
        <v>851</v>
      </c>
      <c r="E527" s="2" t="s">
        <v>12</v>
      </c>
      <c r="F527" s="2" t="s">
        <v>12</v>
      </c>
      <c r="G527" t="s">
        <v>586</v>
      </c>
      <c r="H527" t="str">
        <f t="shared" si="16"/>
        <v>https://videplast.com.br/consulta-imobilizado?id=21000506&amp;nome=165M%20DE%20CABO%20FLEX%201X150,55%20MTS%20DE%20CABO%20FLEX%201X70</v>
      </c>
      <c r="I527" t="e">
        <f t="shared" ca="1" si="17"/>
        <v>#NAME?</v>
      </c>
    </row>
    <row r="528" spans="1:9" x14ac:dyDescent="0.25">
      <c r="A528" s="2" t="s">
        <v>852</v>
      </c>
      <c r="B528" s="2" t="s">
        <v>10</v>
      </c>
      <c r="C528" s="3">
        <v>39428</v>
      </c>
      <c r="D528" t="s">
        <v>853</v>
      </c>
      <c r="E528" s="2" t="s">
        <v>854</v>
      </c>
      <c r="F528" s="2" t="s">
        <v>12</v>
      </c>
      <c r="G528" t="s">
        <v>586</v>
      </c>
      <c r="H528" t="str">
        <f t="shared" si="16"/>
        <v>https://videplast.com.br/consulta-imobilizado?id=21000509&amp;nome=PALETEIRAS%20M25%20COM%20RODAS%20DE%20NYLON</v>
      </c>
      <c r="I528" t="e">
        <f t="shared" ca="1" si="17"/>
        <v>#NAME?</v>
      </c>
    </row>
    <row r="529" spans="1:9" x14ac:dyDescent="0.25">
      <c r="A529" s="2" t="s">
        <v>855</v>
      </c>
      <c r="B529" s="2" t="s">
        <v>10</v>
      </c>
      <c r="C529" s="3">
        <v>39428</v>
      </c>
      <c r="D529" t="s">
        <v>856</v>
      </c>
      <c r="E529" s="2" t="s">
        <v>12</v>
      </c>
      <c r="F529" s="2" t="s">
        <v>12</v>
      </c>
      <c r="G529" t="s">
        <v>586</v>
      </c>
      <c r="H529" t="str">
        <f t="shared" si="16"/>
        <v>https://videplast.com.br/consulta-imobilizado?id=21000510&amp;nome=DISJUNTOR%20TRIPOLAR</v>
      </c>
      <c r="I529" t="e">
        <f t="shared" ca="1" si="17"/>
        <v>#NAME?</v>
      </c>
    </row>
    <row r="530" spans="1:9" x14ac:dyDescent="0.25">
      <c r="A530" s="2" t="s">
        <v>857</v>
      </c>
      <c r="B530" s="2" t="s">
        <v>10</v>
      </c>
      <c r="C530" s="3">
        <v>39452</v>
      </c>
      <c r="D530" t="s">
        <v>858</v>
      </c>
      <c r="E530" s="2" t="s">
        <v>12</v>
      </c>
      <c r="F530" s="2" t="s">
        <v>12</v>
      </c>
      <c r="G530" t="s">
        <v>586</v>
      </c>
      <c r="H530" t="str">
        <f t="shared" si="16"/>
        <v>https://videplast.com.br/consulta-imobilizado?id=21000516&amp;nome=ENGRENAGEM</v>
      </c>
      <c r="I530" t="e">
        <f t="shared" ca="1" si="17"/>
        <v>#NAME?</v>
      </c>
    </row>
    <row r="531" spans="1:9" x14ac:dyDescent="0.25">
      <c r="A531" s="2" t="s">
        <v>859</v>
      </c>
      <c r="B531" s="2" t="s">
        <v>10</v>
      </c>
      <c r="C531" s="3">
        <v>39462</v>
      </c>
      <c r="D531" t="s">
        <v>860</v>
      </c>
      <c r="E531" s="2" t="s">
        <v>12</v>
      </c>
      <c r="F531" s="2" t="s">
        <v>12</v>
      </c>
      <c r="G531" t="s">
        <v>586</v>
      </c>
      <c r="H531" t="str">
        <f t="shared" si="16"/>
        <v>https://videplast.com.br/consulta-imobilizado?id=21000517&amp;nome=MATERIAIS%20PARA%20FABRICACAO%20DE%20KIT%20ANILOX</v>
      </c>
      <c r="I531" t="e">
        <f t="shared" ca="1" si="17"/>
        <v>#NAME?</v>
      </c>
    </row>
    <row r="532" spans="1:9" x14ac:dyDescent="0.25">
      <c r="A532" s="2" t="s">
        <v>859</v>
      </c>
      <c r="B532" s="2" t="s">
        <v>26</v>
      </c>
      <c r="C532" s="3">
        <v>45499</v>
      </c>
      <c r="D532" t="s">
        <v>861</v>
      </c>
      <c r="E532" s="2" t="s">
        <v>12</v>
      </c>
      <c r="F532" s="2" t="s">
        <v>12</v>
      </c>
      <c r="G532" t="s">
        <v>586</v>
      </c>
      <c r="H532" t="str">
        <f t="shared" si="16"/>
        <v>https://videplast.com.br/consulta-imobilizado?id=21000517&amp;nome=FRETE%20P/TRANSPORTE%20%20DE%20PECAS%20KIT%20ANILOX</v>
      </c>
      <c r="I532" t="e">
        <f t="shared" ca="1" si="17"/>
        <v>#NAME?</v>
      </c>
    </row>
    <row r="533" spans="1:9" x14ac:dyDescent="0.25">
      <c r="A533" s="2" t="s">
        <v>859</v>
      </c>
      <c r="B533" s="2" t="s">
        <v>21</v>
      </c>
      <c r="C533" s="3">
        <v>45499</v>
      </c>
      <c r="D533" t="s">
        <v>860</v>
      </c>
      <c r="E533" s="2" t="s">
        <v>12</v>
      </c>
      <c r="F533" s="2" t="s">
        <v>12</v>
      </c>
      <c r="G533" t="s">
        <v>586</v>
      </c>
      <c r="H533" t="str">
        <f t="shared" si="16"/>
        <v>https://videplast.com.br/consulta-imobilizado?id=21000517&amp;nome=MATERIAIS%20PARA%20FABRICACAO%20DE%20KIT%20ANILOX</v>
      </c>
      <c r="I533" t="e">
        <f t="shared" ca="1" si="17"/>
        <v>#NAME?</v>
      </c>
    </row>
    <row r="534" spans="1:9" x14ac:dyDescent="0.25">
      <c r="A534" s="2" t="s">
        <v>859</v>
      </c>
      <c r="B534" s="2" t="s">
        <v>29</v>
      </c>
      <c r="C534" s="3">
        <v>45499</v>
      </c>
      <c r="D534" t="s">
        <v>862</v>
      </c>
      <c r="E534" s="2" t="s">
        <v>12</v>
      </c>
      <c r="F534" s="2" t="s">
        <v>12</v>
      </c>
      <c r="G534" t="s">
        <v>586</v>
      </c>
      <c r="H534" t="str">
        <f t="shared" si="16"/>
        <v>https://videplast.com.br/consulta-imobilizado?id=21000517&amp;nome=FRETE%20P/TRANSPORTE%20DE%20PECAS</v>
      </c>
      <c r="I534" t="e">
        <f t="shared" ca="1" si="17"/>
        <v>#NAME?</v>
      </c>
    </row>
    <row r="535" spans="1:9" x14ac:dyDescent="0.25">
      <c r="A535" s="2" t="s">
        <v>863</v>
      </c>
      <c r="B535" s="2" t="s">
        <v>10</v>
      </c>
      <c r="C535" s="3">
        <v>39457</v>
      </c>
      <c r="D535" t="s">
        <v>864</v>
      </c>
      <c r="E535" s="2" t="s">
        <v>12</v>
      </c>
      <c r="F535" s="2" t="s">
        <v>12</v>
      </c>
      <c r="G535" t="s">
        <v>586</v>
      </c>
      <c r="H535" t="str">
        <f t="shared" si="16"/>
        <v>https://videplast.com.br/consulta-imobilizado?id=21000522&amp;nome=12%20ENGRENAGEM</v>
      </c>
      <c r="I535" t="e">
        <f t="shared" ca="1" si="17"/>
        <v>#NAME?</v>
      </c>
    </row>
    <row r="536" spans="1:9" x14ac:dyDescent="0.25">
      <c r="A536" s="2" t="s">
        <v>863</v>
      </c>
      <c r="B536" s="2" t="s">
        <v>26</v>
      </c>
      <c r="C536" s="3">
        <v>45499</v>
      </c>
      <c r="D536" t="s">
        <v>865</v>
      </c>
      <c r="E536" s="2" t="s">
        <v>12</v>
      </c>
      <c r="F536" s="2" t="s">
        <v>12</v>
      </c>
      <c r="G536" t="s">
        <v>586</v>
      </c>
      <c r="H536" t="str">
        <f t="shared" si="16"/>
        <v>https://videplast.com.br/consulta-imobilizado?id=21000522&amp;nome=FRETE%20P/TRANSPORTE%20DE%20ENGRENAGEM</v>
      </c>
      <c r="I536" t="e">
        <f t="shared" ca="1" si="17"/>
        <v>#NAME?</v>
      </c>
    </row>
    <row r="537" spans="1:9" x14ac:dyDescent="0.25">
      <c r="A537" s="2" t="s">
        <v>866</v>
      </c>
      <c r="B537" s="2" t="s">
        <v>26</v>
      </c>
      <c r="C537" s="3">
        <v>45499</v>
      </c>
      <c r="D537" t="s">
        <v>865</v>
      </c>
      <c r="E537" s="2" t="s">
        <v>12</v>
      </c>
      <c r="F537" s="2" t="s">
        <v>12</v>
      </c>
      <c r="G537" t="s">
        <v>586</v>
      </c>
      <c r="H537" t="str">
        <f t="shared" si="16"/>
        <v>https://videplast.com.br/consulta-imobilizado?id=21000526&amp;nome=FRETE%20P/TRANSPORTE%20DE%20ENGRENAGEM</v>
      </c>
      <c r="I537" t="e">
        <f t="shared" ca="1" si="17"/>
        <v>#NAME?</v>
      </c>
    </row>
    <row r="538" spans="1:9" x14ac:dyDescent="0.25">
      <c r="A538" s="2" t="s">
        <v>867</v>
      </c>
      <c r="B538" s="2" t="s">
        <v>10</v>
      </c>
      <c r="C538" s="3">
        <v>39504</v>
      </c>
      <c r="D538" t="s">
        <v>868</v>
      </c>
      <c r="E538" s="2" t="s">
        <v>12</v>
      </c>
      <c r="F538" s="2" t="s">
        <v>12</v>
      </c>
      <c r="G538" t="s">
        <v>586</v>
      </c>
      <c r="H538" t="str">
        <f t="shared" si="16"/>
        <v>https://videplast.com.br/consulta-imobilizado?id=21000527&amp;nome=3000%20IMA%20CILINDRO</v>
      </c>
      <c r="I538" t="e">
        <f t="shared" ca="1" si="17"/>
        <v>#NAME?</v>
      </c>
    </row>
    <row r="539" spans="1:9" x14ac:dyDescent="0.25">
      <c r="A539" s="2" t="s">
        <v>867</v>
      </c>
      <c r="B539" s="2" t="s">
        <v>26</v>
      </c>
      <c r="C539" s="3">
        <v>45499</v>
      </c>
      <c r="D539" t="s">
        <v>869</v>
      </c>
      <c r="E539" s="2" t="s">
        <v>12</v>
      </c>
      <c r="F539" s="2" t="s">
        <v>12</v>
      </c>
      <c r="G539" t="s">
        <v>586</v>
      </c>
      <c r="H539" t="str">
        <f t="shared" si="16"/>
        <v>https://videplast.com.br/consulta-imobilizado?id=21000527&amp;nome=FRETE%20P/%20TRANSPORTE%20DE%203000%20IMA</v>
      </c>
      <c r="I539" t="e">
        <f t="shared" ca="1" si="17"/>
        <v>#NAME?</v>
      </c>
    </row>
    <row r="540" spans="1:9" x14ac:dyDescent="0.25">
      <c r="A540" s="2" t="s">
        <v>870</v>
      </c>
      <c r="B540" s="2" t="s">
        <v>10</v>
      </c>
      <c r="C540" s="3">
        <v>39489</v>
      </c>
      <c r="D540" t="s">
        <v>871</v>
      </c>
      <c r="E540" s="2" t="s">
        <v>12</v>
      </c>
      <c r="F540" s="2" t="s">
        <v>12</v>
      </c>
      <c r="G540" t="s">
        <v>586</v>
      </c>
      <c r="H540" t="str">
        <f t="shared" si="16"/>
        <v>https://videplast.com.br/consulta-imobilizado?id=21000534&amp;nome=5%20ENGRENAGEM%20DE%20FERRO%20FUNDIDO</v>
      </c>
      <c r="I540" t="e">
        <f t="shared" ca="1" si="17"/>
        <v>#NAME?</v>
      </c>
    </row>
    <row r="541" spans="1:9" x14ac:dyDescent="0.25">
      <c r="A541" s="2" t="s">
        <v>870</v>
      </c>
      <c r="B541" s="2" t="s">
        <v>26</v>
      </c>
      <c r="C541" s="3">
        <v>45499</v>
      </c>
      <c r="D541" t="s">
        <v>872</v>
      </c>
      <c r="E541" s="2" t="s">
        <v>12</v>
      </c>
      <c r="F541" s="2" t="s">
        <v>12</v>
      </c>
      <c r="G541" t="s">
        <v>586</v>
      </c>
      <c r="H541" t="str">
        <f t="shared" si="16"/>
        <v>https://videplast.com.br/consulta-imobilizado?id=21000534&amp;nome=FRETE%20P/TRANSPORTE%20DE%205%20%20ENGRENAGEM</v>
      </c>
      <c r="I541" t="e">
        <f t="shared" ca="1" si="17"/>
        <v>#NAME?</v>
      </c>
    </row>
    <row r="542" spans="1:9" x14ac:dyDescent="0.25">
      <c r="A542" s="2" t="s">
        <v>873</v>
      </c>
      <c r="B542" s="2" t="s">
        <v>10</v>
      </c>
      <c r="C542" s="3">
        <v>39599</v>
      </c>
      <c r="D542" t="s">
        <v>874</v>
      </c>
      <c r="E542" s="2" t="s">
        <v>12</v>
      </c>
      <c r="F542" s="2" t="s">
        <v>12</v>
      </c>
      <c r="G542" t="s">
        <v>586</v>
      </c>
      <c r="H542" t="str">
        <f t="shared" si="16"/>
        <v>https://videplast.com.br/consulta-imobilizado?id=21000555&amp;nome=DE%20SERVICO%20DE%20FRETE%20P/TRANSPORTE%20DE%202%20CILINDRO</v>
      </c>
      <c r="I542" t="e">
        <f t="shared" ca="1" si="17"/>
        <v>#NAME?</v>
      </c>
    </row>
    <row r="543" spans="1:9" x14ac:dyDescent="0.25">
      <c r="A543" s="2" t="s">
        <v>875</v>
      </c>
      <c r="B543" s="2" t="s">
        <v>10</v>
      </c>
      <c r="C543" s="3">
        <v>39627</v>
      </c>
      <c r="D543" t="s">
        <v>876</v>
      </c>
      <c r="E543" s="2" t="s">
        <v>12</v>
      </c>
      <c r="F543" s="2" t="s">
        <v>12</v>
      </c>
      <c r="G543" t="s">
        <v>586</v>
      </c>
      <c r="H543" t="str">
        <f t="shared" si="16"/>
        <v>https://videplast.com.br/consulta-imobilizado?id=21000558&amp;nome=8%20ENGRENAGEM</v>
      </c>
      <c r="I543" t="e">
        <f t="shared" ca="1" si="17"/>
        <v>#NAME?</v>
      </c>
    </row>
    <row r="544" spans="1:9" x14ac:dyDescent="0.25">
      <c r="A544" s="2" t="s">
        <v>875</v>
      </c>
      <c r="B544" s="2" t="s">
        <v>26</v>
      </c>
      <c r="C544" s="3">
        <v>45499</v>
      </c>
      <c r="D544" t="s">
        <v>877</v>
      </c>
      <c r="E544" s="2" t="s">
        <v>12</v>
      </c>
      <c r="F544" s="2" t="s">
        <v>12</v>
      </c>
      <c r="G544" t="s">
        <v>586</v>
      </c>
      <c r="H544" t="str">
        <f t="shared" si="16"/>
        <v>https://videplast.com.br/consulta-imobilizado?id=21000558&amp;nome=FRETE%20P/TRANSPORTE%20DE%208%20ENGRENAGEM</v>
      </c>
      <c r="I544" t="e">
        <f t="shared" ca="1" si="17"/>
        <v>#NAME?</v>
      </c>
    </row>
    <row r="545" spans="1:9" x14ac:dyDescent="0.25">
      <c r="A545" s="2" t="s">
        <v>878</v>
      </c>
      <c r="B545" s="2" t="s">
        <v>10</v>
      </c>
      <c r="C545" s="3">
        <v>39613</v>
      </c>
      <c r="D545" t="s">
        <v>879</v>
      </c>
      <c r="E545" s="2" t="s">
        <v>12</v>
      </c>
      <c r="F545" s="2" t="s">
        <v>12</v>
      </c>
      <c r="G545" t="s">
        <v>586</v>
      </c>
      <c r="H545" t="str">
        <f t="shared" si="16"/>
        <v>https://videplast.com.br/consulta-imobilizado?id=21000559&amp;nome=75,90M%20DE%20PAINEL%20ACO%20ISOJOINT%20E%2060M%20PERFIL</v>
      </c>
      <c r="I545" t="e">
        <f t="shared" ca="1" si="17"/>
        <v>#NAME?</v>
      </c>
    </row>
    <row r="546" spans="1:9" x14ac:dyDescent="0.25">
      <c r="A546" s="2" t="s">
        <v>880</v>
      </c>
      <c r="B546" s="2" t="s">
        <v>10</v>
      </c>
      <c r="C546" s="3">
        <v>39655</v>
      </c>
      <c r="D546" t="s">
        <v>881</v>
      </c>
      <c r="E546" s="2" t="s">
        <v>12</v>
      </c>
      <c r="F546" s="2" t="s">
        <v>12</v>
      </c>
      <c r="G546" t="s">
        <v>586</v>
      </c>
      <c r="H546" t="str">
        <f t="shared" si="16"/>
        <v>https://videplast.com.br/consulta-imobilizado?id=21000570&amp;nome=66%20ENGRENAGEM%20FERRO%20FUNDIDO</v>
      </c>
      <c r="I546" t="e">
        <f t="shared" ca="1" si="17"/>
        <v>#NAME?</v>
      </c>
    </row>
    <row r="547" spans="1:9" x14ac:dyDescent="0.25">
      <c r="A547" s="2" t="s">
        <v>882</v>
      </c>
      <c r="B547" s="2" t="s">
        <v>10</v>
      </c>
      <c r="C547" s="3">
        <v>39648</v>
      </c>
      <c r="D547" t="s">
        <v>883</v>
      </c>
      <c r="E547" s="2" t="s">
        <v>12</v>
      </c>
      <c r="F547" s="2" t="s">
        <v>12</v>
      </c>
      <c r="G547" t="s">
        <v>586</v>
      </c>
      <c r="H547" t="str">
        <f t="shared" si="16"/>
        <v>https://videplast.com.br/consulta-imobilizado?id=21000571&amp;nome=8%20DOCTOR%20BLADE,%208%20BANDEJA%20DE%20TINTA,%208%20BOMBA,%208</v>
      </c>
      <c r="I547" t="e">
        <f t="shared" ca="1" si="17"/>
        <v>#NAME?</v>
      </c>
    </row>
    <row r="548" spans="1:9" x14ac:dyDescent="0.25">
      <c r="A548" s="2" t="s">
        <v>884</v>
      </c>
      <c r="B548" s="2" t="s">
        <v>10</v>
      </c>
      <c r="C548" s="3">
        <v>39812</v>
      </c>
      <c r="D548" t="s">
        <v>885</v>
      </c>
      <c r="E548" s="2" t="s">
        <v>12</v>
      </c>
      <c r="F548" s="2" t="s">
        <v>12</v>
      </c>
      <c r="G548" t="s">
        <v>586</v>
      </c>
      <c r="H548" t="str">
        <f t="shared" si="16"/>
        <v>https://videplast.com.br/consulta-imobilizado?id=21000589&amp;nome=TANQUE%20HORIZONTAL%20DE%20ACO%20CARBONO%20CHAPA%20PRETA</v>
      </c>
      <c r="I548" t="e">
        <f t="shared" ca="1" si="17"/>
        <v>#NAME?</v>
      </c>
    </row>
    <row r="549" spans="1:9" x14ac:dyDescent="0.25">
      <c r="A549" s="2" t="s">
        <v>886</v>
      </c>
      <c r="B549" s="2" t="s">
        <v>10</v>
      </c>
      <c r="C549" s="3">
        <v>40208</v>
      </c>
      <c r="D549" t="s">
        <v>887</v>
      </c>
      <c r="E549" s="2" t="s">
        <v>12</v>
      </c>
      <c r="F549" s="2" t="s">
        <v>12</v>
      </c>
      <c r="G549" t="s">
        <v>586</v>
      </c>
      <c r="H549" t="str">
        <f t="shared" si="16"/>
        <v>https://videplast.com.br/consulta-imobilizado?id=21000609&amp;nome=16%20BATERIA%20SELADA%2012V%2018AH</v>
      </c>
      <c r="I549" t="e">
        <f t="shared" ca="1" si="17"/>
        <v>#NAME?</v>
      </c>
    </row>
    <row r="550" spans="1:9" x14ac:dyDescent="0.25">
      <c r="A550" s="2" t="s">
        <v>888</v>
      </c>
      <c r="B550" s="2" t="s">
        <v>10</v>
      </c>
      <c r="C550" s="3">
        <v>40235</v>
      </c>
      <c r="D550" t="s">
        <v>889</v>
      </c>
      <c r="E550" s="2" t="s">
        <v>12</v>
      </c>
      <c r="F550" s="2" t="s">
        <v>12</v>
      </c>
      <c r="G550" t="s">
        <v>586</v>
      </c>
      <c r="H550" t="str">
        <f t="shared" si="16"/>
        <v>https://videplast.com.br/consulta-imobilizado?id=21000611&amp;nome=MOTOR%20PARA%20PC%20COM%20CABO%20DE%20ENCODER</v>
      </c>
      <c r="I550" t="e">
        <f t="shared" ca="1" si="17"/>
        <v>#NAME?</v>
      </c>
    </row>
    <row r="551" spans="1:9" x14ac:dyDescent="0.25">
      <c r="A551" s="2" t="s">
        <v>890</v>
      </c>
      <c r="B551" s="2" t="s">
        <v>10</v>
      </c>
      <c r="C551" s="3">
        <v>40359</v>
      </c>
      <c r="D551" t="s">
        <v>891</v>
      </c>
      <c r="E551" s="2" t="s">
        <v>12</v>
      </c>
      <c r="F551" s="2" t="s">
        <v>12</v>
      </c>
      <c r="G551" t="s">
        <v>586</v>
      </c>
      <c r="H551" t="str">
        <f t="shared" si="16"/>
        <v>https://videplast.com.br/consulta-imobilizado?id=21000629&amp;nome=QUADRO%20DE%20DISTRIBUICAO%20C/%20BARRAM.%20TRIFASICO</v>
      </c>
      <c r="I551" t="e">
        <f t="shared" ca="1" si="17"/>
        <v>#NAME?</v>
      </c>
    </row>
    <row r="552" spans="1:9" x14ac:dyDescent="0.25">
      <c r="A552" s="2" t="s">
        <v>890</v>
      </c>
      <c r="B552" s="2" t="s">
        <v>26</v>
      </c>
      <c r="C552" s="3">
        <v>45499</v>
      </c>
      <c r="D552" t="s">
        <v>892</v>
      </c>
      <c r="E552" s="2" t="s">
        <v>12</v>
      </c>
      <c r="F552" s="2" t="s">
        <v>12</v>
      </c>
      <c r="G552" t="s">
        <v>586</v>
      </c>
      <c r="H552" t="str">
        <f t="shared" si="16"/>
        <v>https://videplast.com.br/consulta-imobilizado?id=21000629&amp;nome=FRETE%20REF%20QUADRO%20DE%20COMANDO%20HOLEC%20INDUSTRIAS</v>
      </c>
      <c r="I552" t="e">
        <f t="shared" ca="1" si="17"/>
        <v>#NAME?</v>
      </c>
    </row>
    <row r="553" spans="1:9" x14ac:dyDescent="0.25">
      <c r="A553" s="2" t="s">
        <v>893</v>
      </c>
      <c r="B553" s="2" t="s">
        <v>10</v>
      </c>
      <c r="C553" s="3">
        <v>40359</v>
      </c>
      <c r="D553" t="s">
        <v>894</v>
      </c>
      <c r="E553" s="2" t="s">
        <v>12</v>
      </c>
      <c r="F553" s="2" t="s">
        <v>12</v>
      </c>
      <c r="G553" t="s">
        <v>586</v>
      </c>
      <c r="H553" t="str">
        <f t="shared" si="16"/>
        <v>https://videplast.com.br/consulta-imobilizado?id=21000632&amp;nome=FRETE%20REF%20COMPRA%20DE%2003%20CAMISAS%20SLEEVLOX%20ALUMINIO</v>
      </c>
      <c r="I553" t="e">
        <f t="shared" ca="1" si="17"/>
        <v>#NAME?</v>
      </c>
    </row>
    <row r="554" spans="1:9" x14ac:dyDescent="0.25">
      <c r="A554" s="2" t="s">
        <v>895</v>
      </c>
      <c r="B554" s="2" t="s">
        <v>10</v>
      </c>
      <c r="C554" s="3">
        <v>40359</v>
      </c>
      <c r="D554" t="s">
        <v>896</v>
      </c>
      <c r="E554" s="2" t="s">
        <v>12</v>
      </c>
      <c r="F554" s="2" t="s">
        <v>12</v>
      </c>
      <c r="G554" t="s">
        <v>586</v>
      </c>
      <c r="H554" t="str">
        <f t="shared" si="16"/>
        <v>https://videplast.com.br/consulta-imobilizado?id=21000633&amp;nome=PERFIL%20P/CONSTRUCAO%20DO%20GALPAO%20DE%20SOLVENTE</v>
      </c>
      <c r="I554" t="e">
        <f t="shared" ca="1" si="17"/>
        <v>#NAME?</v>
      </c>
    </row>
    <row r="555" spans="1:9" x14ac:dyDescent="0.25">
      <c r="A555" s="2" t="s">
        <v>897</v>
      </c>
      <c r="B555" s="2" t="s">
        <v>10</v>
      </c>
      <c r="C555" s="3">
        <v>40359</v>
      </c>
      <c r="D555" t="s">
        <v>898</v>
      </c>
      <c r="E555" s="2" t="s">
        <v>12</v>
      </c>
      <c r="F555" s="2" t="s">
        <v>12</v>
      </c>
      <c r="G555" t="s">
        <v>586</v>
      </c>
      <c r="H555" t="str">
        <f t="shared" si="16"/>
        <v>https://videplast.com.br/consulta-imobilizado?id=21000636&amp;nome=DE%2085%20MT%20CABO%2025MM%20E%20255%20MT%20CABO%2050MM</v>
      </c>
      <c r="I555" t="e">
        <f t="shared" ca="1" si="17"/>
        <v>#NAME?</v>
      </c>
    </row>
    <row r="556" spans="1:9" x14ac:dyDescent="0.25">
      <c r="A556" s="2" t="s">
        <v>897</v>
      </c>
      <c r="B556" s="2" t="s">
        <v>26</v>
      </c>
      <c r="C556" s="3">
        <v>40359</v>
      </c>
      <c r="D556" t="s">
        <v>899</v>
      </c>
      <c r="E556" s="2" t="s">
        <v>12</v>
      </c>
      <c r="F556" s="2" t="s">
        <v>12</v>
      </c>
      <c r="G556" t="s">
        <v>586</v>
      </c>
      <c r="H556" t="str">
        <f t="shared" si="16"/>
        <v>https://videplast.com.br/consulta-imobilizado?id=21000636&amp;nome=DE%2085%20MT%20CABO%2025MM%20P/INSTALACAO%20DE%20MAQ.NO%20SETOR</v>
      </c>
      <c r="I556" t="e">
        <f t="shared" ca="1" si="17"/>
        <v>#NAME?</v>
      </c>
    </row>
    <row r="557" spans="1:9" x14ac:dyDescent="0.25">
      <c r="A557" s="2" t="s">
        <v>900</v>
      </c>
      <c r="B557" s="2" t="s">
        <v>10</v>
      </c>
      <c r="C557" s="3">
        <v>40482</v>
      </c>
      <c r="D557" t="s">
        <v>901</v>
      </c>
      <c r="E557" s="2" t="s">
        <v>12</v>
      </c>
      <c r="F557" s="2" t="s">
        <v>12</v>
      </c>
      <c r="G557" t="s">
        <v>586</v>
      </c>
      <c r="H557" t="str">
        <f t="shared" si="16"/>
        <v>https://videplast.com.br/consulta-imobilizado?id=21000649&amp;nome=10%20BARRAS%20TUBO%20RED%20IND%203%20POL.%20CH%2014%20E%20QUATRO</v>
      </c>
      <c r="I557" t="e">
        <f t="shared" ca="1" si="17"/>
        <v>#NAME?</v>
      </c>
    </row>
    <row r="558" spans="1:9" x14ac:dyDescent="0.25">
      <c r="A558" s="2" t="s">
        <v>902</v>
      </c>
      <c r="B558" s="2" t="s">
        <v>10</v>
      </c>
      <c r="C558" s="3">
        <v>37680</v>
      </c>
      <c r="D558" t="s">
        <v>903</v>
      </c>
      <c r="E558" s="2" t="s">
        <v>12</v>
      </c>
      <c r="F558" s="2" t="s">
        <v>12</v>
      </c>
      <c r="G558" t="s">
        <v>586</v>
      </c>
      <c r="H558" t="str">
        <f t="shared" si="16"/>
        <v>https://videplast.com.br/consulta-imobilizado?id=21000686&amp;nome=GABINE%20DELUZ%20-%20SISTEMA%20DE%20LUMINARIA</v>
      </c>
      <c r="I558" t="e">
        <f t="shared" ca="1" si="17"/>
        <v>#NAME?</v>
      </c>
    </row>
    <row r="559" spans="1:9" x14ac:dyDescent="0.25">
      <c r="A559" s="2" t="s">
        <v>904</v>
      </c>
      <c r="B559" s="2" t="s">
        <v>10</v>
      </c>
      <c r="C559" s="3">
        <v>37890</v>
      </c>
      <c r="D559" t="s">
        <v>905</v>
      </c>
      <c r="E559" s="2" t="s">
        <v>12</v>
      </c>
      <c r="F559" s="2" t="s">
        <v>12</v>
      </c>
      <c r="G559" t="s">
        <v>586</v>
      </c>
      <c r="H559" t="str">
        <f t="shared" si="16"/>
        <v>https://videplast.com.br/consulta-imobilizado?id=21000689&amp;nome=TANQUE%2015000L</v>
      </c>
      <c r="I559" t="e">
        <f t="shared" ca="1" si="17"/>
        <v>#NAME?</v>
      </c>
    </row>
    <row r="560" spans="1:9" x14ac:dyDescent="0.25">
      <c r="A560" s="2" t="s">
        <v>906</v>
      </c>
      <c r="B560" s="2" t="s">
        <v>26</v>
      </c>
      <c r="C560" s="3">
        <v>41213</v>
      </c>
      <c r="D560" t="s">
        <v>907</v>
      </c>
      <c r="E560" s="2" t="s">
        <v>12</v>
      </c>
      <c r="F560" s="2" t="s">
        <v>12</v>
      </c>
      <c r="G560" t="s">
        <v>586</v>
      </c>
      <c r="H560" t="str">
        <f t="shared" si="16"/>
        <v>https://videplast.com.br/consulta-imobilizado?id=21000702&amp;nome=03%20CRONOMETRO%20PROGRESSIVO%20HORA,%20P/O%20SETOR%20DE</v>
      </c>
      <c r="I560" t="e">
        <f t="shared" ca="1" si="17"/>
        <v>#NAME?</v>
      </c>
    </row>
    <row r="561" spans="1:9" x14ac:dyDescent="0.25">
      <c r="A561" s="2" t="s">
        <v>908</v>
      </c>
      <c r="B561" s="2" t="s">
        <v>10</v>
      </c>
      <c r="C561" s="3">
        <v>42473</v>
      </c>
      <c r="D561" t="s">
        <v>909</v>
      </c>
      <c r="E561" s="2" t="s">
        <v>12</v>
      </c>
      <c r="F561" s="2" t="s">
        <v>12</v>
      </c>
      <c r="G561" t="s">
        <v>586</v>
      </c>
      <c r="H561" t="str">
        <f t="shared" si="16"/>
        <v>https://videplast.com.br/consulta-imobilizado?id=21002879&amp;nome=TANQUE%20AEREO%20HORIZONTAL%2015.000LT</v>
      </c>
      <c r="I561" t="e">
        <f t="shared" ca="1" si="17"/>
        <v>#NAME?</v>
      </c>
    </row>
    <row r="562" spans="1:9" x14ac:dyDescent="0.25">
      <c r="A562" s="2" t="s">
        <v>910</v>
      </c>
      <c r="B562" s="2" t="s">
        <v>10</v>
      </c>
      <c r="C562" s="3">
        <v>42473</v>
      </c>
      <c r="D562" t="s">
        <v>909</v>
      </c>
      <c r="E562" s="2" t="s">
        <v>12</v>
      </c>
      <c r="F562" s="2" t="s">
        <v>12</v>
      </c>
      <c r="G562" t="s">
        <v>586</v>
      </c>
      <c r="H562" t="str">
        <f t="shared" si="16"/>
        <v>https://videplast.com.br/consulta-imobilizado?id=21002885&amp;nome=TANQUE%20AEREO%20HORIZONTAL%2015.000LT</v>
      </c>
      <c r="I562" t="e">
        <f t="shared" ca="1" si="17"/>
        <v>#NAME?</v>
      </c>
    </row>
    <row r="563" spans="1:9" x14ac:dyDescent="0.25">
      <c r="A563" s="2" t="s">
        <v>911</v>
      </c>
      <c r="B563" s="2" t="s">
        <v>10</v>
      </c>
      <c r="C563" s="3">
        <v>42831</v>
      </c>
      <c r="D563" t="s">
        <v>912</v>
      </c>
      <c r="E563" s="2" t="s">
        <v>12</v>
      </c>
      <c r="F563" s="2" t="s">
        <v>12</v>
      </c>
      <c r="G563" t="s">
        <v>586</v>
      </c>
      <c r="H563" t="str">
        <f t="shared" si="16"/>
        <v>https://videplast.com.br/consulta-imobilizado?id=21003199&amp;nome=VISCOSIMETRO%20AUTOMAT%20VISCOFLEX%20VS30</v>
      </c>
      <c r="I563" t="e">
        <f t="shared" ca="1" si="17"/>
        <v>#NAME?</v>
      </c>
    </row>
    <row r="564" spans="1:9" x14ac:dyDescent="0.25">
      <c r="A564" s="2" t="s">
        <v>913</v>
      </c>
      <c r="B564" s="2" t="s">
        <v>10</v>
      </c>
      <c r="C564" s="3">
        <v>42825</v>
      </c>
      <c r="D564" t="s">
        <v>291</v>
      </c>
      <c r="E564" s="2" t="s">
        <v>12</v>
      </c>
      <c r="F564" s="2" t="s">
        <v>12</v>
      </c>
      <c r="G564" t="s">
        <v>586</v>
      </c>
      <c r="H564" t="str">
        <f t="shared" si="16"/>
        <v>https://videplast.com.br/consulta-imobilizado?id=21003278&amp;nome=CARRO%20HIDRAULICO%20PALETRANS%20P/%20PALLET%20TM%203020%20RTN68</v>
      </c>
      <c r="I564" t="e">
        <f t="shared" ca="1" si="17"/>
        <v>#NAME?</v>
      </c>
    </row>
    <row r="565" spans="1:9" x14ac:dyDescent="0.25">
      <c r="A565" s="2" t="s">
        <v>914</v>
      </c>
      <c r="B565" s="2" t="s">
        <v>10</v>
      </c>
      <c r="C565" s="3">
        <v>43153</v>
      </c>
      <c r="D565" t="s">
        <v>915</v>
      </c>
      <c r="E565" s="2" t="s">
        <v>12</v>
      </c>
      <c r="F565" s="2" t="s">
        <v>12</v>
      </c>
      <c r="G565" t="s">
        <v>586</v>
      </c>
      <c r="H565" t="str">
        <f t="shared" si="16"/>
        <v>https://videplast.com.br/consulta-imobilizado?id=21003697&amp;nome=AGITADOR%20PNEUMATICO%20VERTICAL%20RAPIDO%20MODELO%20BASICO</v>
      </c>
      <c r="I565" t="e">
        <f t="shared" ca="1" si="17"/>
        <v>#NAME?</v>
      </c>
    </row>
    <row r="566" spans="1:9" x14ac:dyDescent="0.25">
      <c r="A566" s="2" t="s">
        <v>916</v>
      </c>
      <c r="B566" s="2" t="s">
        <v>10</v>
      </c>
      <c r="C566" s="3">
        <v>43273</v>
      </c>
      <c r="D566" t="s">
        <v>917</v>
      </c>
      <c r="E566" s="2" t="s">
        <v>12</v>
      </c>
      <c r="F566" s="2" t="s">
        <v>12</v>
      </c>
      <c r="G566" t="s">
        <v>586</v>
      </c>
      <c r="H566" t="str">
        <f t="shared" si="16"/>
        <v>https://videplast.com.br/consulta-imobilizado?id=21003979&amp;nome=ALINHADOR%20BST%20EKR%20500%20Digital</v>
      </c>
      <c r="I566" t="e">
        <f t="shared" ca="1" si="17"/>
        <v>#NAME?</v>
      </c>
    </row>
    <row r="567" spans="1:9" x14ac:dyDescent="0.25">
      <c r="A567" s="2" t="s">
        <v>918</v>
      </c>
      <c r="B567" s="2" t="s">
        <v>10</v>
      </c>
      <c r="C567" s="3">
        <v>43495</v>
      </c>
      <c r="D567" t="s">
        <v>919</v>
      </c>
      <c r="E567" s="2" t="s">
        <v>12</v>
      </c>
      <c r="F567" s="2" t="s">
        <v>12</v>
      </c>
      <c r="G567" t="s">
        <v>586</v>
      </c>
      <c r="H567" t="str">
        <f t="shared" si="16"/>
        <v>https://videplast.com.br/consulta-imobilizado?id=21004053&amp;nome=CARRIER%20FLOW%20THROUGH</v>
      </c>
      <c r="I567" t="e">
        <f t="shared" ca="1" si="17"/>
        <v>#NAME?</v>
      </c>
    </row>
    <row r="568" spans="1:9" x14ac:dyDescent="0.25">
      <c r="A568" s="2" t="s">
        <v>920</v>
      </c>
      <c r="B568" s="2" t="s">
        <v>10</v>
      </c>
      <c r="C568" s="3">
        <v>43343</v>
      </c>
      <c r="D568" t="s">
        <v>921</v>
      </c>
      <c r="E568" s="2" t="s">
        <v>12</v>
      </c>
      <c r="F568" s="2" t="s">
        <v>12</v>
      </c>
      <c r="G568" t="s">
        <v>586</v>
      </c>
      <c r="H568" t="str">
        <f t="shared" si="16"/>
        <v>https://videplast.com.br/consulta-imobilizado?id=21004054&amp;nome=EMPILHADEIRA%20MANUAL%20PALETRANS%20LM%201010%20CAP%201000KG</v>
      </c>
      <c r="I568" t="e">
        <f t="shared" ca="1" si="17"/>
        <v>#NAME?</v>
      </c>
    </row>
    <row r="569" spans="1:9" x14ac:dyDescent="0.25">
      <c r="A569" s="2" t="s">
        <v>922</v>
      </c>
      <c r="B569" s="2" t="s">
        <v>10</v>
      </c>
      <c r="C569" s="3">
        <v>43364</v>
      </c>
      <c r="D569" t="s">
        <v>923</v>
      </c>
      <c r="E569" s="2" t="s">
        <v>12</v>
      </c>
      <c r="F569" s="2" t="s">
        <v>12</v>
      </c>
      <c r="G569" t="s">
        <v>586</v>
      </c>
      <c r="H569" t="str">
        <f t="shared" si="16"/>
        <v>https://videplast.com.br/consulta-imobilizado?id=21004082&amp;nome=EIXO%20EXPANSIVO%203%20POLEGADA</v>
      </c>
      <c r="I569" t="e">
        <f t="shared" ca="1" si="17"/>
        <v>#NAME?</v>
      </c>
    </row>
    <row r="570" spans="1:9" x14ac:dyDescent="0.25">
      <c r="A570" s="2" t="s">
        <v>924</v>
      </c>
      <c r="B570" s="2" t="s">
        <v>10</v>
      </c>
      <c r="C570" s="3">
        <v>43364</v>
      </c>
      <c r="D570" t="s">
        <v>923</v>
      </c>
      <c r="E570" s="2" t="s">
        <v>12</v>
      </c>
      <c r="F570" s="2" t="s">
        <v>12</v>
      </c>
      <c r="G570" t="s">
        <v>586</v>
      </c>
      <c r="H570" t="str">
        <f t="shared" si="16"/>
        <v>https://videplast.com.br/consulta-imobilizado?id=21004083&amp;nome=EIXO%20EXPANSIVO%203%20POLEGADA</v>
      </c>
      <c r="I570" t="e">
        <f t="shared" ca="1" si="17"/>
        <v>#NAME?</v>
      </c>
    </row>
    <row r="571" spans="1:9" x14ac:dyDescent="0.25">
      <c r="A571" s="2" t="s">
        <v>925</v>
      </c>
      <c r="B571" s="2" t="s">
        <v>10</v>
      </c>
      <c r="C571" s="3">
        <v>43851</v>
      </c>
      <c r="D571" t="s">
        <v>926</v>
      </c>
      <c r="E571" s="2" t="s">
        <v>12</v>
      </c>
      <c r="F571" s="2" t="s">
        <v>12</v>
      </c>
      <c r="G571" t="s">
        <v>586</v>
      </c>
      <c r="H571" t="str">
        <f t="shared" si="16"/>
        <v>https://videplast.com.br/consulta-imobilizado?id=21004984&amp;nome=CAMISA%20PONTE%20TIPO%20CARRIER%20CARBO%20BRIDGE</v>
      </c>
      <c r="I571" t="e">
        <f t="shared" ca="1" si="17"/>
        <v>#NAME?</v>
      </c>
    </row>
    <row r="572" spans="1:9" x14ac:dyDescent="0.25">
      <c r="A572" s="2" t="s">
        <v>927</v>
      </c>
      <c r="B572" s="2" t="s">
        <v>10</v>
      </c>
      <c r="C572" s="3">
        <v>43838</v>
      </c>
      <c r="D572" t="s">
        <v>928</v>
      </c>
      <c r="E572" s="2" t="s">
        <v>12</v>
      </c>
      <c r="F572" s="2" t="s">
        <v>12</v>
      </c>
      <c r="G572" t="s">
        <v>586</v>
      </c>
      <c r="H572" t="str">
        <f t="shared" si="16"/>
        <v>https://videplast.com.br/consulta-imobilizado?id=21005077&amp;nome=EMPILHADEIRA%20MANUAL%20PALETRANS%20LM%201016,%20CAP%201000%20KG</v>
      </c>
      <c r="I572" t="e">
        <f t="shared" ca="1" si="17"/>
        <v>#NAME?</v>
      </c>
    </row>
    <row r="573" spans="1:9" x14ac:dyDescent="0.25">
      <c r="A573" s="2" t="s">
        <v>929</v>
      </c>
      <c r="B573" s="2" t="s">
        <v>10</v>
      </c>
      <c r="C573" s="3">
        <v>43822</v>
      </c>
      <c r="D573" t="s">
        <v>930</v>
      </c>
      <c r="E573" s="2" t="s">
        <v>12</v>
      </c>
      <c r="F573" s="2" t="s">
        <v>12</v>
      </c>
      <c r="G573" t="s">
        <v>586</v>
      </c>
      <c r="H573" t="str">
        <f t="shared" si="16"/>
        <v>https://videplast.com.br/consulta-imobilizado?id=21005081&amp;nome=CAMISA%20PORTA%20CLICHE%20CARBOLOX%20BL%20121,074X149,606</v>
      </c>
      <c r="I573" t="e">
        <f t="shared" ca="1" si="17"/>
        <v>#NAME?</v>
      </c>
    </row>
    <row r="574" spans="1:9" x14ac:dyDescent="0.25">
      <c r="A574" s="2" t="s">
        <v>931</v>
      </c>
      <c r="B574" s="2" t="s">
        <v>10</v>
      </c>
      <c r="C574" s="3">
        <v>43973</v>
      </c>
      <c r="D574" t="s">
        <v>932</v>
      </c>
      <c r="E574" s="2" t="s">
        <v>12</v>
      </c>
      <c r="F574" s="2" t="s">
        <v>12</v>
      </c>
      <c r="G574" t="s">
        <v>586</v>
      </c>
      <c r="H574" t="str">
        <f t="shared" si="16"/>
        <v>https://videplast.com.br/consulta-imobilizado?id=21005093&amp;nome=DOCTOR%20BLADE%20PLUS%200890MM</v>
      </c>
      <c r="I574" t="e">
        <f t="shared" ca="1" si="17"/>
        <v>#NAME?</v>
      </c>
    </row>
    <row r="575" spans="1:9" x14ac:dyDescent="0.25">
      <c r="A575" s="2" t="s">
        <v>933</v>
      </c>
      <c r="B575" s="2" t="s">
        <v>10</v>
      </c>
      <c r="C575" s="3">
        <v>43973</v>
      </c>
      <c r="D575" t="s">
        <v>932</v>
      </c>
      <c r="E575" s="2" t="s">
        <v>12</v>
      </c>
      <c r="F575" s="2" t="s">
        <v>12</v>
      </c>
      <c r="G575" t="s">
        <v>586</v>
      </c>
      <c r="H575" t="str">
        <f t="shared" si="16"/>
        <v>https://videplast.com.br/consulta-imobilizado?id=21005094&amp;nome=DOCTOR%20BLADE%20PLUS%200890MM</v>
      </c>
      <c r="I575" t="e">
        <f t="shared" ca="1" si="17"/>
        <v>#NAME?</v>
      </c>
    </row>
    <row r="576" spans="1:9" x14ac:dyDescent="0.25">
      <c r="A576" s="2" t="s">
        <v>934</v>
      </c>
      <c r="B576" s="2" t="s">
        <v>10</v>
      </c>
      <c r="C576" s="3">
        <v>43973</v>
      </c>
      <c r="D576" t="s">
        <v>932</v>
      </c>
      <c r="E576" s="2" t="s">
        <v>12</v>
      </c>
      <c r="F576" s="2" t="s">
        <v>12</v>
      </c>
      <c r="G576" t="s">
        <v>586</v>
      </c>
      <c r="H576" t="str">
        <f t="shared" si="16"/>
        <v>https://videplast.com.br/consulta-imobilizado?id=21005095&amp;nome=DOCTOR%20BLADE%20PLUS%200890MM</v>
      </c>
      <c r="I576" t="e">
        <f t="shared" ca="1" si="17"/>
        <v>#NAME?</v>
      </c>
    </row>
    <row r="577" spans="1:9" x14ac:dyDescent="0.25">
      <c r="A577" s="2" t="s">
        <v>935</v>
      </c>
      <c r="B577" s="2" t="s">
        <v>10</v>
      </c>
      <c r="C577" s="3">
        <v>43973</v>
      </c>
      <c r="D577" t="s">
        <v>932</v>
      </c>
      <c r="E577" s="2" t="s">
        <v>12</v>
      </c>
      <c r="F577" s="2" t="s">
        <v>12</v>
      </c>
      <c r="G577" t="s">
        <v>586</v>
      </c>
      <c r="H577" t="str">
        <f t="shared" si="16"/>
        <v>https://videplast.com.br/consulta-imobilizado?id=21005096&amp;nome=DOCTOR%20BLADE%20PLUS%200890MM</v>
      </c>
      <c r="I577" t="e">
        <f t="shared" ca="1" si="17"/>
        <v>#NAME?</v>
      </c>
    </row>
    <row r="578" spans="1:9" x14ac:dyDescent="0.25">
      <c r="A578" s="2" t="s">
        <v>936</v>
      </c>
      <c r="B578" s="2" t="s">
        <v>10</v>
      </c>
      <c r="C578" s="3">
        <v>43984</v>
      </c>
      <c r="D578" t="s">
        <v>306</v>
      </c>
      <c r="E578" s="2" t="s">
        <v>12</v>
      </c>
      <c r="F578" s="2" t="s">
        <v>12</v>
      </c>
      <c r="G578" t="s">
        <v>586</v>
      </c>
      <c r="H578" t="str">
        <f t="shared" ref="H578:H641" si="18" xml:space="preserve"> "https://videplast.com.br/consulta-imobilizado?id=" &amp; A578 &amp; "&amp;nome=" &amp; SUBSTITUTE(D578, " ", "%20")</f>
        <v>https://videplast.com.br/consulta-imobilizado?id=21005124&amp;nome=CARRO%20HIDRAULICO%20CATARINENSE%20CAP%203000%20KG</v>
      </c>
      <c r="I578" t="e">
        <f t="shared" ref="I578:I641" ca="1" si="19">_xlfn.IMAGE("https://chart.googleapis.com/chart?chs=150x150&amp;cht=qr&amp;chl=" &amp; H578)</f>
        <v>#NAME?</v>
      </c>
    </row>
    <row r="579" spans="1:9" x14ac:dyDescent="0.25">
      <c r="A579" s="2" t="s">
        <v>937</v>
      </c>
      <c r="B579" s="2" t="s">
        <v>10</v>
      </c>
      <c r="C579" s="3">
        <v>44117</v>
      </c>
      <c r="D579" t="s">
        <v>938</v>
      </c>
      <c r="E579" s="2" t="s">
        <v>12</v>
      </c>
      <c r="F579" s="2" t="s">
        <v>12</v>
      </c>
      <c r="G579" t="s">
        <v>586</v>
      </c>
      <c r="H579" t="str">
        <f t="shared" si="18"/>
        <v>https://videplast.com.br/consulta-imobilizado?id=21005684&amp;nome=ROLO%20CURVO%20Ø100%20COMPRIMENTO%20BORRACHA%201350MM%20COMPRI</v>
      </c>
      <c r="I579" t="e">
        <f t="shared" ca="1" si="19"/>
        <v>#NAME?</v>
      </c>
    </row>
    <row r="580" spans="1:9" x14ac:dyDescent="0.25">
      <c r="A580" s="2" t="s">
        <v>939</v>
      </c>
      <c r="B580" s="2" t="s">
        <v>10</v>
      </c>
      <c r="C580" s="3">
        <v>44280</v>
      </c>
      <c r="D580" t="s">
        <v>940</v>
      </c>
      <c r="E580" s="2" t="s">
        <v>12</v>
      </c>
      <c r="F580" s="2" t="s">
        <v>12</v>
      </c>
      <c r="G580" t="s">
        <v>586</v>
      </c>
      <c r="H580" t="str">
        <f t="shared" si="18"/>
        <v>https://videplast.com.br/consulta-imobilizado?id=21005711&amp;nome=DOCTOR%20BLADE%20PLUS%20LIGHTERN%201290MM%20CARTON</v>
      </c>
      <c r="I580" t="e">
        <f t="shared" ca="1" si="19"/>
        <v>#NAME?</v>
      </c>
    </row>
    <row r="581" spans="1:9" x14ac:dyDescent="0.25">
      <c r="A581" s="2" t="s">
        <v>939</v>
      </c>
      <c r="B581" s="2" t="s">
        <v>26</v>
      </c>
      <c r="C581" s="3">
        <v>44280</v>
      </c>
      <c r="D581" t="s">
        <v>941</v>
      </c>
      <c r="E581" s="2" t="s">
        <v>12</v>
      </c>
      <c r="F581" s="2" t="s">
        <v>12</v>
      </c>
      <c r="G581" t="s">
        <v>586</v>
      </c>
      <c r="H581" t="str">
        <f t="shared" si="18"/>
        <v>https://videplast.com.br/consulta-imobilizado?id=21005711&amp;nome=FRETE%20DOCTOR%20BLADE</v>
      </c>
      <c r="I581" t="e">
        <f t="shared" ca="1" si="19"/>
        <v>#NAME?</v>
      </c>
    </row>
    <row r="582" spans="1:9" x14ac:dyDescent="0.25">
      <c r="A582" s="2" t="s">
        <v>942</v>
      </c>
      <c r="B582" s="2" t="s">
        <v>10</v>
      </c>
      <c r="C582" s="3">
        <v>44280</v>
      </c>
      <c r="D582" t="s">
        <v>940</v>
      </c>
      <c r="E582" s="2" t="s">
        <v>12</v>
      </c>
      <c r="F582" s="2" t="s">
        <v>12</v>
      </c>
      <c r="G582" t="s">
        <v>586</v>
      </c>
      <c r="H582" t="str">
        <f t="shared" si="18"/>
        <v>https://videplast.com.br/consulta-imobilizado?id=21005712&amp;nome=DOCTOR%20BLADE%20PLUS%20LIGHTERN%201290MM%20CARTON</v>
      </c>
      <c r="I582" t="e">
        <f t="shared" ca="1" si="19"/>
        <v>#NAME?</v>
      </c>
    </row>
    <row r="583" spans="1:9" x14ac:dyDescent="0.25">
      <c r="A583" s="2" t="s">
        <v>943</v>
      </c>
      <c r="B583" s="2" t="s">
        <v>10</v>
      </c>
      <c r="C583" s="3">
        <v>44280</v>
      </c>
      <c r="D583" t="s">
        <v>940</v>
      </c>
      <c r="E583" s="2" t="s">
        <v>12</v>
      </c>
      <c r="F583" s="2" t="s">
        <v>12</v>
      </c>
      <c r="G583" t="s">
        <v>586</v>
      </c>
      <c r="H583" t="str">
        <f t="shared" si="18"/>
        <v>https://videplast.com.br/consulta-imobilizado?id=21005713&amp;nome=DOCTOR%20BLADE%20PLUS%20LIGHTERN%201290MM%20CARTON</v>
      </c>
      <c r="I583" t="e">
        <f t="shared" ca="1" si="19"/>
        <v>#NAME?</v>
      </c>
    </row>
    <row r="584" spans="1:9" x14ac:dyDescent="0.25">
      <c r="A584" s="2" t="s">
        <v>944</v>
      </c>
      <c r="B584" s="2" t="s">
        <v>10</v>
      </c>
      <c r="C584" s="3">
        <v>44280</v>
      </c>
      <c r="D584" t="s">
        <v>940</v>
      </c>
      <c r="E584" s="2" t="s">
        <v>12</v>
      </c>
      <c r="F584" s="2" t="s">
        <v>12</v>
      </c>
      <c r="G584" t="s">
        <v>586</v>
      </c>
      <c r="H584" t="str">
        <f t="shared" si="18"/>
        <v>https://videplast.com.br/consulta-imobilizado?id=21005714&amp;nome=DOCTOR%20BLADE%20PLUS%20LIGHTERN%201290MM%20CARTON</v>
      </c>
      <c r="I584" t="e">
        <f t="shared" ca="1" si="19"/>
        <v>#NAME?</v>
      </c>
    </row>
    <row r="585" spans="1:9" x14ac:dyDescent="0.25">
      <c r="A585" s="2" t="s">
        <v>945</v>
      </c>
      <c r="B585" s="2" t="s">
        <v>10</v>
      </c>
      <c r="C585" s="3">
        <v>44280</v>
      </c>
      <c r="D585" t="s">
        <v>940</v>
      </c>
      <c r="E585" s="2" t="s">
        <v>12</v>
      </c>
      <c r="F585" s="2" t="s">
        <v>12</v>
      </c>
      <c r="G585" t="s">
        <v>586</v>
      </c>
      <c r="H585" t="str">
        <f t="shared" si="18"/>
        <v>https://videplast.com.br/consulta-imobilizado?id=21005715&amp;nome=DOCTOR%20BLADE%20PLUS%20LIGHTERN%201290MM%20CARTON</v>
      </c>
      <c r="I585" t="e">
        <f t="shared" ca="1" si="19"/>
        <v>#NAME?</v>
      </c>
    </row>
    <row r="586" spans="1:9" x14ac:dyDescent="0.25">
      <c r="A586" s="2" t="s">
        <v>946</v>
      </c>
      <c r="B586" s="2" t="s">
        <v>10</v>
      </c>
      <c r="C586" s="3">
        <v>44280</v>
      </c>
      <c r="D586" t="s">
        <v>940</v>
      </c>
      <c r="E586" s="2" t="s">
        <v>12</v>
      </c>
      <c r="F586" s="2" t="s">
        <v>12</v>
      </c>
      <c r="G586" t="s">
        <v>586</v>
      </c>
      <c r="H586" t="str">
        <f t="shared" si="18"/>
        <v>https://videplast.com.br/consulta-imobilizado?id=21005716&amp;nome=DOCTOR%20BLADE%20PLUS%20LIGHTERN%201290MM%20CARTON</v>
      </c>
      <c r="I586" t="e">
        <f t="shared" ca="1" si="19"/>
        <v>#NAME?</v>
      </c>
    </row>
    <row r="587" spans="1:9" x14ac:dyDescent="0.25">
      <c r="A587" s="2" t="s">
        <v>947</v>
      </c>
      <c r="B587" s="2" t="s">
        <v>10</v>
      </c>
      <c r="C587" s="3">
        <v>44280</v>
      </c>
      <c r="D587" t="s">
        <v>940</v>
      </c>
      <c r="E587" s="2" t="s">
        <v>12</v>
      </c>
      <c r="F587" s="2" t="s">
        <v>12</v>
      </c>
      <c r="G587" t="s">
        <v>586</v>
      </c>
      <c r="H587" t="str">
        <f t="shared" si="18"/>
        <v>https://videplast.com.br/consulta-imobilizado?id=21005717&amp;nome=DOCTOR%20BLADE%20PLUS%20LIGHTERN%201290MM%20CARTON</v>
      </c>
      <c r="I587" t="e">
        <f t="shared" ca="1" si="19"/>
        <v>#NAME?</v>
      </c>
    </row>
    <row r="588" spans="1:9" x14ac:dyDescent="0.25">
      <c r="A588" s="2" t="s">
        <v>948</v>
      </c>
      <c r="B588" s="2" t="s">
        <v>10</v>
      </c>
      <c r="C588" s="3">
        <v>44280</v>
      </c>
      <c r="D588" t="s">
        <v>940</v>
      </c>
      <c r="E588" s="2" t="s">
        <v>12</v>
      </c>
      <c r="F588" s="2" t="s">
        <v>12</v>
      </c>
      <c r="G588" t="s">
        <v>586</v>
      </c>
      <c r="H588" t="str">
        <f t="shared" si="18"/>
        <v>https://videplast.com.br/consulta-imobilizado?id=21005718&amp;nome=DOCTOR%20BLADE%20PLUS%20LIGHTERN%201290MM%20CARTON</v>
      </c>
      <c r="I588" t="e">
        <f t="shared" ca="1" si="19"/>
        <v>#NAME?</v>
      </c>
    </row>
    <row r="589" spans="1:9" x14ac:dyDescent="0.25">
      <c r="A589" s="2" t="s">
        <v>949</v>
      </c>
      <c r="B589" s="2" t="s">
        <v>10</v>
      </c>
      <c r="C589" s="3">
        <v>44280</v>
      </c>
      <c r="D589" t="s">
        <v>940</v>
      </c>
      <c r="E589" s="2" t="s">
        <v>12</v>
      </c>
      <c r="F589" s="2" t="s">
        <v>12</v>
      </c>
      <c r="G589" t="s">
        <v>586</v>
      </c>
      <c r="H589" t="str">
        <f t="shared" si="18"/>
        <v>https://videplast.com.br/consulta-imobilizado?id=21005719&amp;nome=DOCTOR%20BLADE%20PLUS%20LIGHTERN%201290MM%20CARTON</v>
      </c>
      <c r="I589" t="e">
        <f t="shared" ca="1" si="19"/>
        <v>#NAME?</v>
      </c>
    </row>
    <row r="590" spans="1:9" x14ac:dyDescent="0.25">
      <c r="A590" s="2" t="s">
        <v>950</v>
      </c>
      <c r="B590" s="2" t="s">
        <v>10</v>
      </c>
      <c r="C590" s="3">
        <v>44280</v>
      </c>
      <c r="D590" t="s">
        <v>940</v>
      </c>
      <c r="E590" s="2" t="s">
        <v>12</v>
      </c>
      <c r="F590" s="2" t="s">
        <v>12</v>
      </c>
      <c r="G590" t="s">
        <v>586</v>
      </c>
      <c r="H590" t="str">
        <f t="shared" si="18"/>
        <v>https://videplast.com.br/consulta-imobilizado?id=21005720&amp;nome=DOCTOR%20BLADE%20PLUS%20LIGHTERN%201290MM%20CARTON</v>
      </c>
      <c r="I590" t="e">
        <f t="shared" ca="1" si="19"/>
        <v>#NAME?</v>
      </c>
    </row>
    <row r="591" spans="1:9" x14ac:dyDescent="0.25">
      <c r="A591" s="2" t="s">
        <v>951</v>
      </c>
      <c r="B591" s="2" t="s">
        <v>10</v>
      </c>
      <c r="C591" s="3">
        <v>44258</v>
      </c>
      <c r="D591" t="s">
        <v>952</v>
      </c>
      <c r="E591" s="2" t="s">
        <v>12</v>
      </c>
      <c r="F591" s="2" t="s">
        <v>12</v>
      </c>
      <c r="G591" t="s">
        <v>586</v>
      </c>
      <c r="H591" t="str">
        <f t="shared" si="18"/>
        <v>https://videplast.com.br/consulta-imobilizado?id=21005725&amp;nome=MISTURADOR%20DIRETO%20PNEUM%201000L%20MDPC-1000</v>
      </c>
      <c r="I591" t="e">
        <f t="shared" ca="1" si="19"/>
        <v>#NAME?</v>
      </c>
    </row>
    <row r="592" spans="1:9" x14ac:dyDescent="0.25">
      <c r="A592" s="2" t="s">
        <v>951</v>
      </c>
      <c r="B592" s="2" t="s">
        <v>26</v>
      </c>
      <c r="C592" s="3">
        <v>44258</v>
      </c>
      <c r="D592" t="s">
        <v>953</v>
      </c>
      <c r="E592" s="2" t="s">
        <v>12</v>
      </c>
      <c r="F592" s="2" t="s">
        <v>12</v>
      </c>
      <c r="G592" t="s">
        <v>586</v>
      </c>
      <c r="H592" t="str">
        <f t="shared" si="18"/>
        <v>https://videplast.com.br/consulta-imobilizado?id=21005725&amp;nome=FRETE%20MISTURADOR</v>
      </c>
      <c r="I592" t="e">
        <f t="shared" ca="1" si="19"/>
        <v>#NAME?</v>
      </c>
    </row>
    <row r="593" spans="1:9" x14ac:dyDescent="0.25">
      <c r="A593" s="2" t="s">
        <v>954</v>
      </c>
      <c r="B593" s="2" t="s">
        <v>10</v>
      </c>
      <c r="C593" s="3">
        <v>44182</v>
      </c>
      <c r="D593" t="s">
        <v>955</v>
      </c>
      <c r="E593" s="2" t="s">
        <v>12</v>
      </c>
      <c r="F593" s="2" t="s">
        <v>12</v>
      </c>
      <c r="G593" t="s">
        <v>586</v>
      </c>
      <c r="H593" t="str">
        <f t="shared" si="18"/>
        <v>https://videplast.com.br/consulta-imobilizado?id=21005791&amp;nome=SISTEMA%20DE%20VIDEO%20INSPECAO%20SUPER%20HANDYSCAN%203000</v>
      </c>
      <c r="I593" t="e">
        <f t="shared" ca="1" si="19"/>
        <v>#NAME?</v>
      </c>
    </row>
    <row r="594" spans="1:9" x14ac:dyDescent="0.25">
      <c r="A594" s="2" t="s">
        <v>954</v>
      </c>
      <c r="B594" s="2" t="s">
        <v>26</v>
      </c>
      <c r="C594" s="3">
        <v>44182</v>
      </c>
      <c r="D594" t="s">
        <v>956</v>
      </c>
      <c r="E594" s="2" t="s">
        <v>12</v>
      </c>
      <c r="F594" s="2" t="s">
        <v>12</v>
      </c>
      <c r="G594" t="s">
        <v>586</v>
      </c>
      <c r="H594" t="str">
        <f t="shared" si="18"/>
        <v>https://videplast.com.br/consulta-imobilizado?id=21005791&amp;nome=FRETE%20P/%20TRANSPORTE%20DO%20SISTEMA%20DE%20VIDEO%20INSPECAO</v>
      </c>
      <c r="I594" t="e">
        <f t="shared" ca="1" si="19"/>
        <v>#NAME?</v>
      </c>
    </row>
    <row r="595" spans="1:9" x14ac:dyDescent="0.25">
      <c r="A595" s="2" t="s">
        <v>957</v>
      </c>
      <c r="B595" s="2" t="s">
        <v>10</v>
      </c>
      <c r="C595" s="3">
        <v>44182</v>
      </c>
      <c r="D595" t="s">
        <v>958</v>
      </c>
      <c r="E595" s="2" t="s">
        <v>12</v>
      </c>
      <c r="F595" s="2" t="s">
        <v>12</v>
      </c>
      <c r="G595" t="s">
        <v>586</v>
      </c>
      <c r="H595" t="str">
        <f t="shared" si="18"/>
        <v>https://videplast.com.br/consulta-imobilizado?id=21005794&amp;nome=ESMAGADOR%20DE%20ZIPER%20ULTRA%20SONICO%20MODELO%20US-80</v>
      </c>
      <c r="I595" t="e">
        <f t="shared" ca="1" si="19"/>
        <v>#NAME?</v>
      </c>
    </row>
    <row r="596" spans="1:9" x14ac:dyDescent="0.25">
      <c r="A596" s="2" t="s">
        <v>959</v>
      </c>
      <c r="B596" s="2" t="s">
        <v>10</v>
      </c>
      <c r="C596" s="3">
        <v>44186</v>
      </c>
      <c r="D596" t="s">
        <v>960</v>
      </c>
      <c r="E596" s="2" t="s">
        <v>961</v>
      </c>
      <c r="F596" s="2" t="s">
        <v>12</v>
      </c>
      <c r="G596" t="s">
        <v>586</v>
      </c>
      <c r="H596" t="str">
        <f t="shared" si="18"/>
        <v>https://videplast.com.br/consulta-imobilizado?id=21005815&amp;nome=MAQ%20P/LAVAR%20E%20LIMPAR%20CHAPAS%20DE%20IMP%20MOD%201200MM</v>
      </c>
      <c r="I596" t="e">
        <f t="shared" ca="1" si="19"/>
        <v>#NAME?</v>
      </c>
    </row>
    <row r="597" spans="1:9" x14ac:dyDescent="0.25">
      <c r="A597" s="2" t="s">
        <v>962</v>
      </c>
      <c r="B597" s="2" t="s">
        <v>10</v>
      </c>
      <c r="C597" s="3">
        <v>44186</v>
      </c>
      <c r="D597" t="s">
        <v>963</v>
      </c>
      <c r="E597" s="2" t="s">
        <v>12</v>
      </c>
      <c r="F597" s="2" t="s">
        <v>12</v>
      </c>
      <c r="G597" t="s">
        <v>586</v>
      </c>
      <c r="H597" t="str">
        <f t="shared" si="18"/>
        <v>https://videplast.com.br/consulta-imobilizado?id=21005816&amp;nome=MAQUINA%20LAVAR%20CAMARAS%20DOCTOR%20BLADE</v>
      </c>
      <c r="I597" t="e">
        <f t="shared" ca="1" si="19"/>
        <v>#NAME?</v>
      </c>
    </row>
    <row r="598" spans="1:9" x14ac:dyDescent="0.25">
      <c r="A598" s="2" t="s">
        <v>962</v>
      </c>
      <c r="B598" s="2" t="s">
        <v>26</v>
      </c>
      <c r="C598" s="3">
        <v>44186</v>
      </c>
      <c r="D598" t="s">
        <v>964</v>
      </c>
      <c r="E598" s="2" t="s">
        <v>12</v>
      </c>
      <c r="F598" s="2" t="s">
        <v>12</v>
      </c>
      <c r="G598" t="s">
        <v>586</v>
      </c>
      <c r="H598" t="str">
        <f t="shared" si="18"/>
        <v>https://videplast.com.br/consulta-imobilizado?id=21005816&amp;nome=CUSTAS%20ADUAN%20DO%20PROC%205719%201%20MAQ.LAVAD%20DE%20CAM%20DOCT</v>
      </c>
      <c r="I598" t="e">
        <f t="shared" ca="1" si="19"/>
        <v>#NAME?</v>
      </c>
    </row>
    <row r="599" spans="1:9" x14ac:dyDescent="0.25">
      <c r="A599" s="2" t="s">
        <v>962</v>
      </c>
      <c r="B599" s="2" t="s">
        <v>21</v>
      </c>
      <c r="C599" s="3">
        <v>44186</v>
      </c>
      <c r="D599" t="s">
        <v>965</v>
      </c>
      <c r="E599" s="2" t="s">
        <v>12</v>
      </c>
      <c r="F599" s="2" t="s">
        <v>12</v>
      </c>
      <c r="G599" t="s">
        <v>586</v>
      </c>
      <c r="H599" t="str">
        <f t="shared" si="18"/>
        <v>https://videplast.com.br/consulta-imobilizado?id=21005816&amp;nome=ICMS%20DO%20PROC%20DE%20IMPORT%205719%201%20MAQ.LAVADORA%20DE%20CAM</v>
      </c>
      <c r="I599" t="e">
        <f t="shared" ca="1" si="19"/>
        <v>#NAME?</v>
      </c>
    </row>
    <row r="600" spans="1:9" x14ac:dyDescent="0.25">
      <c r="A600" s="2" t="s">
        <v>962</v>
      </c>
      <c r="B600" s="2" t="s">
        <v>29</v>
      </c>
      <c r="C600" s="3">
        <v>44186</v>
      </c>
      <c r="D600" t="s">
        <v>966</v>
      </c>
      <c r="E600" s="2" t="s">
        <v>12</v>
      </c>
      <c r="F600" s="2" t="s">
        <v>12</v>
      </c>
      <c r="G600" t="s">
        <v>586</v>
      </c>
      <c r="H600" t="str">
        <f t="shared" si="18"/>
        <v>https://videplast.com.br/consulta-imobilizado?id=21005816&amp;nome=VAL%20REF%20PROC%20IMPORT%205719%201%20MAQ.LAVAD%20DE%20CAM</v>
      </c>
      <c r="I600" t="e">
        <f t="shared" ca="1" si="19"/>
        <v>#NAME?</v>
      </c>
    </row>
    <row r="601" spans="1:9" x14ac:dyDescent="0.25">
      <c r="A601" s="2" t="s">
        <v>962</v>
      </c>
      <c r="B601" s="2" t="s">
        <v>31</v>
      </c>
      <c r="C601" s="3">
        <v>44186</v>
      </c>
      <c r="D601" t="s">
        <v>967</v>
      </c>
      <c r="E601" s="2" t="s">
        <v>12</v>
      </c>
      <c r="F601" s="2" t="s">
        <v>12</v>
      </c>
      <c r="G601" t="s">
        <v>586</v>
      </c>
      <c r="H601" t="str">
        <f t="shared" si="18"/>
        <v>https://videplast.com.br/consulta-imobilizado?id=21005816&amp;nome=MATERIAIS%20HIDRAULICOS%20DIVERSOS%20P/MONTAGEM%20DA</v>
      </c>
      <c r="I601" t="e">
        <f t="shared" ca="1" si="19"/>
        <v>#NAME?</v>
      </c>
    </row>
    <row r="602" spans="1:9" x14ac:dyDescent="0.25">
      <c r="A602" s="2" t="s">
        <v>962</v>
      </c>
      <c r="B602" s="2" t="s">
        <v>33</v>
      </c>
      <c r="C602" s="3">
        <v>44186</v>
      </c>
      <c r="D602" t="s">
        <v>967</v>
      </c>
      <c r="E602" s="2" t="s">
        <v>12</v>
      </c>
      <c r="F602" s="2" t="s">
        <v>12</v>
      </c>
      <c r="G602" t="s">
        <v>586</v>
      </c>
      <c r="H602" t="str">
        <f t="shared" si="18"/>
        <v>https://videplast.com.br/consulta-imobilizado?id=21005816&amp;nome=MATERIAIS%20HIDRAULICOS%20DIVERSOS%20P/MONTAGEM%20DA</v>
      </c>
      <c r="I602" t="e">
        <f t="shared" ca="1" si="19"/>
        <v>#NAME?</v>
      </c>
    </row>
    <row r="603" spans="1:9" x14ac:dyDescent="0.25">
      <c r="A603" s="2" t="s">
        <v>962</v>
      </c>
      <c r="B603" s="2" t="s">
        <v>35</v>
      </c>
      <c r="C603" s="3">
        <v>44186</v>
      </c>
      <c r="D603" t="s">
        <v>968</v>
      </c>
      <c r="E603" s="2" t="s">
        <v>12</v>
      </c>
      <c r="F603" s="2" t="s">
        <v>12</v>
      </c>
      <c r="G603" t="s">
        <v>586</v>
      </c>
      <c r="H603" t="str">
        <f t="shared" si="18"/>
        <v>https://videplast.com.br/consulta-imobilizado?id=21005816&amp;nome=MATERIAIS%20ELETRICOS%20DIVERSOS%20P/%20MONTAGEM%20DA</v>
      </c>
      <c r="I603" t="e">
        <f t="shared" ca="1" si="19"/>
        <v>#NAME?</v>
      </c>
    </row>
    <row r="604" spans="1:9" x14ac:dyDescent="0.25">
      <c r="A604" s="2" t="s">
        <v>962</v>
      </c>
      <c r="B604" s="2" t="s">
        <v>37</v>
      </c>
      <c r="C604" s="3">
        <v>44186</v>
      </c>
      <c r="D604" t="s">
        <v>969</v>
      </c>
      <c r="E604" s="2" t="s">
        <v>12</v>
      </c>
      <c r="F604" s="2" t="s">
        <v>12</v>
      </c>
      <c r="G604" t="s">
        <v>586</v>
      </c>
      <c r="H604" t="str">
        <f t="shared" si="18"/>
        <v>https://videplast.com.br/consulta-imobilizado?id=21005816&amp;nome=MATERIAIS%20ELETRICOS%20DIVERSOS%20P/MONTAGEM%20DA</v>
      </c>
      <c r="I604" t="e">
        <f t="shared" ca="1" si="19"/>
        <v>#NAME?</v>
      </c>
    </row>
    <row r="605" spans="1:9" x14ac:dyDescent="0.25">
      <c r="A605" s="2" t="s">
        <v>970</v>
      </c>
      <c r="B605" s="2" t="s">
        <v>10</v>
      </c>
      <c r="C605" s="3">
        <v>44186</v>
      </c>
      <c r="D605" t="s">
        <v>971</v>
      </c>
      <c r="E605" s="2" t="s">
        <v>972</v>
      </c>
      <c r="F605" s="2" t="s">
        <v>723</v>
      </c>
      <c r="G605" t="s">
        <v>586</v>
      </c>
      <c r="H605" t="str">
        <f t="shared" si="18"/>
        <v>https://videplast.com.br/consulta-imobilizado?id=21005818&amp;nome=MAQUINA%20AUTOMATICA%20LAVAR%20ANILOX%20ECOCLEAN%208KW%20380V</v>
      </c>
      <c r="I605" t="e">
        <f t="shared" ca="1" si="19"/>
        <v>#NAME?</v>
      </c>
    </row>
    <row r="606" spans="1:9" x14ac:dyDescent="0.25">
      <c r="A606" s="2" t="s">
        <v>970</v>
      </c>
      <c r="B606" s="2" t="s">
        <v>26</v>
      </c>
      <c r="C606" s="3">
        <v>45512</v>
      </c>
      <c r="D606" t="s">
        <v>973</v>
      </c>
      <c r="E606" s="2" t="s">
        <v>12</v>
      </c>
      <c r="F606" s="2" t="s">
        <v>12</v>
      </c>
      <c r="G606" t="s">
        <v>586</v>
      </c>
      <c r="H606" t="str">
        <f t="shared" si="18"/>
        <v>https://videplast.com.br/consulta-imobilizado?id=21005818&amp;nome=SERVIÇO%20DE%20REPARO%20E%20ROFORMA%20MAQUINA%20LAVAR%20ANILOX</v>
      </c>
      <c r="I606" t="e">
        <f t="shared" ca="1" si="19"/>
        <v>#NAME?</v>
      </c>
    </row>
    <row r="607" spans="1:9" x14ac:dyDescent="0.25">
      <c r="A607" s="2" t="s">
        <v>974</v>
      </c>
      <c r="B607" s="2" t="s">
        <v>10</v>
      </c>
      <c r="C607" s="3">
        <v>44404</v>
      </c>
      <c r="D607" t="s">
        <v>975</v>
      </c>
      <c r="E607" s="2" t="s">
        <v>12</v>
      </c>
      <c r="F607" s="2" t="s">
        <v>12</v>
      </c>
      <c r="G607" t="s">
        <v>586</v>
      </c>
      <c r="H607" t="str">
        <f t="shared" si="18"/>
        <v>https://videplast.com.br/consulta-imobilizado?id=21005867&amp;nome=BOMBA%20PNEUMATICA%20MEGA%20FLUX%20MF-AF000100S%20110L</v>
      </c>
      <c r="I607" t="e">
        <f t="shared" ca="1" si="19"/>
        <v>#NAME?</v>
      </c>
    </row>
    <row r="608" spans="1:9" x14ac:dyDescent="0.25">
      <c r="A608" s="2" t="s">
        <v>974</v>
      </c>
      <c r="B608" s="2" t="s">
        <v>26</v>
      </c>
      <c r="C608" s="3">
        <v>44404</v>
      </c>
      <c r="D608" t="s">
        <v>976</v>
      </c>
      <c r="E608" s="2" t="s">
        <v>12</v>
      </c>
      <c r="F608" s="2" t="s">
        <v>12</v>
      </c>
      <c r="G608" t="s">
        <v>586</v>
      </c>
      <c r="H608" t="str">
        <f t="shared" si="18"/>
        <v>https://videplast.com.br/consulta-imobilizado?id=21005867&amp;nome=FRETE%20BOMBA%20PNEUMATICA%20MEGA%20FLUX%20MF-AF000100S%20110L</v>
      </c>
      <c r="I608" t="e">
        <f t="shared" ca="1" si="19"/>
        <v>#NAME?</v>
      </c>
    </row>
    <row r="609" spans="1:9" x14ac:dyDescent="0.25">
      <c r="A609" s="2" t="s">
        <v>977</v>
      </c>
      <c r="B609" s="2" t="s">
        <v>10</v>
      </c>
      <c r="C609" s="3">
        <v>44404</v>
      </c>
      <c r="D609" t="s">
        <v>975</v>
      </c>
      <c r="E609" s="2" t="s">
        <v>12</v>
      </c>
      <c r="F609" s="2" t="s">
        <v>12</v>
      </c>
      <c r="G609" t="s">
        <v>586</v>
      </c>
      <c r="H609" t="str">
        <f t="shared" si="18"/>
        <v>https://videplast.com.br/consulta-imobilizado?id=21005868&amp;nome=BOMBA%20PNEUMATICA%20MEGA%20FLUX%20MF-AF000100S%20110L</v>
      </c>
      <c r="I609" t="e">
        <f t="shared" ca="1" si="19"/>
        <v>#NAME?</v>
      </c>
    </row>
    <row r="610" spans="1:9" x14ac:dyDescent="0.25">
      <c r="A610" s="2" t="s">
        <v>978</v>
      </c>
      <c r="B610" s="2" t="s">
        <v>10</v>
      </c>
      <c r="C610" s="3">
        <v>44426</v>
      </c>
      <c r="D610" t="s">
        <v>979</v>
      </c>
      <c r="E610" s="2" t="s">
        <v>12</v>
      </c>
      <c r="F610" s="2" t="s">
        <v>12</v>
      </c>
      <c r="G610" t="s">
        <v>586</v>
      </c>
      <c r="H610" t="str">
        <f t="shared" si="18"/>
        <v>https://videplast.com.br/consulta-imobilizado?id=21005944&amp;nome=MISTURADOR%20DIRETO%20PNEUMATICO%20PARA%20CONTEINER%201000L</v>
      </c>
      <c r="I610" t="e">
        <f t="shared" ca="1" si="19"/>
        <v>#NAME?</v>
      </c>
    </row>
    <row r="611" spans="1:9" x14ac:dyDescent="0.25">
      <c r="A611" s="2" t="s">
        <v>978</v>
      </c>
      <c r="B611" s="2" t="s">
        <v>26</v>
      </c>
      <c r="C611" s="3">
        <v>44426</v>
      </c>
      <c r="D611" t="s">
        <v>980</v>
      </c>
      <c r="E611" s="2" t="s">
        <v>12</v>
      </c>
      <c r="F611" s="2" t="s">
        <v>12</v>
      </c>
      <c r="G611" t="s">
        <v>586</v>
      </c>
      <c r="H611" t="str">
        <f t="shared" si="18"/>
        <v>https://videplast.com.br/consulta-imobilizado?id=21005944&amp;nome=FRETE%20REFERENTE%20Ao%20MISTURADOR%20DIRETO%20PNEUMATICO</v>
      </c>
      <c r="I611" t="e">
        <f t="shared" ca="1" si="19"/>
        <v>#NAME?</v>
      </c>
    </row>
    <row r="612" spans="1:9" x14ac:dyDescent="0.25">
      <c r="A612" s="2" t="s">
        <v>981</v>
      </c>
      <c r="B612" s="2" t="s">
        <v>10</v>
      </c>
      <c r="C612" s="3">
        <v>44762</v>
      </c>
      <c r="D612" t="s">
        <v>982</v>
      </c>
      <c r="E612" s="2" t="s">
        <v>983</v>
      </c>
      <c r="F612" s="2" t="s">
        <v>12</v>
      </c>
      <c r="G612" t="s">
        <v>586</v>
      </c>
      <c r="H612" t="str">
        <f t="shared" si="18"/>
        <v>https://videplast.com.br/consulta-imobilizado?id=21006113&amp;nome=PALETEIRA%20MANUAL%203.0T%20GARFOS%20PADRAO</v>
      </c>
      <c r="I612" t="e">
        <f t="shared" ca="1" si="19"/>
        <v>#NAME?</v>
      </c>
    </row>
    <row r="613" spans="1:9" x14ac:dyDescent="0.25">
      <c r="A613" s="2" t="s">
        <v>984</v>
      </c>
      <c r="B613" s="2" t="s">
        <v>10</v>
      </c>
      <c r="C613" s="3">
        <v>44692</v>
      </c>
      <c r="D613" t="s">
        <v>853</v>
      </c>
      <c r="E613" s="2" t="s">
        <v>12</v>
      </c>
      <c r="F613" s="2" t="s">
        <v>12</v>
      </c>
      <c r="G613" t="s">
        <v>586</v>
      </c>
      <c r="H613" t="str">
        <f t="shared" si="18"/>
        <v>https://videplast.com.br/consulta-imobilizado?id=21006116&amp;nome=PALETEIRAS%20M25%20COM%20RODAS%20DE%20NYLON</v>
      </c>
      <c r="I613" t="e">
        <f t="shared" ca="1" si="19"/>
        <v>#NAME?</v>
      </c>
    </row>
    <row r="614" spans="1:9" x14ac:dyDescent="0.25">
      <c r="A614" s="2" t="s">
        <v>985</v>
      </c>
      <c r="B614" s="2" t="s">
        <v>10</v>
      </c>
      <c r="C614" s="3">
        <v>44692</v>
      </c>
      <c r="D614" t="s">
        <v>853</v>
      </c>
      <c r="E614" s="2" t="s">
        <v>12</v>
      </c>
      <c r="F614" s="2" t="s">
        <v>12</v>
      </c>
      <c r="G614" t="s">
        <v>586</v>
      </c>
      <c r="H614" t="str">
        <f t="shared" si="18"/>
        <v>https://videplast.com.br/consulta-imobilizado?id=21006117&amp;nome=PALETEIRAS%20M25%20COM%20RODAS%20DE%20NYLON</v>
      </c>
      <c r="I614" t="e">
        <f t="shared" ca="1" si="19"/>
        <v>#NAME?</v>
      </c>
    </row>
    <row r="615" spans="1:9" x14ac:dyDescent="0.25">
      <c r="A615" s="2" t="s">
        <v>986</v>
      </c>
      <c r="B615" s="2" t="s">
        <v>10</v>
      </c>
      <c r="C615" s="3">
        <v>44692</v>
      </c>
      <c r="D615" t="s">
        <v>853</v>
      </c>
      <c r="E615" s="2" t="s">
        <v>12</v>
      </c>
      <c r="F615" s="2" t="s">
        <v>12</v>
      </c>
      <c r="G615" t="s">
        <v>586</v>
      </c>
      <c r="H615" t="str">
        <f t="shared" si="18"/>
        <v>https://videplast.com.br/consulta-imobilizado?id=21006118&amp;nome=PALETEIRAS%20M25%20COM%20RODAS%20DE%20NYLON</v>
      </c>
      <c r="I615" t="e">
        <f t="shared" ca="1" si="19"/>
        <v>#NAME?</v>
      </c>
    </row>
    <row r="616" spans="1:9" x14ac:dyDescent="0.25">
      <c r="A616" s="2" t="s">
        <v>987</v>
      </c>
      <c r="B616" s="2" t="s">
        <v>10</v>
      </c>
      <c r="C616" s="3">
        <v>44931</v>
      </c>
      <c r="D616" t="s">
        <v>988</v>
      </c>
      <c r="E616" s="2" t="s">
        <v>12</v>
      </c>
      <c r="F616" s="2" t="s">
        <v>12</v>
      </c>
      <c r="G616" t="s">
        <v>586</v>
      </c>
      <c r="H616" t="str">
        <f t="shared" si="18"/>
        <v>https://videplast.com.br/consulta-imobilizado?id=21006207&amp;nome=ESPECTRODENSITOMETRO%20EXACT%20ADVANCED%20X-RITE</v>
      </c>
      <c r="I616" t="e">
        <f t="shared" ca="1" si="19"/>
        <v>#NAME?</v>
      </c>
    </row>
    <row r="617" spans="1:9" x14ac:dyDescent="0.25">
      <c r="A617" s="2" t="s">
        <v>989</v>
      </c>
      <c r="B617" s="2" t="s">
        <v>10</v>
      </c>
      <c r="C617" s="3">
        <v>44832</v>
      </c>
      <c r="D617" t="s">
        <v>990</v>
      </c>
      <c r="E617" s="2" t="s">
        <v>991</v>
      </c>
      <c r="F617" s="2" t="s">
        <v>992</v>
      </c>
      <c r="G617" t="s">
        <v>586</v>
      </c>
      <c r="H617" t="str">
        <f t="shared" si="18"/>
        <v>https://videplast.com.br/consulta-imobilizado?id=21006210&amp;nome=BALANCA%20DE%20PRECISAO%20MARTE%20AD2000%202010G%20X%200,01G</v>
      </c>
      <c r="I617" t="e">
        <f t="shared" ca="1" si="19"/>
        <v>#NAME?</v>
      </c>
    </row>
    <row r="618" spans="1:9" x14ac:dyDescent="0.25">
      <c r="A618" s="2" t="s">
        <v>993</v>
      </c>
      <c r="B618" s="2" t="s">
        <v>10</v>
      </c>
      <c r="C618" s="3">
        <v>45251</v>
      </c>
      <c r="D618" t="s">
        <v>994</v>
      </c>
      <c r="E618" s="2" t="s">
        <v>12</v>
      </c>
      <c r="F618" s="2" t="s">
        <v>12</v>
      </c>
      <c r="G618" t="s">
        <v>586</v>
      </c>
      <c r="H618" t="str">
        <f t="shared" si="18"/>
        <v>https://videplast.com.br/consulta-imobilizado?id=21006345&amp;nome=CONTROLADOR%20DE%20TEMPERATURA%20REFRISAT%20SAT.060%20AR%20Z</v>
      </c>
      <c r="I618" t="e">
        <f t="shared" ca="1" si="19"/>
        <v>#NAME?</v>
      </c>
    </row>
    <row r="619" spans="1:9" x14ac:dyDescent="0.25">
      <c r="A619" s="2" t="s">
        <v>995</v>
      </c>
      <c r="B619" s="2" t="s">
        <v>10</v>
      </c>
      <c r="C619" s="3">
        <v>45198</v>
      </c>
      <c r="D619" t="s">
        <v>996</v>
      </c>
      <c r="E619" s="2" t="s">
        <v>12</v>
      </c>
      <c r="F619" s="2" t="s">
        <v>705</v>
      </c>
      <c r="G619" t="s">
        <v>586</v>
      </c>
      <c r="H619" t="str">
        <f t="shared" si="18"/>
        <v>https://videplast.com.br/consulta-imobilizado?id=21006368&amp;nome=MEDIDOR%20DE%20VOLUME%20EM%20CILINDROS%20ANILOX%20INKROVER</v>
      </c>
      <c r="I619" t="e">
        <f t="shared" ca="1" si="19"/>
        <v>#NAME?</v>
      </c>
    </row>
    <row r="620" spans="1:9" x14ac:dyDescent="0.25">
      <c r="A620" s="2" t="s">
        <v>997</v>
      </c>
      <c r="B620" s="2" t="s">
        <v>10</v>
      </c>
      <c r="C620" s="3">
        <v>45330</v>
      </c>
      <c r="D620" t="s">
        <v>998</v>
      </c>
      <c r="E620" s="2" t="s">
        <v>12</v>
      </c>
      <c r="F620" s="2" t="s">
        <v>999</v>
      </c>
      <c r="G620" t="s">
        <v>586</v>
      </c>
      <c r="H620" t="str">
        <f t="shared" si="18"/>
        <v>https://videplast.com.br/consulta-imobilizado?id=21006371&amp;nome=RECUPERADOR%20DE%20SOLVENTE%20ROTO%20PLUS%20400%20ATEX%20II%202%20G</v>
      </c>
      <c r="I620" t="e">
        <f t="shared" ca="1" si="19"/>
        <v>#NAME?</v>
      </c>
    </row>
    <row r="621" spans="1:9" x14ac:dyDescent="0.25">
      <c r="A621" s="2" t="s">
        <v>997</v>
      </c>
      <c r="B621" s="2" t="s">
        <v>26</v>
      </c>
      <c r="C621" s="3">
        <v>45575</v>
      </c>
      <c r="D621" t="s">
        <v>1000</v>
      </c>
      <c r="E621" s="2" t="s">
        <v>12</v>
      </c>
      <c r="F621" s="2" t="s">
        <v>12</v>
      </c>
      <c r="G621" t="s">
        <v>586</v>
      </c>
      <c r="H621" t="str">
        <f t="shared" si="18"/>
        <v>https://videplast.com.br/consulta-imobilizado?id=21006371&amp;nome=DESPESAS%20COM%20INSTALACAO%20RECUPERADOR%20DE%20SOLVENTE</v>
      </c>
      <c r="I621" t="e">
        <f t="shared" ca="1" si="19"/>
        <v>#NAME?</v>
      </c>
    </row>
    <row r="622" spans="1:9" x14ac:dyDescent="0.25">
      <c r="A622" s="2" t="s">
        <v>1001</v>
      </c>
      <c r="B622" s="2" t="s">
        <v>10</v>
      </c>
      <c r="C622" s="3">
        <v>45350</v>
      </c>
      <c r="D622" t="s">
        <v>1002</v>
      </c>
      <c r="E622" s="2" t="s">
        <v>12</v>
      </c>
      <c r="F622" s="2" t="s">
        <v>1003</v>
      </c>
      <c r="G622" t="s">
        <v>586</v>
      </c>
      <c r="H622" t="str">
        <f t="shared" si="18"/>
        <v>https://videplast.com.br/consulta-imobilizado?id=21006423&amp;nome=BALANCA%20TRENTIN%20BT-0011%201000KG%20PLATAFORMA%201,2x1,2M</v>
      </c>
      <c r="I622" t="e">
        <f t="shared" ca="1" si="19"/>
        <v>#NAME?</v>
      </c>
    </row>
    <row r="623" spans="1:9" x14ac:dyDescent="0.25">
      <c r="A623" s="2" t="s">
        <v>1004</v>
      </c>
      <c r="B623" s="2" t="s">
        <v>10</v>
      </c>
      <c r="C623" s="3">
        <v>45350</v>
      </c>
      <c r="D623" t="s">
        <v>1005</v>
      </c>
      <c r="E623" s="2" t="s">
        <v>12</v>
      </c>
      <c r="F623" s="2" t="s">
        <v>1006</v>
      </c>
      <c r="G623" t="s">
        <v>586</v>
      </c>
      <c r="H623" t="str">
        <f t="shared" si="18"/>
        <v>https://videplast.com.br/consulta-imobilizado?id=21006430&amp;nome=PALETEIRA%20MANUAL%20TX-25%20CAPACIDADE%202500%20KG%20STILL</v>
      </c>
      <c r="I623" t="e">
        <f t="shared" ca="1" si="19"/>
        <v>#NAME?</v>
      </c>
    </row>
    <row r="624" spans="1:9" x14ac:dyDescent="0.25">
      <c r="A624" s="2" t="s">
        <v>1004</v>
      </c>
      <c r="B624" s="2" t="s">
        <v>26</v>
      </c>
      <c r="C624" s="3">
        <v>45351</v>
      </c>
      <c r="D624" t="s">
        <v>1007</v>
      </c>
      <c r="E624" s="2" t="s">
        <v>12</v>
      </c>
      <c r="F624" s="2" t="s">
        <v>12</v>
      </c>
      <c r="G624" t="s">
        <v>586</v>
      </c>
      <c r="H624" t="str">
        <f t="shared" si="18"/>
        <v>https://videplast.com.br/consulta-imobilizado?id=21006430&amp;nome=FRETE%20PALETEIRA%20MANUAL%20TX-25</v>
      </c>
      <c r="I624" t="e">
        <f t="shared" ca="1" si="19"/>
        <v>#NAME?</v>
      </c>
    </row>
    <row r="625" spans="1:9" x14ac:dyDescent="0.25">
      <c r="A625" s="2" t="s">
        <v>1008</v>
      </c>
      <c r="B625" s="2" t="s">
        <v>10</v>
      </c>
      <c r="C625" s="3">
        <v>45350</v>
      </c>
      <c r="D625" t="s">
        <v>1005</v>
      </c>
      <c r="E625" s="2" t="s">
        <v>12</v>
      </c>
      <c r="F625" s="2" t="s">
        <v>1009</v>
      </c>
      <c r="G625" t="s">
        <v>586</v>
      </c>
      <c r="H625" t="str">
        <f t="shared" si="18"/>
        <v>https://videplast.com.br/consulta-imobilizado?id=21006431&amp;nome=PALETEIRA%20MANUAL%20TX-25%20CAPACIDADE%202500%20KG%20STILL</v>
      </c>
      <c r="I625" t="e">
        <f t="shared" ca="1" si="19"/>
        <v>#NAME?</v>
      </c>
    </row>
    <row r="626" spans="1:9" x14ac:dyDescent="0.25">
      <c r="A626" s="2" t="s">
        <v>1008</v>
      </c>
      <c r="B626" s="2" t="s">
        <v>26</v>
      </c>
      <c r="C626" s="3">
        <v>45351</v>
      </c>
      <c r="D626" t="s">
        <v>1007</v>
      </c>
      <c r="E626" s="2" t="s">
        <v>12</v>
      </c>
      <c r="F626" s="2" t="s">
        <v>12</v>
      </c>
      <c r="G626" t="s">
        <v>586</v>
      </c>
      <c r="H626" t="str">
        <f t="shared" si="18"/>
        <v>https://videplast.com.br/consulta-imobilizado?id=21006431&amp;nome=FRETE%20PALETEIRA%20MANUAL%20TX-25</v>
      </c>
      <c r="I626" t="e">
        <f t="shared" ca="1" si="19"/>
        <v>#NAME?</v>
      </c>
    </row>
    <row r="627" spans="1:9" x14ac:dyDescent="0.25">
      <c r="A627" s="2" t="s">
        <v>1010</v>
      </c>
      <c r="B627" s="2" t="s">
        <v>10</v>
      </c>
      <c r="C627" s="3">
        <v>45366</v>
      </c>
      <c r="D627" t="s">
        <v>1011</v>
      </c>
      <c r="E627" s="2" t="s">
        <v>12</v>
      </c>
      <c r="F627" s="2" t="s">
        <v>1012</v>
      </c>
      <c r="G627" t="s">
        <v>586</v>
      </c>
      <c r="H627" t="str">
        <f t="shared" si="18"/>
        <v>https://videplast.com.br/consulta-imobilizado?id=21006452&amp;nome=EMPILHADEIRA%20MANUAL%20PALETRANS%20PM1516%201500%20KG</v>
      </c>
      <c r="I627" t="e">
        <f t="shared" ca="1" si="19"/>
        <v>#NAME?</v>
      </c>
    </row>
    <row r="628" spans="1:9" x14ac:dyDescent="0.25">
      <c r="A628" s="2" t="s">
        <v>1013</v>
      </c>
      <c r="B628" s="2" t="s">
        <v>10</v>
      </c>
      <c r="C628" s="3">
        <v>45425</v>
      </c>
      <c r="D628" t="s">
        <v>1014</v>
      </c>
      <c r="E628" s="2" t="s">
        <v>12</v>
      </c>
      <c r="F628" s="2" t="s">
        <v>1015</v>
      </c>
      <c r="G628" t="s">
        <v>586</v>
      </c>
      <c r="H628" t="str">
        <f t="shared" si="18"/>
        <v>https://videplast.com.br/consulta-imobilizado?id=21006460&amp;nome=CAMISA%20DE%20LAMINACAO%20LAMIFLEX</v>
      </c>
      <c r="I628" t="e">
        <f t="shared" ca="1" si="19"/>
        <v>#NAME?</v>
      </c>
    </row>
    <row r="629" spans="1:9" x14ac:dyDescent="0.25">
      <c r="A629" s="2" t="s">
        <v>1016</v>
      </c>
      <c r="B629" s="2" t="s">
        <v>10</v>
      </c>
      <c r="C629" s="3">
        <v>45425</v>
      </c>
      <c r="D629" t="s">
        <v>1014</v>
      </c>
      <c r="E629" s="2" t="s">
        <v>12</v>
      </c>
      <c r="F629" s="2" t="s">
        <v>1017</v>
      </c>
      <c r="G629" t="s">
        <v>586</v>
      </c>
      <c r="H629" t="str">
        <f t="shared" si="18"/>
        <v>https://videplast.com.br/consulta-imobilizado?id=21006461&amp;nome=CAMISA%20DE%20LAMINACAO%20LAMIFLEX</v>
      </c>
      <c r="I629" t="e">
        <f t="shared" ca="1" si="19"/>
        <v>#NAME?</v>
      </c>
    </row>
    <row r="630" spans="1:9" x14ac:dyDescent="0.25">
      <c r="A630" s="2" t="s">
        <v>1018</v>
      </c>
      <c r="B630" s="2" t="s">
        <v>10</v>
      </c>
      <c r="C630" s="3">
        <v>45441</v>
      </c>
      <c r="D630" t="s">
        <v>1019</v>
      </c>
      <c r="E630" s="2" t="s">
        <v>12</v>
      </c>
      <c r="F630" s="2" t="s">
        <v>12</v>
      </c>
      <c r="G630" t="s">
        <v>586</v>
      </c>
      <c r="H630" t="str">
        <f t="shared" si="18"/>
        <v>https://videplast.com.br/consulta-imobilizado?id=21006512&amp;nome=TROCADOR%20DE%20CALOR%20MECALOR%20MAS-60-RI-380/C</v>
      </c>
      <c r="I630" t="e">
        <f t="shared" ca="1" si="19"/>
        <v>#NAME?</v>
      </c>
    </row>
    <row r="631" spans="1:9" x14ac:dyDescent="0.25">
      <c r="A631" s="2" t="s">
        <v>1018</v>
      </c>
      <c r="B631" s="2" t="s">
        <v>26</v>
      </c>
      <c r="C631" s="3">
        <v>45448</v>
      </c>
      <c r="D631" t="s">
        <v>1020</v>
      </c>
      <c r="E631" s="2" t="s">
        <v>12</v>
      </c>
      <c r="F631" s="2" t="s">
        <v>12</v>
      </c>
      <c r="G631" t="s">
        <v>586</v>
      </c>
      <c r="H631" t="str">
        <f t="shared" si="18"/>
        <v>https://videplast.com.br/consulta-imobilizado?id=21006512&amp;nome=MANUTENCAO%20E%20REPARO%20TROCADOR%20DE%20CALOR%20MECALOR</v>
      </c>
      <c r="I631" t="e">
        <f t="shared" ca="1" si="19"/>
        <v>#NAME?</v>
      </c>
    </row>
    <row r="632" spans="1:9" x14ac:dyDescent="0.25">
      <c r="A632" s="2" t="s">
        <v>1021</v>
      </c>
      <c r="B632" s="2" t="s">
        <v>10</v>
      </c>
      <c r="C632" s="3">
        <v>45498</v>
      </c>
      <c r="D632" t="s">
        <v>1022</v>
      </c>
      <c r="E632" s="2" t="s">
        <v>12</v>
      </c>
      <c r="F632" s="2" t="s">
        <v>12</v>
      </c>
      <c r="G632" t="s">
        <v>586</v>
      </c>
      <c r="H632" t="str">
        <f t="shared" si="18"/>
        <v>https://videplast.com.br/consulta-imobilizado?id=21006606&amp;nome=PAINEL%20ELETRONICO%20FAFRICACAO%20INTERNA</v>
      </c>
      <c r="I632" t="e">
        <f t="shared" ca="1" si="19"/>
        <v>#NAME?</v>
      </c>
    </row>
    <row r="633" spans="1:9" x14ac:dyDescent="0.25">
      <c r="A633" s="2" t="s">
        <v>1023</v>
      </c>
      <c r="B633" s="2" t="s">
        <v>10</v>
      </c>
      <c r="C633" s="3">
        <v>45516</v>
      </c>
      <c r="D633" t="s">
        <v>148</v>
      </c>
      <c r="E633" s="2" t="s">
        <v>1024</v>
      </c>
      <c r="F633" s="2" t="s">
        <v>12</v>
      </c>
      <c r="G633" t="s">
        <v>586</v>
      </c>
      <c r="H633" t="str">
        <f t="shared" si="18"/>
        <v>https://videplast.com.br/consulta-imobilizado?id=21006610&amp;nome=CARRO%20HIDRAULICO%20TM%202220%20680X1150%20SIMPLES%20NYLON</v>
      </c>
      <c r="I633" t="e">
        <f t="shared" ca="1" si="19"/>
        <v>#NAME?</v>
      </c>
    </row>
    <row r="634" spans="1:9" x14ac:dyDescent="0.25">
      <c r="A634" s="2" t="s">
        <v>1025</v>
      </c>
      <c r="B634" s="2" t="s">
        <v>10</v>
      </c>
      <c r="C634" s="3">
        <v>45516</v>
      </c>
      <c r="D634" t="s">
        <v>764</v>
      </c>
      <c r="E634" s="2" t="s">
        <v>12</v>
      </c>
      <c r="F634" s="2" t="s">
        <v>12</v>
      </c>
      <c r="G634" t="s">
        <v>586</v>
      </c>
      <c r="H634" t="str">
        <f t="shared" si="18"/>
        <v>https://videplast.com.br/consulta-imobilizado?id=21006612&amp;nome=AR%20CONDICIONADO%20ACJ%207500%20BTUS%20ELECTROLUX</v>
      </c>
      <c r="I634" t="e">
        <f t="shared" ca="1" si="19"/>
        <v>#NAME?</v>
      </c>
    </row>
    <row r="635" spans="1:9" x14ac:dyDescent="0.25">
      <c r="A635" s="2" t="s">
        <v>1026</v>
      </c>
      <c r="B635" s="2" t="s">
        <v>10</v>
      </c>
      <c r="C635" s="3">
        <v>45516</v>
      </c>
      <c r="D635" t="s">
        <v>837</v>
      </c>
      <c r="E635" s="2" t="s">
        <v>12</v>
      </c>
      <c r="F635" s="2" t="s">
        <v>12</v>
      </c>
      <c r="G635" t="s">
        <v>586</v>
      </c>
      <c r="H635" t="str">
        <f t="shared" si="18"/>
        <v>https://videplast.com.br/consulta-imobilizado?id=21006618&amp;nome=EMPILHADEIRA%20MANUAL%20500KG</v>
      </c>
      <c r="I635" t="e">
        <f t="shared" ca="1" si="19"/>
        <v>#NAME?</v>
      </c>
    </row>
    <row r="636" spans="1:9" x14ac:dyDescent="0.25">
      <c r="A636" s="2" t="s">
        <v>1027</v>
      </c>
      <c r="B636" s="2" t="s">
        <v>10</v>
      </c>
      <c r="C636" s="3">
        <v>45516</v>
      </c>
      <c r="D636" t="s">
        <v>858</v>
      </c>
      <c r="E636" s="2" t="s">
        <v>12</v>
      </c>
      <c r="F636" s="2" t="s">
        <v>12</v>
      </c>
      <c r="G636" t="s">
        <v>586</v>
      </c>
      <c r="H636" t="str">
        <f t="shared" si="18"/>
        <v>https://videplast.com.br/consulta-imobilizado?id=21006620&amp;nome=ENGRENAGEM</v>
      </c>
      <c r="I636" t="e">
        <f t="shared" ca="1" si="19"/>
        <v>#NAME?</v>
      </c>
    </row>
    <row r="637" spans="1:9" x14ac:dyDescent="0.25">
      <c r="A637" s="2" t="s">
        <v>1028</v>
      </c>
      <c r="B637" s="2" t="s">
        <v>10</v>
      </c>
      <c r="C637" s="3">
        <v>45713</v>
      </c>
      <c r="D637" t="s">
        <v>1029</v>
      </c>
      <c r="E637" s="2" t="s">
        <v>12</v>
      </c>
      <c r="F637" s="2" t="s">
        <v>1030</v>
      </c>
      <c r="G637" t="s">
        <v>586</v>
      </c>
      <c r="H637" t="str">
        <f t="shared" si="18"/>
        <v>https://videplast.com.br/consulta-imobilizado?id=21006641&amp;nome=TROCADOR%20DE%20CALOR%20REFRISAT%20TMQF%20022%20AR%209</v>
      </c>
      <c r="I637" t="e">
        <f t="shared" ca="1" si="19"/>
        <v>#NAME?</v>
      </c>
    </row>
    <row r="638" spans="1:9" x14ac:dyDescent="0.25">
      <c r="A638" s="2" t="s">
        <v>1031</v>
      </c>
      <c r="B638" s="2" t="s">
        <v>10</v>
      </c>
      <c r="C638" s="3">
        <v>45574</v>
      </c>
      <c r="D638" t="s">
        <v>1032</v>
      </c>
      <c r="E638" s="2" t="s">
        <v>12</v>
      </c>
      <c r="F638" s="2" t="s">
        <v>12</v>
      </c>
      <c r="G638" t="s">
        <v>586</v>
      </c>
      <c r="H638" t="str">
        <f t="shared" si="18"/>
        <v>https://videplast.com.br/consulta-imobilizado?id=21006817&amp;nome=TROCADOR%20DE%20CALOR%20REFRISAT%20380V%203POL%2060HZ</v>
      </c>
      <c r="I638" t="e">
        <f t="shared" ca="1" si="19"/>
        <v>#NAME?</v>
      </c>
    </row>
    <row r="639" spans="1:9" x14ac:dyDescent="0.25">
      <c r="A639" s="2" t="s">
        <v>1033</v>
      </c>
      <c r="B639" s="2" t="s">
        <v>10</v>
      </c>
      <c r="C639" s="3">
        <v>45653</v>
      </c>
      <c r="D639" t="s">
        <v>1034</v>
      </c>
      <c r="E639" s="2" t="s">
        <v>12</v>
      </c>
      <c r="F639" s="2" t="s">
        <v>1035</v>
      </c>
      <c r="G639" t="s">
        <v>586</v>
      </c>
      <c r="H639" t="str">
        <f t="shared" si="18"/>
        <v>https://videplast.com.br/consulta-imobilizado?id=21006829&amp;nome=ESPECTRODENSITOMETRO%20EXACT%20ADVANCED</v>
      </c>
      <c r="I639" t="e">
        <f t="shared" ca="1" si="19"/>
        <v>#NAME?</v>
      </c>
    </row>
    <row r="640" spans="1:9" x14ac:dyDescent="0.25">
      <c r="A640" s="2" t="s">
        <v>1036</v>
      </c>
      <c r="B640" s="2" t="s">
        <v>10</v>
      </c>
      <c r="C640" s="3">
        <v>45653</v>
      </c>
      <c r="D640" t="s">
        <v>1034</v>
      </c>
      <c r="E640" s="2" t="s">
        <v>12</v>
      </c>
      <c r="F640" s="2" t="s">
        <v>1037</v>
      </c>
      <c r="G640" t="s">
        <v>586</v>
      </c>
      <c r="H640" t="str">
        <f t="shared" si="18"/>
        <v>https://videplast.com.br/consulta-imobilizado?id=21006830&amp;nome=ESPECTRODENSITOMETRO%20EXACT%20ADVANCED</v>
      </c>
      <c r="I640" t="e">
        <f t="shared" ca="1" si="19"/>
        <v>#NAME?</v>
      </c>
    </row>
    <row r="641" spans="1:9" x14ac:dyDescent="0.25">
      <c r="A641" s="2" t="s">
        <v>1038</v>
      </c>
      <c r="B641" s="2" t="s">
        <v>10</v>
      </c>
      <c r="C641" s="3">
        <v>43770</v>
      </c>
      <c r="D641" t="s">
        <v>1039</v>
      </c>
      <c r="E641" s="2" t="s">
        <v>12</v>
      </c>
      <c r="F641" s="2" t="s">
        <v>12</v>
      </c>
      <c r="G641" t="s">
        <v>586</v>
      </c>
      <c r="H641" t="str">
        <f t="shared" si="18"/>
        <v>https://videplast.com.br/consulta-imobilizado?id=22000020&amp;nome=CAMISA%20PORTA%20CLICHE%2041,5%20MM%20COMPT%201290MM</v>
      </c>
      <c r="I641" t="e">
        <f t="shared" ca="1" si="19"/>
        <v>#NAME?</v>
      </c>
    </row>
    <row r="642" spans="1:9" x14ac:dyDescent="0.25">
      <c r="A642" s="2" t="s">
        <v>1040</v>
      </c>
      <c r="B642" s="2" t="s">
        <v>10</v>
      </c>
      <c r="C642" s="3">
        <v>43770</v>
      </c>
      <c r="D642" t="s">
        <v>1039</v>
      </c>
      <c r="E642" s="2" t="s">
        <v>12</v>
      </c>
      <c r="F642" s="2" t="s">
        <v>12</v>
      </c>
      <c r="G642" t="s">
        <v>586</v>
      </c>
      <c r="H642" t="str">
        <f t="shared" ref="H642:H705" si="20" xml:space="preserve"> "https://videplast.com.br/consulta-imobilizado?id=" &amp; A642 &amp; "&amp;nome=" &amp; SUBSTITUTE(D642, " ", "%20")</f>
        <v>https://videplast.com.br/consulta-imobilizado?id=22000021&amp;nome=CAMISA%20PORTA%20CLICHE%2041,5%20MM%20COMPT%201290MM</v>
      </c>
      <c r="I642" t="e">
        <f t="shared" ref="I642:I705" ca="1" si="21">_xlfn.IMAGE("https://chart.googleapis.com/chart?chs=150x150&amp;cht=qr&amp;chl=" &amp; H642)</f>
        <v>#NAME?</v>
      </c>
    </row>
    <row r="643" spans="1:9" x14ac:dyDescent="0.25">
      <c r="A643" s="2" t="s">
        <v>1041</v>
      </c>
      <c r="B643" s="2" t="s">
        <v>10</v>
      </c>
      <c r="C643" s="3">
        <v>43770</v>
      </c>
      <c r="D643" t="s">
        <v>1039</v>
      </c>
      <c r="E643" s="2" t="s">
        <v>12</v>
      </c>
      <c r="F643" s="2" t="s">
        <v>12</v>
      </c>
      <c r="G643" t="s">
        <v>586</v>
      </c>
      <c r="H643" t="str">
        <f t="shared" si="20"/>
        <v>https://videplast.com.br/consulta-imobilizado?id=22000022&amp;nome=CAMISA%20PORTA%20CLICHE%2041,5%20MM%20COMPT%201290MM</v>
      </c>
      <c r="I643" t="e">
        <f t="shared" ca="1" si="21"/>
        <v>#NAME?</v>
      </c>
    </row>
    <row r="644" spans="1:9" x14ac:dyDescent="0.25">
      <c r="A644" s="2" t="s">
        <v>1042</v>
      </c>
      <c r="B644" s="2" t="s">
        <v>10</v>
      </c>
      <c r="C644" s="3">
        <v>43770</v>
      </c>
      <c r="D644" t="s">
        <v>1039</v>
      </c>
      <c r="E644" s="2" t="s">
        <v>12</v>
      </c>
      <c r="F644" s="2" t="s">
        <v>12</v>
      </c>
      <c r="G644" t="s">
        <v>586</v>
      </c>
      <c r="H644" t="str">
        <f t="shared" si="20"/>
        <v>https://videplast.com.br/consulta-imobilizado?id=22000023&amp;nome=CAMISA%20PORTA%20CLICHE%2041,5%20MM%20COMPT%201290MM</v>
      </c>
      <c r="I644" t="e">
        <f t="shared" ca="1" si="21"/>
        <v>#NAME?</v>
      </c>
    </row>
    <row r="645" spans="1:9" x14ac:dyDescent="0.25">
      <c r="A645" s="2" t="s">
        <v>1043</v>
      </c>
      <c r="B645" s="2" t="s">
        <v>10</v>
      </c>
      <c r="C645" s="3">
        <v>43770</v>
      </c>
      <c r="D645" t="s">
        <v>1039</v>
      </c>
      <c r="E645" s="2" t="s">
        <v>12</v>
      </c>
      <c r="F645" s="2" t="s">
        <v>12</v>
      </c>
      <c r="G645" t="s">
        <v>586</v>
      </c>
      <c r="H645" t="str">
        <f t="shared" si="20"/>
        <v>https://videplast.com.br/consulta-imobilizado?id=22000024&amp;nome=CAMISA%20PORTA%20CLICHE%2041,5%20MM%20COMPT%201290MM</v>
      </c>
      <c r="I645" t="e">
        <f t="shared" ca="1" si="21"/>
        <v>#NAME?</v>
      </c>
    </row>
    <row r="646" spans="1:9" x14ac:dyDescent="0.25">
      <c r="A646" s="2" t="s">
        <v>1044</v>
      </c>
      <c r="B646" s="2" t="s">
        <v>10</v>
      </c>
      <c r="C646" s="3">
        <v>43770</v>
      </c>
      <c r="D646" t="s">
        <v>1039</v>
      </c>
      <c r="E646" s="2" t="s">
        <v>12</v>
      </c>
      <c r="F646" s="2" t="s">
        <v>12</v>
      </c>
      <c r="G646" t="s">
        <v>586</v>
      </c>
      <c r="H646" t="str">
        <f t="shared" si="20"/>
        <v>https://videplast.com.br/consulta-imobilizado?id=22000025&amp;nome=CAMISA%20PORTA%20CLICHE%2041,5%20MM%20COMPT%201290MM</v>
      </c>
      <c r="I646" t="e">
        <f t="shared" ca="1" si="21"/>
        <v>#NAME?</v>
      </c>
    </row>
    <row r="647" spans="1:9" x14ac:dyDescent="0.25">
      <c r="A647" s="2" t="s">
        <v>1045</v>
      </c>
      <c r="B647" s="2" t="s">
        <v>10</v>
      </c>
      <c r="C647" s="3">
        <v>43770</v>
      </c>
      <c r="D647" t="s">
        <v>1039</v>
      </c>
      <c r="E647" s="2" t="s">
        <v>12</v>
      </c>
      <c r="F647" s="2" t="s">
        <v>12</v>
      </c>
      <c r="G647" t="s">
        <v>586</v>
      </c>
      <c r="H647" t="str">
        <f t="shared" si="20"/>
        <v>https://videplast.com.br/consulta-imobilizado?id=22000026&amp;nome=CAMISA%20PORTA%20CLICHE%2041,5%20MM%20COMPT%201290MM</v>
      </c>
      <c r="I647" t="e">
        <f t="shared" ca="1" si="21"/>
        <v>#NAME?</v>
      </c>
    </row>
    <row r="648" spans="1:9" x14ac:dyDescent="0.25">
      <c r="A648" s="2" t="s">
        <v>1046</v>
      </c>
      <c r="B648" s="2" t="s">
        <v>10</v>
      </c>
      <c r="C648" s="3">
        <v>43770</v>
      </c>
      <c r="D648" t="s">
        <v>1039</v>
      </c>
      <c r="E648" s="2" t="s">
        <v>12</v>
      </c>
      <c r="F648" s="2" t="s">
        <v>12</v>
      </c>
      <c r="G648" t="s">
        <v>586</v>
      </c>
      <c r="H648" t="str">
        <f t="shared" si="20"/>
        <v>https://videplast.com.br/consulta-imobilizado?id=22000027&amp;nome=CAMISA%20PORTA%20CLICHE%2041,5%20MM%20COMPT%201290MM</v>
      </c>
      <c r="I648" t="e">
        <f t="shared" ca="1" si="21"/>
        <v>#NAME?</v>
      </c>
    </row>
    <row r="649" spans="1:9" x14ac:dyDescent="0.25">
      <c r="A649" s="2" t="s">
        <v>1047</v>
      </c>
      <c r="B649" s="2" t="s">
        <v>10</v>
      </c>
      <c r="C649" s="3">
        <v>43770</v>
      </c>
      <c r="D649" t="s">
        <v>1048</v>
      </c>
      <c r="E649" s="2" t="s">
        <v>12</v>
      </c>
      <c r="F649" s="2" t="s">
        <v>12</v>
      </c>
      <c r="G649" t="s">
        <v>586</v>
      </c>
      <c r="H649" t="str">
        <f t="shared" si="20"/>
        <v>https://videplast.com.br/consulta-imobilizado?id=22000029&amp;nome=CAMISA%20CARBOFLEX%20PRE%20P500%20155,875%20X%20108%20X%201285%20MM</v>
      </c>
      <c r="I649" t="e">
        <f t="shared" ca="1" si="21"/>
        <v>#NAME?</v>
      </c>
    </row>
    <row r="650" spans="1:9" x14ac:dyDescent="0.25">
      <c r="A650" s="2" t="s">
        <v>1049</v>
      </c>
      <c r="B650" s="2" t="s">
        <v>10</v>
      </c>
      <c r="C650" s="3">
        <v>43770</v>
      </c>
      <c r="D650" t="s">
        <v>1048</v>
      </c>
      <c r="E650" s="2" t="s">
        <v>12</v>
      </c>
      <c r="F650" s="2" t="s">
        <v>12</v>
      </c>
      <c r="G650" t="s">
        <v>586</v>
      </c>
      <c r="H650" t="str">
        <f t="shared" si="20"/>
        <v>https://videplast.com.br/consulta-imobilizado?id=22000030&amp;nome=CAMISA%20CARBOFLEX%20PRE%20P500%20155,875%20X%20108%20X%201285%20MM</v>
      </c>
      <c r="I650" t="e">
        <f t="shared" ca="1" si="21"/>
        <v>#NAME?</v>
      </c>
    </row>
    <row r="651" spans="1:9" x14ac:dyDescent="0.25">
      <c r="A651" s="2" t="s">
        <v>1050</v>
      </c>
      <c r="B651" s="2" t="s">
        <v>10</v>
      </c>
      <c r="C651" s="3">
        <v>43770</v>
      </c>
      <c r="D651" t="s">
        <v>1048</v>
      </c>
      <c r="E651" s="2" t="s">
        <v>12</v>
      </c>
      <c r="F651" s="2" t="s">
        <v>12</v>
      </c>
      <c r="G651" t="s">
        <v>586</v>
      </c>
      <c r="H651" t="str">
        <f t="shared" si="20"/>
        <v>https://videplast.com.br/consulta-imobilizado?id=22000031&amp;nome=CAMISA%20CARBOFLEX%20PRE%20P500%20155,875%20X%20108%20X%201285%20MM</v>
      </c>
      <c r="I651" t="e">
        <f t="shared" ca="1" si="21"/>
        <v>#NAME?</v>
      </c>
    </row>
    <row r="652" spans="1:9" x14ac:dyDescent="0.25">
      <c r="A652" s="2" t="s">
        <v>1051</v>
      </c>
      <c r="B652" s="2" t="s">
        <v>10</v>
      </c>
      <c r="C652" s="3">
        <v>43770</v>
      </c>
      <c r="D652" t="s">
        <v>1048</v>
      </c>
      <c r="E652" s="2" t="s">
        <v>12</v>
      </c>
      <c r="F652" s="2" t="s">
        <v>12</v>
      </c>
      <c r="G652" t="s">
        <v>586</v>
      </c>
      <c r="H652" t="str">
        <f t="shared" si="20"/>
        <v>https://videplast.com.br/consulta-imobilizado?id=22000032&amp;nome=CAMISA%20CARBOFLEX%20PRE%20P500%20155,875%20X%20108%20X%201285%20MM</v>
      </c>
      <c r="I652" t="e">
        <f t="shared" ca="1" si="21"/>
        <v>#NAME?</v>
      </c>
    </row>
    <row r="653" spans="1:9" x14ac:dyDescent="0.25">
      <c r="A653" s="2" t="s">
        <v>1052</v>
      </c>
      <c r="B653" s="2" t="s">
        <v>10</v>
      </c>
      <c r="C653" s="3">
        <v>43770</v>
      </c>
      <c r="D653" t="s">
        <v>1048</v>
      </c>
      <c r="E653" s="2" t="s">
        <v>12</v>
      </c>
      <c r="F653" s="2" t="s">
        <v>12</v>
      </c>
      <c r="G653" t="s">
        <v>586</v>
      </c>
      <c r="H653" t="str">
        <f t="shared" si="20"/>
        <v>https://videplast.com.br/consulta-imobilizado?id=22000033&amp;nome=CAMISA%20CARBOFLEX%20PRE%20P500%20155,875%20X%20108%20X%201285%20MM</v>
      </c>
      <c r="I653" t="e">
        <f t="shared" ca="1" si="21"/>
        <v>#NAME?</v>
      </c>
    </row>
    <row r="654" spans="1:9" x14ac:dyDescent="0.25">
      <c r="A654" s="2" t="s">
        <v>1053</v>
      </c>
      <c r="B654" s="2" t="s">
        <v>10</v>
      </c>
      <c r="C654" s="3">
        <v>43770</v>
      </c>
      <c r="D654" t="s">
        <v>1048</v>
      </c>
      <c r="E654" s="2" t="s">
        <v>12</v>
      </c>
      <c r="F654" s="2" t="s">
        <v>12</v>
      </c>
      <c r="G654" t="s">
        <v>586</v>
      </c>
      <c r="H654" t="str">
        <f t="shared" si="20"/>
        <v>https://videplast.com.br/consulta-imobilizado?id=22000034&amp;nome=CAMISA%20CARBOFLEX%20PRE%20P500%20155,875%20X%20108%20X%201285%20MM</v>
      </c>
      <c r="I654" t="e">
        <f t="shared" ca="1" si="21"/>
        <v>#NAME?</v>
      </c>
    </row>
    <row r="655" spans="1:9" x14ac:dyDescent="0.25">
      <c r="A655" s="2" t="s">
        <v>1054</v>
      </c>
      <c r="B655" s="2" t="s">
        <v>10</v>
      </c>
      <c r="C655" s="3">
        <v>43770</v>
      </c>
      <c r="D655" t="s">
        <v>1048</v>
      </c>
      <c r="E655" s="2" t="s">
        <v>12</v>
      </c>
      <c r="F655" s="2" t="s">
        <v>12</v>
      </c>
      <c r="G655" t="s">
        <v>586</v>
      </c>
      <c r="H655" t="str">
        <f t="shared" si="20"/>
        <v>https://videplast.com.br/consulta-imobilizado?id=22000035&amp;nome=CAMISA%20CARBOFLEX%20PRE%20P500%20155,875%20X%20108%20X%201285%20MM</v>
      </c>
      <c r="I655" t="e">
        <f t="shared" ca="1" si="21"/>
        <v>#NAME?</v>
      </c>
    </row>
    <row r="656" spans="1:9" x14ac:dyDescent="0.25">
      <c r="A656" s="2" t="s">
        <v>1055</v>
      </c>
      <c r="B656" s="2" t="s">
        <v>10</v>
      </c>
      <c r="C656" s="3">
        <v>43770</v>
      </c>
      <c r="D656" t="s">
        <v>1048</v>
      </c>
      <c r="E656" s="2" t="s">
        <v>12</v>
      </c>
      <c r="F656" s="2" t="s">
        <v>12</v>
      </c>
      <c r="G656" t="s">
        <v>586</v>
      </c>
      <c r="H656" t="str">
        <f t="shared" si="20"/>
        <v>https://videplast.com.br/consulta-imobilizado?id=22000036&amp;nome=CAMISA%20CARBOFLEX%20PRE%20P500%20155,875%20X%20108%20X%201285%20MM</v>
      </c>
      <c r="I656" t="e">
        <f t="shared" ca="1" si="21"/>
        <v>#NAME?</v>
      </c>
    </row>
    <row r="657" spans="1:9" x14ac:dyDescent="0.25">
      <c r="A657" s="2" t="s">
        <v>1056</v>
      </c>
      <c r="B657" s="2" t="s">
        <v>10</v>
      </c>
      <c r="C657" s="3">
        <v>43770</v>
      </c>
      <c r="D657" t="s">
        <v>1057</v>
      </c>
      <c r="E657" s="2" t="s">
        <v>12</v>
      </c>
      <c r="F657" s="2" t="s">
        <v>12</v>
      </c>
      <c r="G657" t="s">
        <v>586</v>
      </c>
      <c r="H657" t="str">
        <f t="shared" si="20"/>
        <v>https://videplast.com.br/consulta-imobilizado?id=22000062&amp;nome=CAMISA%20PORTA%20CLICHE%20PASSO%20800MM</v>
      </c>
      <c r="I657" t="e">
        <f t="shared" ca="1" si="21"/>
        <v>#NAME?</v>
      </c>
    </row>
    <row r="658" spans="1:9" x14ac:dyDescent="0.25">
      <c r="A658" s="2" t="s">
        <v>1058</v>
      </c>
      <c r="B658" s="2" t="s">
        <v>10</v>
      </c>
      <c r="C658" s="3">
        <v>43770</v>
      </c>
      <c r="D658" t="s">
        <v>1057</v>
      </c>
      <c r="E658" s="2" t="s">
        <v>12</v>
      </c>
      <c r="F658" s="2" t="s">
        <v>12</v>
      </c>
      <c r="G658" t="s">
        <v>586</v>
      </c>
      <c r="H658" t="str">
        <f t="shared" si="20"/>
        <v>https://videplast.com.br/consulta-imobilizado?id=22000063&amp;nome=CAMISA%20PORTA%20CLICHE%20PASSO%20800MM</v>
      </c>
      <c r="I658" t="e">
        <f t="shared" ca="1" si="21"/>
        <v>#NAME?</v>
      </c>
    </row>
    <row r="659" spans="1:9" x14ac:dyDescent="0.25">
      <c r="A659" s="2" t="s">
        <v>1059</v>
      </c>
      <c r="B659" s="2" t="s">
        <v>10</v>
      </c>
      <c r="C659" s="3">
        <v>43770</v>
      </c>
      <c r="D659" t="s">
        <v>1057</v>
      </c>
      <c r="E659" s="2" t="s">
        <v>12</v>
      </c>
      <c r="F659" s="2" t="s">
        <v>12</v>
      </c>
      <c r="G659" t="s">
        <v>586</v>
      </c>
      <c r="H659" t="str">
        <f t="shared" si="20"/>
        <v>https://videplast.com.br/consulta-imobilizado?id=22000064&amp;nome=CAMISA%20PORTA%20CLICHE%20PASSO%20800MM</v>
      </c>
      <c r="I659" t="e">
        <f t="shared" ca="1" si="21"/>
        <v>#NAME?</v>
      </c>
    </row>
    <row r="660" spans="1:9" x14ac:dyDescent="0.25">
      <c r="A660" s="2" t="s">
        <v>1060</v>
      </c>
      <c r="B660" s="2" t="s">
        <v>10</v>
      </c>
      <c r="C660" s="3">
        <v>43770</v>
      </c>
      <c r="D660" t="s">
        <v>1061</v>
      </c>
      <c r="E660" s="2" t="s">
        <v>12</v>
      </c>
      <c r="F660" s="2" t="s">
        <v>12</v>
      </c>
      <c r="G660" t="s">
        <v>586</v>
      </c>
      <c r="H660" t="str">
        <f t="shared" si="20"/>
        <v>https://videplast.com.br/consulta-imobilizado?id=22000065&amp;nome=CAMISA%20PORTA%20CLICHE%20PASSO%20690MM</v>
      </c>
      <c r="I660" t="e">
        <f t="shared" ca="1" si="21"/>
        <v>#NAME?</v>
      </c>
    </row>
    <row r="661" spans="1:9" x14ac:dyDescent="0.25">
      <c r="A661" s="2" t="s">
        <v>1062</v>
      </c>
      <c r="B661" s="2" t="s">
        <v>10</v>
      </c>
      <c r="C661" s="3">
        <v>43770</v>
      </c>
      <c r="D661" t="s">
        <v>1061</v>
      </c>
      <c r="E661" s="2" t="s">
        <v>12</v>
      </c>
      <c r="F661" s="2" t="s">
        <v>12</v>
      </c>
      <c r="G661" t="s">
        <v>586</v>
      </c>
      <c r="H661" t="str">
        <f t="shared" si="20"/>
        <v>https://videplast.com.br/consulta-imobilizado?id=22000066&amp;nome=CAMISA%20PORTA%20CLICHE%20PASSO%20690MM</v>
      </c>
      <c r="I661" t="e">
        <f t="shared" ca="1" si="21"/>
        <v>#NAME?</v>
      </c>
    </row>
    <row r="662" spans="1:9" x14ac:dyDescent="0.25">
      <c r="A662" s="2" t="s">
        <v>1063</v>
      </c>
      <c r="B662" s="2" t="s">
        <v>10</v>
      </c>
      <c r="C662" s="3">
        <v>43770</v>
      </c>
      <c r="D662" t="s">
        <v>1061</v>
      </c>
      <c r="E662" s="2" t="s">
        <v>12</v>
      </c>
      <c r="F662" s="2" t="s">
        <v>12</v>
      </c>
      <c r="G662" t="s">
        <v>586</v>
      </c>
      <c r="H662" t="str">
        <f t="shared" si="20"/>
        <v>https://videplast.com.br/consulta-imobilizado?id=22000067&amp;nome=CAMISA%20PORTA%20CLICHE%20PASSO%20690MM</v>
      </c>
      <c r="I662" t="e">
        <f t="shared" ca="1" si="21"/>
        <v>#NAME?</v>
      </c>
    </row>
    <row r="663" spans="1:9" x14ac:dyDescent="0.25">
      <c r="A663" s="2" t="s">
        <v>1064</v>
      </c>
      <c r="B663" s="2" t="s">
        <v>10</v>
      </c>
      <c r="C663" s="3">
        <v>43770</v>
      </c>
      <c r="D663" t="s">
        <v>1061</v>
      </c>
      <c r="E663" s="2" t="s">
        <v>12</v>
      </c>
      <c r="F663" s="2" t="s">
        <v>12</v>
      </c>
      <c r="G663" t="s">
        <v>586</v>
      </c>
      <c r="H663" t="str">
        <f t="shared" si="20"/>
        <v>https://videplast.com.br/consulta-imobilizado?id=22000068&amp;nome=CAMISA%20PORTA%20CLICHE%20PASSO%20690MM</v>
      </c>
      <c r="I663" t="e">
        <f t="shared" ca="1" si="21"/>
        <v>#NAME?</v>
      </c>
    </row>
    <row r="664" spans="1:9" x14ac:dyDescent="0.25">
      <c r="A664" s="2" t="s">
        <v>1065</v>
      </c>
      <c r="B664" s="2" t="s">
        <v>10</v>
      </c>
      <c r="C664" s="3">
        <v>43770</v>
      </c>
      <c r="D664" t="s">
        <v>1061</v>
      </c>
      <c r="E664" s="2" t="s">
        <v>12</v>
      </c>
      <c r="F664" s="2" t="s">
        <v>12</v>
      </c>
      <c r="G664" t="s">
        <v>586</v>
      </c>
      <c r="H664" t="str">
        <f t="shared" si="20"/>
        <v>https://videplast.com.br/consulta-imobilizado?id=22000069&amp;nome=CAMISA%20PORTA%20CLICHE%20PASSO%20690MM</v>
      </c>
      <c r="I664" t="e">
        <f t="shared" ca="1" si="21"/>
        <v>#NAME?</v>
      </c>
    </row>
    <row r="665" spans="1:9" x14ac:dyDescent="0.25">
      <c r="A665" s="2" t="s">
        <v>1066</v>
      </c>
      <c r="B665" s="2" t="s">
        <v>10</v>
      </c>
      <c r="C665" s="3">
        <v>43770</v>
      </c>
      <c r="D665" t="s">
        <v>1061</v>
      </c>
      <c r="E665" s="2" t="s">
        <v>12</v>
      </c>
      <c r="F665" s="2" t="s">
        <v>12</v>
      </c>
      <c r="G665" t="s">
        <v>586</v>
      </c>
      <c r="H665" t="str">
        <f t="shared" si="20"/>
        <v>https://videplast.com.br/consulta-imobilizado?id=22000070&amp;nome=CAMISA%20PORTA%20CLICHE%20PASSO%20690MM</v>
      </c>
      <c r="I665" t="e">
        <f t="shared" ca="1" si="21"/>
        <v>#NAME?</v>
      </c>
    </row>
    <row r="666" spans="1:9" x14ac:dyDescent="0.25">
      <c r="A666" s="2" t="s">
        <v>1067</v>
      </c>
      <c r="B666" s="2" t="s">
        <v>10</v>
      </c>
      <c r="C666" s="3">
        <v>43770</v>
      </c>
      <c r="D666" t="s">
        <v>1061</v>
      </c>
      <c r="E666" s="2" t="s">
        <v>12</v>
      </c>
      <c r="F666" s="2" t="s">
        <v>12</v>
      </c>
      <c r="G666" t="s">
        <v>586</v>
      </c>
      <c r="H666" t="str">
        <f t="shared" si="20"/>
        <v>https://videplast.com.br/consulta-imobilizado?id=22000071&amp;nome=CAMISA%20PORTA%20CLICHE%20PASSO%20690MM</v>
      </c>
      <c r="I666" t="e">
        <f t="shared" ca="1" si="21"/>
        <v>#NAME?</v>
      </c>
    </row>
    <row r="667" spans="1:9" x14ac:dyDescent="0.25">
      <c r="A667" s="2" t="s">
        <v>1068</v>
      </c>
      <c r="B667" s="2" t="s">
        <v>10</v>
      </c>
      <c r="C667" s="3">
        <v>43770</v>
      </c>
      <c r="D667" t="s">
        <v>1061</v>
      </c>
      <c r="E667" s="2" t="s">
        <v>12</v>
      </c>
      <c r="F667" s="2" t="s">
        <v>12</v>
      </c>
      <c r="G667" t="s">
        <v>586</v>
      </c>
      <c r="H667" t="str">
        <f t="shared" si="20"/>
        <v>https://videplast.com.br/consulta-imobilizado?id=22000072&amp;nome=CAMISA%20PORTA%20CLICHE%20PASSO%20690MM</v>
      </c>
      <c r="I667" t="e">
        <f t="shared" ca="1" si="21"/>
        <v>#NAME?</v>
      </c>
    </row>
    <row r="668" spans="1:9" x14ac:dyDescent="0.25">
      <c r="A668" s="2" t="s">
        <v>1069</v>
      </c>
      <c r="B668" s="2" t="s">
        <v>10</v>
      </c>
      <c r="C668" s="3">
        <v>43770</v>
      </c>
      <c r="D668" t="s">
        <v>1070</v>
      </c>
      <c r="E668" s="2" t="s">
        <v>12</v>
      </c>
      <c r="F668" s="2" t="s">
        <v>12</v>
      </c>
      <c r="G668" t="s">
        <v>586</v>
      </c>
      <c r="H668" t="str">
        <f t="shared" si="20"/>
        <v>https://videplast.com.br/consulta-imobilizado?id=22000092&amp;nome=CAMISA%20P/%20LAMINAÇÃO%20LESS%20POLYCOAT%2078G%2080%20SHORE</v>
      </c>
      <c r="I668" t="e">
        <f t="shared" ca="1" si="21"/>
        <v>#NAME?</v>
      </c>
    </row>
    <row r="669" spans="1:9" x14ac:dyDescent="0.25">
      <c r="A669" s="2" t="s">
        <v>1071</v>
      </c>
      <c r="B669" s="2" t="s">
        <v>10</v>
      </c>
      <c r="C669" s="3">
        <v>43770</v>
      </c>
      <c r="D669" t="s">
        <v>1072</v>
      </c>
      <c r="E669" s="2" t="s">
        <v>12</v>
      </c>
      <c r="F669" s="2" t="s">
        <v>12</v>
      </c>
      <c r="G669" t="s">
        <v>586</v>
      </c>
      <c r="H669" t="str">
        <f t="shared" si="20"/>
        <v>https://videplast.com.br/consulta-imobilizado?id=22000093&amp;nome=CAMISA%20CARBOFLEX%20PRE%20P390%20120,861%20X%20108%20X%201285%20MM</v>
      </c>
      <c r="I669" t="e">
        <f t="shared" ca="1" si="21"/>
        <v>#NAME?</v>
      </c>
    </row>
    <row r="670" spans="1:9" x14ac:dyDescent="0.25">
      <c r="A670" s="2" t="s">
        <v>1073</v>
      </c>
      <c r="B670" s="2" t="s">
        <v>10</v>
      </c>
      <c r="C670" s="3">
        <v>43770</v>
      </c>
      <c r="D670" t="s">
        <v>1072</v>
      </c>
      <c r="E670" s="2" t="s">
        <v>12</v>
      </c>
      <c r="F670" s="2" t="s">
        <v>12</v>
      </c>
      <c r="G670" t="s">
        <v>586</v>
      </c>
      <c r="H670" t="str">
        <f t="shared" si="20"/>
        <v>https://videplast.com.br/consulta-imobilizado?id=22000094&amp;nome=CAMISA%20CARBOFLEX%20PRE%20P390%20120,861%20X%20108%20X%201285%20MM</v>
      </c>
      <c r="I670" t="e">
        <f t="shared" ca="1" si="21"/>
        <v>#NAME?</v>
      </c>
    </row>
    <row r="671" spans="1:9" x14ac:dyDescent="0.25">
      <c r="A671" s="2" t="s">
        <v>1074</v>
      </c>
      <c r="B671" s="2" t="s">
        <v>10</v>
      </c>
      <c r="C671" s="3">
        <v>43770</v>
      </c>
      <c r="D671" t="s">
        <v>1072</v>
      </c>
      <c r="E671" s="2" t="s">
        <v>12</v>
      </c>
      <c r="F671" s="2" t="s">
        <v>12</v>
      </c>
      <c r="G671" t="s">
        <v>586</v>
      </c>
      <c r="H671" t="str">
        <f t="shared" si="20"/>
        <v>https://videplast.com.br/consulta-imobilizado?id=22000095&amp;nome=CAMISA%20CARBOFLEX%20PRE%20P390%20120,861%20X%20108%20X%201285%20MM</v>
      </c>
      <c r="I671" t="e">
        <f t="shared" ca="1" si="21"/>
        <v>#NAME?</v>
      </c>
    </row>
    <row r="672" spans="1:9" x14ac:dyDescent="0.25">
      <c r="A672" s="2" t="s">
        <v>1075</v>
      </c>
      <c r="B672" s="2" t="s">
        <v>10</v>
      </c>
      <c r="C672" s="3">
        <v>43770</v>
      </c>
      <c r="D672" t="s">
        <v>1072</v>
      </c>
      <c r="E672" s="2" t="s">
        <v>12</v>
      </c>
      <c r="F672" s="2" t="s">
        <v>12</v>
      </c>
      <c r="G672" t="s">
        <v>586</v>
      </c>
      <c r="H672" t="str">
        <f t="shared" si="20"/>
        <v>https://videplast.com.br/consulta-imobilizado?id=22000096&amp;nome=CAMISA%20CARBOFLEX%20PRE%20P390%20120,861%20X%20108%20X%201285%20MM</v>
      </c>
      <c r="I672" t="e">
        <f t="shared" ca="1" si="21"/>
        <v>#NAME?</v>
      </c>
    </row>
    <row r="673" spans="1:9" x14ac:dyDescent="0.25">
      <c r="A673" s="2" t="s">
        <v>1076</v>
      </c>
      <c r="B673" s="2" t="s">
        <v>10</v>
      </c>
      <c r="C673" s="3">
        <v>43770</v>
      </c>
      <c r="D673" t="s">
        <v>1072</v>
      </c>
      <c r="E673" s="2" t="s">
        <v>12</v>
      </c>
      <c r="F673" s="2" t="s">
        <v>12</v>
      </c>
      <c r="G673" t="s">
        <v>586</v>
      </c>
      <c r="H673" t="str">
        <f t="shared" si="20"/>
        <v>https://videplast.com.br/consulta-imobilizado?id=22000097&amp;nome=CAMISA%20CARBOFLEX%20PRE%20P390%20120,861%20X%20108%20X%201285%20MM</v>
      </c>
      <c r="I673" t="e">
        <f t="shared" ca="1" si="21"/>
        <v>#NAME?</v>
      </c>
    </row>
    <row r="674" spans="1:9" x14ac:dyDescent="0.25">
      <c r="A674" s="2" t="s">
        <v>1077</v>
      </c>
      <c r="B674" s="2" t="s">
        <v>10</v>
      </c>
      <c r="C674" s="3">
        <v>43770</v>
      </c>
      <c r="D674" t="s">
        <v>1072</v>
      </c>
      <c r="E674" s="2" t="s">
        <v>12</v>
      </c>
      <c r="F674" s="2" t="s">
        <v>12</v>
      </c>
      <c r="G674" t="s">
        <v>586</v>
      </c>
      <c r="H674" t="str">
        <f t="shared" si="20"/>
        <v>https://videplast.com.br/consulta-imobilizado?id=22000098&amp;nome=CAMISA%20CARBOFLEX%20PRE%20P390%20120,861%20X%20108%20X%201285%20MM</v>
      </c>
      <c r="I674" t="e">
        <f t="shared" ca="1" si="21"/>
        <v>#NAME?</v>
      </c>
    </row>
    <row r="675" spans="1:9" x14ac:dyDescent="0.25">
      <c r="A675" s="2" t="s">
        <v>1078</v>
      </c>
      <c r="B675" s="2" t="s">
        <v>10</v>
      </c>
      <c r="C675" s="3">
        <v>43770</v>
      </c>
      <c r="D675" t="s">
        <v>1072</v>
      </c>
      <c r="E675" s="2" t="s">
        <v>12</v>
      </c>
      <c r="F675" s="2" t="s">
        <v>12</v>
      </c>
      <c r="G675" t="s">
        <v>586</v>
      </c>
      <c r="H675" t="str">
        <f t="shared" si="20"/>
        <v>https://videplast.com.br/consulta-imobilizado?id=22000099&amp;nome=CAMISA%20CARBOFLEX%20PRE%20P390%20120,861%20X%20108%20X%201285%20MM</v>
      </c>
      <c r="I675" t="e">
        <f t="shared" ca="1" si="21"/>
        <v>#NAME?</v>
      </c>
    </row>
    <row r="676" spans="1:9" x14ac:dyDescent="0.25">
      <c r="A676" s="2" t="s">
        <v>1079</v>
      </c>
      <c r="B676" s="2" t="s">
        <v>10</v>
      </c>
      <c r="C676" s="3">
        <v>43770</v>
      </c>
      <c r="D676" t="s">
        <v>1072</v>
      </c>
      <c r="E676" s="2" t="s">
        <v>12</v>
      </c>
      <c r="F676" s="2" t="s">
        <v>12</v>
      </c>
      <c r="G676" t="s">
        <v>586</v>
      </c>
      <c r="H676" t="str">
        <f t="shared" si="20"/>
        <v>https://videplast.com.br/consulta-imobilizado?id=22000100&amp;nome=CAMISA%20CARBOFLEX%20PRE%20P390%20120,861%20X%20108%20X%201285%20MM</v>
      </c>
      <c r="I676" t="e">
        <f t="shared" ca="1" si="21"/>
        <v>#NAME?</v>
      </c>
    </row>
    <row r="677" spans="1:9" x14ac:dyDescent="0.25">
      <c r="A677" s="2" t="s">
        <v>1080</v>
      </c>
      <c r="B677" s="2" t="s">
        <v>10</v>
      </c>
      <c r="C677" s="3">
        <v>43770</v>
      </c>
      <c r="D677" t="s">
        <v>1081</v>
      </c>
      <c r="E677" s="2" t="s">
        <v>12</v>
      </c>
      <c r="F677" s="2" t="s">
        <v>12</v>
      </c>
      <c r="G677" t="s">
        <v>586</v>
      </c>
      <c r="H677" t="str">
        <f t="shared" si="20"/>
        <v>https://videplast.com.br/consulta-imobilizado?id=22000117&amp;nome=CAMISA%20PORTA%20CLICHE%20TIPO%20EVERGREEN</v>
      </c>
      <c r="I677" t="e">
        <f t="shared" ca="1" si="21"/>
        <v>#NAME?</v>
      </c>
    </row>
    <row r="678" spans="1:9" x14ac:dyDescent="0.25">
      <c r="A678" s="2" t="s">
        <v>1082</v>
      </c>
      <c r="B678" s="2" t="s">
        <v>10</v>
      </c>
      <c r="C678" s="3">
        <v>43770</v>
      </c>
      <c r="D678" t="s">
        <v>1081</v>
      </c>
      <c r="E678" s="2" t="s">
        <v>12</v>
      </c>
      <c r="F678" s="2" t="s">
        <v>12</v>
      </c>
      <c r="G678" t="s">
        <v>586</v>
      </c>
      <c r="H678" t="str">
        <f t="shared" si="20"/>
        <v>https://videplast.com.br/consulta-imobilizado?id=22000118&amp;nome=CAMISA%20PORTA%20CLICHE%20TIPO%20EVERGREEN</v>
      </c>
      <c r="I678" t="e">
        <f t="shared" ca="1" si="21"/>
        <v>#NAME?</v>
      </c>
    </row>
    <row r="679" spans="1:9" x14ac:dyDescent="0.25">
      <c r="A679" s="2" t="s">
        <v>1083</v>
      </c>
      <c r="B679" s="2" t="s">
        <v>10</v>
      </c>
      <c r="C679" s="3">
        <v>43770</v>
      </c>
      <c r="D679" t="s">
        <v>1081</v>
      </c>
      <c r="E679" s="2" t="s">
        <v>12</v>
      </c>
      <c r="F679" s="2" t="s">
        <v>12</v>
      </c>
      <c r="G679" t="s">
        <v>586</v>
      </c>
      <c r="H679" t="str">
        <f t="shared" si="20"/>
        <v>https://videplast.com.br/consulta-imobilizado?id=22000119&amp;nome=CAMISA%20PORTA%20CLICHE%20TIPO%20EVERGREEN</v>
      </c>
      <c r="I679" t="e">
        <f t="shared" ca="1" si="21"/>
        <v>#NAME?</v>
      </c>
    </row>
    <row r="680" spans="1:9" x14ac:dyDescent="0.25">
      <c r="A680" s="2" t="s">
        <v>1084</v>
      </c>
      <c r="B680" s="2" t="s">
        <v>10</v>
      </c>
      <c r="C680" s="3">
        <v>43770</v>
      </c>
      <c r="D680" t="s">
        <v>1081</v>
      </c>
      <c r="E680" s="2" t="s">
        <v>12</v>
      </c>
      <c r="F680" s="2" t="s">
        <v>12</v>
      </c>
      <c r="G680" t="s">
        <v>586</v>
      </c>
      <c r="H680" t="str">
        <f t="shared" si="20"/>
        <v>https://videplast.com.br/consulta-imobilizado?id=22000120&amp;nome=CAMISA%20PORTA%20CLICHE%20TIPO%20EVERGREEN</v>
      </c>
      <c r="I680" t="e">
        <f t="shared" ca="1" si="21"/>
        <v>#NAME?</v>
      </c>
    </row>
    <row r="681" spans="1:9" x14ac:dyDescent="0.25">
      <c r="A681" s="2" t="s">
        <v>1085</v>
      </c>
      <c r="B681" s="2" t="s">
        <v>10</v>
      </c>
      <c r="C681" s="3">
        <v>43770</v>
      </c>
      <c r="D681" t="s">
        <v>1081</v>
      </c>
      <c r="E681" s="2" t="s">
        <v>12</v>
      </c>
      <c r="F681" s="2" t="s">
        <v>12</v>
      </c>
      <c r="G681" t="s">
        <v>586</v>
      </c>
      <c r="H681" t="str">
        <f t="shared" si="20"/>
        <v>https://videplast.com.br/consulta-imobilizado?id=22000121&amp;nome=CAMISA%20PORTA%20CLICHE%20TIPO%20EVERGREEN</v>
      </c>
      <c r="I681" t="e">
        <f t="shared" ca="1" si="21"/>
        <v>#NAME?</v>
      </c>
    </row>
    <row r="682" spans="1:9" x14ac:dyDescent="0.25">
      <c r="A682" s="2" t="s">
        <v>1086</v>
      </c>
      <c r="B682" s="2" t="s">
        <v>10</v>
      </c>
      <c r="C682" s="3">
        <v>43770</v>
      </c>
      <c r="D682" t="s">
        <v>1081</v>
      </c>
      <c r="E682" s="2" t="s">
        <v>12</v>
      </c>
      <c r="F682" s="2" t="s">
        <v>12</v>
      </c>
      <c r="G682" t="s">
        <v>586</v>
      </c>
      <c r="H682" t="str">
        <f t="shared" si="20"/>
        <v>https://videplast.com.br/consulta-imobilizado?id=22000122&amp;nome=CAMISA%20PORTA%20CLICHE%20TIPO%20EVERGREEN</v>
      </c>
      <c r="I682" t="e">
        <f t="shared" ca="1" si="21"/>
        <v>#NAME?</v>
      </c>
    </row>
    <row r="683" spans="1:9" x14ac:dyDescent="0.25">
      <c r="A683" s="2" t="s">
        <v>1087</v>
      </c>
      <c r="B683" s="2" t="s">
        <v>10</v>
      </c>
      <c r="C683" s="3">
        <v>43770</v>
      </c>
      <c r="D683" t="s">
        <v>1081</v>
      </c>
      <c r="E683" s="2" t="s">
        <v>12</v>
      </c>
      <c r="F683" s="2" t="s">
        <v>12</v>
      </c>
      <c r="G683" t="s">
        <v>586</v>
      </c>
      <c r="H683" t="str">
        <f t="shared" si="20"/>
        <v>https://videplast.com.br/consulta-imobilizado?id=22000123&amp;nome=CAMISA%20PORTA%20CLICHE%20TIPO%20EVERGREEN</v>
      </c>
      <c r="I683" t="e">
        <f t="shared" ca="1" si="21"/>
        <v>#NAME?</v>
      </c>
    </row>
    <row r="684" spans="1:9" x14ac:dyDescent="0.25">
      <c r="A684" s="2" t="s">
        <v>1088</v>
      </c>
      <c r="B684" s="2" t="s">
        <v>10</v>
      </c>
      <c r="C684" s="3">
        <v>43770</v>
      </c>
      <c r="D684" t="s">
        <v>1081</v>
      </c>
      <c r="E684" s="2" t="s">
        <v>12</v>
      </c>
      <c r="F684" s="2" t="s">
        <v>12</v>
      </c>
      <c r="G684" t="s">
        <v>586</v>
      </c>
      <c r="H684" t="str">
        <f t="shared" si="20"/>
        <v>https://videplast.com.br/consulta-imobilizado?id=22000124&amp;nome=CAMISA%20PORTA%20CLICHE%20TIPO%20EVERGREEN</v>
      </c>
      <c r="I684" t="e">
        <f t="shared" ca="1" si="21"/>
        <v>#NAME?</v>
      </c>
    </row>
    <row r="685" spans="1:9" x14ac:dyDescent="0.25">
      <c r="A685" s="2" t="s">
        <v>1089</v>
      </c>
      <c r="B685" s="2" t="s">
        <v>10</v>
      </c>
      <c r="C685" s="3">
        <v>43770</v>
      </c>
      <c r="D685" t="s">
        <v>1090</v>
      </c>
      <c r="E685" s="2" t="s">
        <v>12</v>
      </c>
      <c r="F685" s="2" t="s">
        <v>12</v>
      </c>
      <c r="G685" t="s">
        <v>586</v>
      </c>
      <c r="H685" t="str">
        <f t="shared" si="20"/>
        <v>https://videplast.com.br/consulta-imobilizado?id=22000125&amp;nome=CAMISA%20PORTA%20CLICHE%20PASSO%20400MM</v>
      </c>
      <c r="I685" t="e">
        <f t="shared" ca="1" si="21"/>
        <v>#NAME?</v>
      </c>
    </row>
    <row r="686" spans="1:9" x14ac:dyDescent="0.25">
      <c r="A686" s="2" t="s">
        <v>1091</v>
      </c>
      <c r="B686" s="2" t="s">
        <v>10</v>
      </c>
      <c r="C686" s="3">
        <v>43770</v>
      </c>
      <c r="D686" t="s">
        <v>1090</v>
      </c>
      <c r="E686" s="2" t="s">
        <v>12</v>
      </c>
      <c r="F686" s="2" t="s">
        <v>12</v>
      </c>
      <c r="G686" t="s">
        <v>586</v>
      </c>
      <c r="H686" t="str">
        <f t="shared" si="20"/>
        <v>https://videplast.com.br/consulta-imobilizado?id=22000126&amp;nome=CAMISA%20PORTA%20CLICHE%20PASSO%20400MM</v>
      </c>
      <c r="I686" t="e">
        <f t="shared" ca="1" si="21"/>
        <v>#NAME?</v>
      </c>
    </row>
    <row r="687" spans="1:9" x14ac:dyDescent="0.25">
      <c r="A687" s="2" t="s">
        <v>1092</v>
      </c>
      <c r="B687" s="2" t="s">
        <v>10</v>
      </c>
      <c r="C687" s="3">
        <v>43770</v>
      </c>
      <c r="D687" t="s">
        <v>1090</v>
      </c>
      <c r="E687" s="2" t="s">
        <v>12</v>
      </c>
      <c r="F687" s="2" t="s">
        <v>12</v>
      </c>
      <c r="G687" t="s">
        <v>586</v>
      </c>
      <c r="H687" t="str">
        <f t="shared" si="20"/>
        <v>https://videplast.com.br/consulta-imobilizado?id=22000127&amp;nome=CAMISA%20PORTA%20CLICHE%20PASSO%20400MM</v>
      </c>
      <c r="I687" t="e">
        <f t="shared" ca="1" si="21"/>
        <v>#NAME?</v>
      </c>
    </row>
    <row r="688" spans="1:9" x14ac:dyDescent="0.25">
      <c r="A688" s="2" t="s">
        <v>1093</v>
      </c>
      <c r="B688" s="2" t="s">
        <v>10</v>
      </c>
      <c r="C688" s="3">
        <v>43770</v>
      </c>
      <c r="D688" t="s">
        <v>1090</v>
      </c>
      <c r="E688" s="2" t="s">
        <v>12</v>
      </c>
      <c r="F688" s="2" t="s">
        <v>12</v>
      </c>
      <c r="G688" t="s">
        <v>586</v>
      </c>
      <c r="H688" t="str">
        <f t="shared" si="20"/>
        <v>https://videplast.com.br/consulta-imobilizado?id=22000128&amp;nome=CAMISA%20PORTA%20CLICHE%20PASSO%20400MM</v>
      </c>
      <c r="I688" t="e">
        <f t="shared" ca="1" si="21"/>
        <v>#NAME?</v>
      </c>
    </row>
    <row r="689" spans="1:9" x14ac:dyDescent="0.25">
      <c r="A689" s="2" t="s">
        <v>1094</v>
      </c>
      <c r="B689" s="2" t="s">
        <v>10</v>
      </c>
      <c r="C689" s="3">
        <v>43770</v>
      </c>
      <c r="D689" t="s">
        <v>1090</v>
      </c>
      <c r="E689" s="2" t="s">
        <v>12</v>
      </c>
      <c r="F689" s="2" t="s">
        <v>12</v>
      </c>
      <c r="G689" t="s">
        <v>586</v>
      </c>
      <c r="H689" t="str">
        <f t="shared" si="20"/>
        <v>https://videplast.com.br/consulta-imobilizado?id=22000129&amp;nome=CAMISA%20PORTA%20CLICHE%20PASSO%20400MM</v>
      </c>
      <c r="I689" t="e">
        <f t="shared" ca="1" si="21"/>
        <v>#NAME?</v>
      </c>
    </row>
    <row r="690" spans="1:9" x14ac:dyDescent="0.25">
      <c r="A690" s="2" t="s">
        <v>1095</v>
      </c>
      <c r="B690" s="2" t="s">
        <v>10</v>
      </c>
      <c r="C690" s="3">
        <v>43770</v>
      </c>
      <c r="D690" t="s">
        <v>1090</v>
      </c>
      <c r="E690" s="2" t="s">
        <v>12</v>
      </c>
      <c r="F690" s="2" t="s">
        <v>12</v>
      </c>
      <c r="G690" t="s">
        <v>586</v>
      </c>
      <c r="H690" t="str">
        <f t="shared" si="20"/>
        <v>https://videplast.com.br/consulta-imobilizado?id=22000130&amp;nome=CAMISA%20PORTA%20CLICHE%20PASSO%20400MM</v>
      </c>
      <c r="I690" t="e">
        <f t="shared" ca="1" si="21"/>
        <v>#NAME?</v>
      </c>
    </row>
    <row r="691" spans="1:9" x14ac:dyDescent="0.25">
      <c r="A691" s="2" t="s">
        <v>1096</v>
      </c>
      <c r="B691" s="2" t="s">
        <v>10</v>
      </c>
      <c r="C691" s="3">
        <v>43770</v>
      </c>
      <c r="D691" t="s">
        <v>1090</v>
      </c>
      <c r="E691" s="2" t="s">
        <v>12</v>
      </c>
      <c r="F691" s="2" t="s">
        <v>12</v>
      </c>
      <c r="G691" t="s">
        <v>586</v>
      </c>
      <c r="H691" t="str">
        <f t="shared" si="20"/>
        <v>https://videplast.com.br/consulta-imobilizado?id=22000131&amp;nome=CAMISA%20PORTA%20CLICHE%20PASSO%20400MM</v>
      </c>
      <c r="I691" t="e">
        <f t="shared" ca="1" si="21"/>
        <v>#NAME?</v>
      </c>
    </row>
    <row r="692" spans="1:9" x14ac:dyDescent="0.25">
      <c r="A692" s="2" t="s">
        <v>1097</v>
      </c>
      <c r="B692" s="2" t="s">
        <v>10</v>
      </c>
      <c r="C692" s="3">
        <v>43770</v>
      </c>
      <c r="D692" t="s">
        <v>1090</v>
      </c>
      <c r="E692" s="2" t="s">
        <v>12</v>
      </c>
      <c r="F692" s="2" t="s">
        <v>12</v>
      </c>
      <c r="G692" t="s">
        <v>586</v>
      </c>
      <c r="H692" t="str">
        <f t="shared" si="20"/>
        <v>https://videplast.com.br/consulta-imobilizado?id=22000132&amp;nome=CAMISA%20PORTA%20CLICHE%20PASSO%20400MM</v>
      </c>
      <c r="I692" t="e">
        <f t="shared" ca="1" si="21"/>
        <v>#NAME?</v>
      </c>
    </row>
    <row r="693" spans="1:9" x14ac:dyDescent="0.25">
      <c r="A693" s="2" t="s">
        <v>1098</v>
      </c>
      <c r="B693" s="2" t="s">
        <v>10</v>
      </c>
      <c r="C693" s="3">
        <v>43770</v>
      </c>
      <c r="D693" t="s">
        <v>1099</v>
      </c>
      <c r="E693" s="2" t="s">
        <v>12</v>
      </c>
      <c r="F693" s="2" t="s">
        <v>12</v>
      </c>
      <c r="G693" t="s">
        <v>586</v>
      </c>
      <c r="H693" t="str">
        <f t="shared" si="20"/>
        <v>https://videplast.com.br/consulta-imobilizado?id=22000200&amp;nome=CAMISA%20PORTA%20CLICHE%20TIPO%20STARCOAT</v>
      </c>
      <c r="I693" t="e">
        <f t="shared" ca="1" si="21"/>
        <v>#NAME?</v>
      </c>
    </row>
    <row r="694" spans="1:9" x14ac:dyDescent="0.25">
      <c r="A694" s="2" t="s">
        <v>1100</v>
      </c>
      <c r="B694" s="2" t="s">
        <v>10</v>
      </c>
      <c r="C694" s="3">
        <v>43770</v>
      </c>
      <c r="D694" t="s">
        <v>1099</v>
      </c>
      <c r="E694" s="2" t="s">
        <v>12</v>
      </c>
      <c r="F694" s="2" t="s">
        <v>12</v>
      </c>
      <c r="G694" t="s">
        <v>586</v>
      </c>
      <c r="H694" t="str">
        <f t="shared" si="20"/>
        <v>https://videplast.com.br/consulta-imobilizado?id=22000201&amp;nome=CAMISA%20PORTA%20CLICHE%20TIPO%20STARCOAT</v>
      </c>
      <c r="I694" t="e">
        <f t="shared" ca="1" si="21"/>
        <v>#NAME?</v>
      </c>
    </row>
    <row r="695" spans="1:9" x14ac:dyDescent="0.25">
      <c r="A695" s="2" t="s">
        <v>1101</v>
      </c>
      <c r="B695" s="2" t="s">
        <v>10</v>
      </c>
      <c r="C695" s="3">
        <v>43770</v>
      </c>
      <c r="D695" t="s">
        <v>1099</v>
      </c>
      <c r="E695" s="2" t="s">
        <v>12</v>
      </c>
      <c r="F695" s="2" t="s">
        <v>12</v>
      </c>
      <c r="G695" t="s">
        <v>586</v>
      </c>
      <c r="H695" t="str">
        <f t="shared" si="20"/>
        <v>https://videplast.com.br/consulta-imobilizado?id=22000202&amp;nome=CAMISA%20PORTA%20CLICHE%20TIPO%20STARCOAT</v>
      </c>
      <c r="I695" t="e">
        <f t="shared" ca="1" si="21"/>
        <v>#NAME?</v>
      </c>
    </row>
    <row r="696" spans="1:9" x14ac:dyDescent="0.25">
      <c r="A696" s="2" t="s">
        <v>1102</v>
      </c>
      <c r="B696" s="2" t="s">
        <v>10</v>
      </c>
      <c r="C696" s="3">
        <v>43770</v>
      </c>
      <c r="D696" t="s">
        <v>1099</v>
      </c>
      <c r="E696" s="2" t="s">
        <v>12</v>
      </c>
      <c r="F696" s="2" t="s">
        <v>12</v>
      </c>
      <c r="G696" t="s">
        <v>586</v>
      </c>
      <c r="H696" t="str">
        <f t="shared" si="20"/>
        <v>https://videplast.com.br/consulta-imobilizado?id=22000203&amp;nome=CAMISA%20PORTA%20CLICHE%20TIPO%20STARCOAT</v>
      </c>
      <c r="I696" t="e">
        <f t="shared" ca="1" si="21"/>
        <v>#NAME?</v>
      </c>
    </row>
    <row r="697" spans="1:9" x14ac:dyDescent="0.25">
      <c r="A697" s="2" t="s">
        <v>1103</v>
      </c>
      <c r="B697" s="2" t="s">
        <v>10</v>
      </c>
      <c r="C697" s="3">
        <v>43770</v>
      </c>
      <c r="D697" t="s">
        <v>1099</v>
      </c>
      <c r="E697" s="2" t="s">
        <v>12</v>
      </c>
      <c r="F697" s="2" t="s">
        <v>12</v>
      </c>
      <c r="G697" t="s">
        <v>586</v>
      </c>
      <c r="H697" t="str">
        <f t="shared" si="20"/>
        <v>https://videplast.com.br/consulta-imobilizado?id=22000204&amp;nome=CAMISA%20PORTA%20CLICHE%20TIPO%20STARCOAT</v>
      </c>
      <c r="I697" t="e">
        <f t="shared" ca="1" si="21"/>
        <v>#NAME?</v>
      </c>
    </row>
    <row r="698" spans="1:9" x14ac:dyDescent="0.25">
      <c r="A698" s="2" t="s">
        <v>1104</v>
      </c>
      <c r="B698" s="2" t="s">
        <v>10</v>
      </c>
      <c r="C698" s="3">
        <v>43770</v>
      </c>
      <c r="D698" t="s">
        <v>1099</v>
      </c>
      <c r="E698" s="2" t="s">
        <v>12</v>
      </c>
      <c r="F698" s="2" t="s">
        <v>12</v>
      </c>
      <c r="G698" t="s">
        <v>586</v>
      </c>
      <c r="H698" t="str">
        <f t="shared" si="20"/>
        <v>https://videplast.com.br/consulta-imobilizado?id=22000205&amp;nome=CAMISA%20PORTA%20CLICHE%20TIPO%20STARCOAT</v>
      </c>
      <c r="I698" t="e">
        <f t="shared" ca="1" si="21"/>
        <v>#NAME?</v>
      </c>
    </row>
    <row r="699" spans="1:9" x14ac:dyDescent="0.25">
      <c r="A699" s="2" t="s">
        <v>1105</v>
      </c>
      <c r="B699" s="2" t="s">
        <v>10</v>
      </c>
      <c r="C699" s="3">
        <v>43770</v>
      </c>
      <c r="D699" t="s">
        <v>1099</v>
      </c>
      <c r="E699" s="2" t="s">
        <v>12</v>
      </c>
      <c r="F699" s="2" t="s">
        <v>12</v>
      </c>
      <c r="G699" t="s">
        <v>586</v>
      </c>
      <c r="H699" t="str">
        <f t="shared" si="20"/>
        <v>https://videplast.com.br/consulta-imobilizado?id=22000206&amp;nome=CAMISA%20PORTA%20CLICHE%20TIPO%20STARCOAT</v>
      </c>
      <c r="I699" t="e">
        <f t="shared" ca="1" si="21"/>
        <v>#NAME?</v>
      </c>
    </row>
    <row r="700" spans="1:9" x14ac:dyDescent="0.25">
      <c r="A700" s="2" t="s">
        <v>1106</v>
      </c>
      <c r="B700" s="2" t="s">
        <v>10</v>
      </c>
      <c r="C700" s="3">
        <v>43770</v>
      </c>
      <c r="D700" t="s">
        <v>1099</v>
      </c>
      <c r="E700" s="2" t="s">
        <v>12</v>
      </c>
      <c r="F700" s="2" t="s">
        <v>12</v>
      </c>
      <c r="G700" t="s">
        <v>586</v>
      </c>
      <c r="H700" t="str">
        <f t="shared" si="20"/>
        <v>https://videplast.com.br/consulta-imobilizado?id=22000207&amp;nome=CAMISA%20PORTA%20CLICHE%20TIPO%20STARCOAT</v>
      </c>
      <c r="I700" t="e">
        <f t="shared" ca="1" si="21"/>
        <v>#NAME?</v>
      </c>
    </row>
    <row r="701" spans="1:9" x14ac:dyDescent="0.25">
      <c r="A701" s="2" t="s">
        <v>1107</v>
      </c>
      <c r="B701" s="2" t="s">
        <v>10</v>
      </c>
      <c r="C701" s="3">
        <v>43770</v>
      </c>
      <c r="D701" t="s">
        <v>1108</v>
      </c>
      <c r="E701" s="2" t="s">
        <v>12</v>
      </c>
      <c r="F701" s="2" t="s">
        <v>12</v>
      </c>
      <c r="G701" t="s">
        <v>586</v>
      </c>
      <c r="H701" t="str">
        <f t="shared" si="20"/>
        <v>https://videplast.com.br/consulta-imobilizado?id=22000234&amp;nome=CAMISA%20PORTA%20CLICHE%20EMBORRACHADA%20PHOTOFLEX</v>
      </c>
      <c r="I701" t="e">
        <f t="shared" ca="1" si="21"/>
        <v>#NAME?</v>
      </c>
    </row>
    <row r="702" spans="1:9" x14ac:dyDescent="0.25">
      <c r="A702" s="2" t="s">
        <v>1109</v>
      </c>
      <c r="B702" s="2" t="s">
        <v>10</v>
      </c>
      <c r="C702" s="3">
        <v>43770</v>
      </c>
      <c r="D702" t="s">
        <v>1110</v>
      </c>
      <c r="E702" s="2" t="s">
        <v>12</v>
      </c>
      <c r="F702" s="2" t="s">
        <v>12</v>
      </c>
      <c r="G702" t="s">
        <v>586</v>
      </c>
      <c r="H702" t="str">
        <f t="shared" si="20"/>
        <v>https://videplast.com.br/consulta-imobilizado?id=22000309&amp;nome=CAMISA%20P/%20LAMINAÇÃO%20SOLVENTE%20LESS%20EM%20POLYCOAT</v>
      </c>
      <c r="I702" t="e">
        <f t="shared" ca="1" si="21"/>
        <v>#NAME?</v>
      </c>
    </row>
    <row r="703" spans="1:9" x14ac:dyDescent="0.25">
      <c r="A703" s="2" t="s">
        <v>1111</v>
      </c>
      <c r="B703" s="2" t="s">
        <v>10</v>
      </c>
      <c r="C703" s="3">
        <v>43770</v>
      </c>
      <c r="D703" t="s">
        <v>1112</v>
      </c>
      <c r="E703" s="2" t="s">
        <v>12</v>
      </c>
      <c r="F703" s="2" t="s">
        <v>12</v>
      </c>
      <c r="G703" t="s">
        <v>586</v>
      </c>
      <c r="H703" t="str">
        <f t="shared" si="20"/>
        <v>https://videplast.com.br/consulta-imobilizado?id=22000343&amp;nome=CAMISA%20PORTA%20CLICHE%20PASSO%20430MM</v>
      </c>
      <c r="I703" t="e">
        <f t="shared" ca="1" si="21"/>
        <v>#NAME?</v>
      </c>
    </row>
    <row r="704" spans="1:9" x14ac:dyDescent="0.25">
      <c r="A704" s="2" t="s">
        <v>1113</v>
      </c>
      <c r="B704" s="2" t="s">
        <v>10</v>
      </c>
      <c r="C704" s="3">
        <v>43770</v>
      </c>
      <c r="D704" t="s">
        <v>1112</v>
      </c>
      <c r="E704" s="2" t="s">
        <v>12</v>
      </c>
      <c r="F704" s="2" t="s">
        <v>12</v>
      </c>
      <c r="G704" t="s">
        <v>586</v>
      </c>
      <c r="H704" t="str">
        <f t="shared" si="20"/>
        <v>https://videplast.com.br/consulta-imobilizado?id=22000344&amp;nome=CAMISA%20PORTA%20CLICHE%20PASSO%20430MM</v>
      </c>
      <c r="I704" t="e">
        <f t="shared" ca="1" si="21"/>
        <v>#NAME?</v>
      </c>
    </row>
    <row r="705" spans="1:9" x14ac:dyDescent="0.25">
      <c r="A705" s="2" t="s">
        <v>1114</v>
      </c>
      <c r="B705" s="2" t="s">
        <v>10</v>
      </c>
      <c r="C705" s="3">
        <v>43770</v>
      </c>
      <c r="D705" t="s">
        <v>1112</v>
      </c>
      <c r="E705" s="2" t="s">
        <v>12</v>
      </c>
      <c r="F705" s="2" t="s">
        <v>12</v>
      </c>
      <c r="G705" t="s">
        <v>586</v>
      </c>
      <c r="H705" t="str">
        <f t="shared" si="20"/>
        <v>https://videplast.com.br/consulta-imobilizado?id=22000345&amp;nome=CAMISA%20PORTA%20CLICHE%20PASSO%20430MM</v>
      </c>
      <c r="I705" t="e">
        <f t="shared" ca="1" si="21"/>
        <v>#NAME?</v>
      </c>
    </row>
    <row r="706" spans="1:9" x14ac:dyDescent="0.25">
      <c r="A706" s="2" t="s">
        <v>1115</v>
      </c>
      <c r="B706" s="2" t="s">
        <v>10</v>
      </c>
      <c r="C706" s="3">
        <v>43770</v>
      </c>
      <c r="D706" t="s">
        <v>1112</v>
      </c>
      <c r="E706" s="2" t="s">
        <v>12</v>
      </c>
      <c r="F706" s="2" t="s">
        <v>12</v>
      </c>
      <c r="G706" t="s">
        <v>586</v>
      </c>
      <c r="H706" t="str">
        <f t="shared" ref="H706:H769" si="22" xml:space="preserve"> "https://videplast.com.br/consulta-imobilizado?id=" &amp; A706 &amp; "&amp;nome=" &amp; SUBSTITUTE(D706, " ", "%20")</f>
        <v>https://videplast.com.br/consulta-imobilizado?id=22000346&amp;nome=CAMISA%20PORTA%20CLICHE%20PASSO%20430MM</v>
      </c>
      <c r="I706" t="e">
        <f t="shared" ref="I706:I769" ca="1" si="23">_xlfn.IMAGE("https://chart.googleapis.com/chart?chs=150x150&amp;cht=qr&amp;chl=" &amp; H706)</f>
        <v>#NAME?</v>
      </c>
    </row>
    <row r="707" spans="1:9" x14ac:dyDescent="0.25">
      <c r="A707" s="2" t="s">
        <v>1116</v>
      </c>
      <c r="B707" s="2" t="s">
        <v>10</v>
      </c>
      <c r="C707" s="3">
        <v>43770</v>
      </c>
      <c r="D707" t="s">
        <v>1112</v>
      </c>
      <c r="E707" s="2" t="s">
        <v>12</v>
      </c>
      <c r="F707" s="2" t="s">
        <v>12</v>
      </c>
      <c r="G707" t="s">
        <v>586</v>
      </c>
      <c r="H707" t="str">
        <f t="shared" si="22"/>
        <v>https://videplast.com.br/consulta-imobilizado?id=22000347&amp;nome=CAMISA%20PORTA%20CLICHE%20PASSO%20430MM</v>
      </c>
      <c r="I707" t="e">
        <f t="shared" ca="1" si="23"/>
        <v>#NAME?</v>
      </c>
    </row>
    <row r="708" spans="1:9" x14ac:dyDescent="0.25">
      <c r="A708" s="2" t="s">
        <v>1117</v>
      </c>
      <c r="B708" s="2" t="s">
        <v>10</v>
      </c>
      <c r="C708" s="3">
        <v>43770</v>
      </c>
      <c r="D708" t="s">
        <v>1112</v>
      </c>
      <c r="E708" s="2" t="s">
        <v>12</v>
      </c>
      <c r="F708" s="2" t="s">
        <v>12</v>
      </c>
      <c r="G708" t="s">
        <v>586</v>
      </c>
      <c r="H708" t="str">
        <f t="shared" si="22"/>
        <v>https://videplast.com.br/consulta-imobilizado?id=22000348&amp;nome=CAMISA%20PORTA%20CLICHE%20PASSO%20430MM</v>
      </c>
      <c r="I708" t="e">
        <f t="shared" ca="1" si="23"/>
        <v>#NAME?</v>
      </c>
    </row>
    <row r="709" spans="1:9" x14ac:dyDescent="0.25">
      <c r="A709" s="2" t="s">
        <v>1118</v>
      </c>
      <c r="B709" s="2" t="s">
        <v>10</v>
      </c>
      <c r="C709" s="3">
        <v>43770</v>
      </c>
      <c r="D709" t="s">
        <v>1112</v>
      </c>
      <c r="E709" s="2" t="s">
        <v>12</v>
      </c>
      <c r="F709" s="2" t="s">
        <v>12</v>
      </c>
      <c r="G709" t="s">
        <v>586</v>
      </c>
      <c r="H709" t="str">
        <f t="shared" si="22"/>
        <v>https://videplast.com.br/consulta-imobilizado?id=22000349&amp;nome=CAMISA%20PORTA%20CLICHE%20PASSO%20430MM</v>
      </c>
      <c r="I709" t="e">
        <f t="shared" ca="1" si="23"/>
        <v>#NAME?</v>
      </c>
    </row>
    <row r="710" spans="1:9" x14ac:dyDescent="0.25">
      <c r="A710" s="2" t="s">
        <v>1119</v>
      </c>
      <c r="B710" s="2" t="s">
        <v>10</v>
      </c>
      <c r="C710" s="3">
        <v>43770</v>
      </c>
      <c r="D710" t="s">
        <v>1112</v>
      </c>
      <c r="E710" s="2" t="s">
        <v>12</v>
      </c>
      <c r="F710" s="2" t="s">
        <v>12</v>
      </c>
      <c r="G710" t="s">
        <v>586</v>
      </c>
      <c r="H710" t="str">
        <f t="shared" si="22"/>
        <v>https://videplast.com.br/consulta-imobilizado?id=22000350&amp;nome=CAMISA%20PORTA%20CLICHE%20PASSO%20430MM</v>
      </c>
      <c r="I710" t="e">
        <f t="shared" ca="1" si="23"/>
        <v>#NAME?</v>
      </c>
    </row>
    <row r="711" spans="1:9" x14ac:dyDescent="0.25">
      <c r="A711" s="2" t="s">
        <v>1120</v>
      </c>
      <c r="B711" s="2" t="s">
        <v>10</v>
      </c>
      <c r="C711" s="3">
        <v>43770</v>
      </c>
      <c r="D711" t="s">
        <v>1121</v>
      </c>
      <c r="E711" s="2" t="s">
        <v>12</v>
      </c>
      <c r="F711" s="2" t="s">
        <v>12</v>
      </c>
      <c r="G711" t="s">
        <v>586</v>
      </c>
      <c r="H711" t="str">
        <f t="shared" si="22"/>
        <v>https://videplast.com.br/consulta-imobilizado?id=22000379&amp;nome=CAMISA%20PORTA%20CLICHE%20PASSO%20450MM</v>
      </c>
      <c r="I711" t="e">
        <f t="shared" ca="1" si="23"/>
        <v>#NAME?</v>
      </c>
    </row>
    <row r="712" spans="1:9" x14ac:dyDescent="0.25">
      <c r="A712" s="2" t="s">
        <v>1122</v>
      </c>
      <c r="B712" s="2" t="s">
        <v>10</v>
      </c>
      <c r="C712" s="3">
        <v>43770</v>
      </c>
      <c r="D712" t="s">
        <v>1121</v>
      </c>
      <c r="E712" s="2" t="s">
        <v>12</v>
      </c>
      <c r="F712" s="2" t="s">
        <v>12</v>
      </c>
      <c r="G712" t="s">
        <v>586</v>
      </c>
      <c r="H712" t="str">
        <f t="shared" si="22"/>
        <v>https://videplast.com.br/consulta-imobilizado?id=22000380&amp;nome=CAMISA%20PORTA%20CLICHE%20PASSO%20450MM</v>
      </c>
      <c r="I712" t="e">
        <f t="shared" ca="1" si="23"/>
        <v>#NAME?</v>
      </c>
    </row>
    <row r="713" spans="1:9" x14ac:dyDescent="0.25">
      <c r="A713" s="2" t="s">
        <v>1123</v>
      </c>
      <c r="B713" s="2" t="s">
        <v>10</v>
      </c>
      <c r="C713" s="3">
        <v>43770</v>
      </c>
      <c r="D713" t="s">
        <v>1121</v>
      </c>
      <c r="E713" s="2" t="s">
        <v>12</v>
      </c>
      <c r="F713" s="2" t="s">
        <v>12</v>
      </c>
      <c r="G713" t="s">
        <v>586</v>
      </c>
      <c r="H713" t="str">
        <f t="shared" si="22"/>
        <v>https://videplast.com.br/consulta-imobilizado?id=22000381&amp;nome=CAMISA%20PORTA%20CLICHE%20PASSO%20450MM</v>
      </c>
      <c r="I713" t="e">
        <f t="shared" ca="1" si="23"/>
        <v>#NAME?</v>
      </c>
    </row>
    <row r="714" spans="1:9" x14ac:dyDescent="0.25">
      <c r="A714" s="2" t="s">
        <v>1124</v>
      </c>
      <c r="B714" s="2" t="s">
        <v>10</v>
      </c>
      <c r="C714" s="3">
        <v>43770</v>
      </c>
      <c r="D714" t="s">
        <v>1121</v>
      </c>
      <c r="E714" s="2" t="s">
        <v>12</v>
      </c>
      <c r="F714" s="2" t="s">
        <v>12</v>
      </c>
      <c r="G714" t="s">
        <v>586</v>
      </c>
      <c r="H714" t="str">
        <f t="shared" si="22"/>
        <v>https://videplast.com.br/consulta-imobilizado?id=22000382&amp;nome=CAMISA%20PORTA%20CLICHE%20PASSO%20450MM</v>
      </c>
      <c r="I714" t="e">
        <f t="shared" ca="1" si="23"/>
        <v>#NAME?</v>
      </c>
    </row>
    <row r="715" spans="1:9" x14ac:dyDescent="0.25">
      <c r="A715" s="2" t="s">
        <v>1125</v>
      </c>
      <c r="B715" s="2" t="s">
        <v>10</v>
      </c>
      <c r="C715" s="3">
        <v>43770</v>
      </c>
      <c r="D715" t="s">
        <v>1121</v>
      </c>
      <c r="E715" s="2" t="s">
        <v>12</v>
      </c>
      <c r="F715" s="2" t="s">
        <v>12</v>
      </c>
      <c r="G715" t="s">
        <v>586</v>
      </c>
      <c r="H715" t="str">
        <f t="shared" si="22"/>
        <v>https://videplast.com.br/consulta-imobilizado?id=22000383&amp;nome=CAMISA%20PORTA%20CLICHE%20PASSO%20450MM</v>
      </c>
      <c r="I715" t="e">
        <f t="shared" ca="1" si="23"/>
        <v>#NAME?</v>
      </c>
    </row>
    <row r="716" spans="1:9" x14ac:dyDescent="0.25">
      <c r="A716" s="2" t="s">
        <v>1126</v>
      </c>
      <c r="B716" s="2" t="s">
        <v>10</v>
      </c>
      <c r="C716" s="3">
        <v>43770</v>
      </c>
      <c r="D716" t="s">
        <v>1121</v>
      </c>
      <c r="E716" s="2" t="s">
        <v>12</v>
      </c>
      <c r="F716" s="2" t="s">
        <v>12</v>
      </c>
      <c r="G716" t="s">
        <v>586</v>
      </c>
      <c r="H716" t="str">
        <f t="shared" si="22"/>
        <v>https://videplast.com.br/consulta-imobilizado?id=22000384&amp;nome=CAMISA%20PORTA%20CLICHE%20PASSO%20450MM</v>
      </c>
      <c r="I716" t="e">
        <f t="shared" ca="1" si="23"/>
        <v>#NAME?</v>
      </c>
    </row>
    <row r="717" spans="1:9" x14ac:dyDescent="0.25">
      <c r="A717" s="2" t="s">
        <v>1127</v>
      </c>
      <c r="B717" s="2" t="s">
        <v>10</v>
      </c>
      <c r="C717" s="3">
        <v>43770</v>
      </c>
      <c r="D717" t="s">
        <v>1121</v>
      </c>
      <c r="E717" s="2" t="s">
        <v>12</v>
      </c>
      <c r="F717" s="2" t="s">
        <v>12</v>
      </c>
      <c r="G717" t="s">
        <v>586</v>
      </c>
      <c r="H717" t="str">
        <f t="shared" si="22"/>
        <v>https://videplast.com.br/consulta-imobilizado?id=22000385&amp;nome=CAMISA%20PORTA%20CLICHE%20PASSO%20450MM</v>
      </c>
      <c r="I717" t="e">
        <f t="shared" ca="1" si="23"/>
        <v>#NAME?</v>
      </c>
    </row>
    <row r="718" spans="1:9" x14ac:dyDescent="0.25">
      <c r="A718" s="2" t="s">
        <v>1128</v>
      </c>
      <c r="B718" s="2" t="s">
        <v>10</v>
      </c>
      <c r="C718" s="3">
        <v>43770</v>
      </c>
      <c r="D718" t="s">
        <v>1121</v>
      </c>
      <c r="E718" s="2" t="s">
        <v>12</v>
      </c>
      <c r="F718" s="2" t="s">
        <v>12</v>
      </c>
      <c r="G718" t="s">
        <v>586</v>
      </c>
      <c r="H718" t="str">
        <f t="shared" si="22"/>
        <v>https://videplast.com.br/consulta-imobilizado?id=22000386&amp;nome=CAMISA%20PORTA%20CLICHE%20PASSO%20450MM</v>
      </c>
      <c r="I718" t="e">
        <f t="shared" ca="1" si="23"/>
        <v>#NAME?</v>
      </c>
    </row>
    <row r="719" spans="1:9" x14ac:dyDescent="0.25">
      <c r="A719" s="2" t="s">
        <v>1129</v>
      </c>
      <c r="B719" s="2" t="s">
        <v>10</v>
      </c>
      <c r="C719" s="3">
        <v>43770</v>
      </c>
      <c r="D719" t="s">
        <v>1130</v>
      </c>
      <c r="E719" s="2" t="s">
        <v>12</v>
      </c>
      <c r="F719" s="2" t="s">
        <v>12</v>
      </c>
      <c r="G719" t="s">
        <v>586</v>
      </c>
      <c r="H719" t="str">
        <f t="shared" si="22"/>
        <v>https://videplast.com.br/consulta-imobilizado?id=22000480&amp;nome=CAMISA%20PORTA%20CLICHE%20PASSO%20490MM</v>
      </c>
      <c r="I719" t="e">
        <f t="shared" ca="1" si="23"/>
        <v>#NAME?</v>
      </c>
    </row>
    <row r="720" spans="1:9" x14ac:dyDescent="0.25">
      <c r="A720" s="2" t="s">
        <v>1131</v>
      </c>
      <c r="B720" s="2" t="s">
        <v>10</v>
      </c>
      <c r="C720" s="3">
        <v>43770</v>
      </c>
      <c r="D720" t="s">
        <v>1130</v>
      </c>
      <c r="E720" s="2" t="s">
        <v>12</v>
      </c>
      <c r="F720" s="2" t="s">
        <v>12</v>
      </c>
      <c r="G720" t="s">
        <v>586</v>
      </c>
      <c r="H720" t="str">
        <f t="shared" si="22"/>
        <v>https://videplast.com.br/consulta-imobilizado?id=22000481&amp;nome=CAMISA%20PORTA%20CLICHE%20PASSO%20490MM</v>
      </c>
      <c r="I720" t="e">
        <f t="shared" ca="1" si="23"/>
        <v>#NAME?</v>
      </c>
    </row>
    <row r="721" spans="1:9" x14ac:dyDescent="0.25">
      <c r="A721" s="2" t="s">
        <v>1132</v>
      </c>
      <c r="B721" s="2" t="s">
        <v>10</v>
      </c>
      <c r="C721" s="3">
        <v>43770</v>
      </c>
      <c r="D721" t="s">
        <v>1130</v>
      </c>
      <c r="E721" s="2" t="s">
        <v>12</v>
      </c>
      <c r="F721" s="2" t="s">
        <v>12</v>
      </c>
      <c r="G721" t="s">
        <v>586</v>
      </c>
      <c r="H721" t="str">
        <f t="shared" si="22"/>
        <v>https://videplast.com.br/consulta-imobilizado?id=22000482&amp;nome=CAMISA%20PORTA%20CLICHE%20PASSO%20490MM</v>
      </c>
      <c r="I721" t="e">
        <f t="shared" ca="1" si="23"/>
        <v>#NAME?</v>
      </c>
    </row>
    <row r="722" spans="1:9" x14ac:dyDescent="0.25">
      <c r="A722" s="2" t="s">
        <v>1133</v>
      </c>
      <c r="B722" s="2" t="s">
        <v>10</v>
      </c>
      <c r="C722" s="3">
        <v>43770</v>
      </c>
      <c r="D722" t="s">
        <v>1130</v>
      </c>
      <c r="E722" s="2" t="s">
        <v>12</v>
      </c>
      <c r="F722" s="2" t="s">
        <v>12</v>
      </c>
      <c r="G722" t="s">
        <v>586</v>
      </c>
      <c r="H722" t="str">
        <f t="shared" si="22"/>
        <v>https://videplast.com.br/consulta-imobilizado?id=22000483&amp;nome=CAMISA%20PORTA%20CLICHE%20PASSO%20490MM</v>
      </c>
      <c r="I722" t="e">
        <f t="shared" ca="1" si="23"/>
        <v>#NAME?</v>
      </c>
    </row>
    <row r="723" spans="1:9" x14ac:dyDescent="0.25">
      <c r="A723" s="2" t="s">
        <v>1134</v>
      </c>
      <c r="B723" s="2" t="s">
        <v>10</v>
      </c>
      <c r="C723" s="3">
        <v>43770</v>
      </c>
      <c r="D723" t="s">
        <v>1130</v>
      </c>
      <c r="E723" s="2" t="s">
        <v>12</v>
      </c>
      <c r="F723" s="2" t="s">
        <v>12</v>
      </c>
      <c r="G723" t="s">
        <v>586</v>
      </c>
      <c r="H723" t="str">
        <f t="shared" si="22"/>
        <v>https://videplast.com.br/consulta-imobilizado?id=22000484&amp;nome=CAMISA%20PORTA%20CLICHE%20PASSO%20490MM</v>
      </c>
      <c r="I723" t="e">
        <f t="shared" ca="1" si="23"/>
        <v>#NAME?</v>
      </c>
    </row>
    <row r="724" spans="1:9" x14ac:dyDescent="0.25">
      <c r="A724" s="2" t="s">
        <v>1135</v>
      </c>
      <c r="B724" s="2" t="s">
        <v>10</v>
      </c>
      <c r="C724" s="3">
        <v>43770</v>
      </c>
      <c r="D724" t="s">
        <v>1130</v>
      </c>
      <c r="E724" s="2" t="s">
        <v>12</v>
      </c>
      <c r="F724" s="2" t="s">
        <v>12</v>
      </c>
      <c r="G724" t="s">
        <v>586</v>
      </c>
      <c r="H724" t="str">
        <f t="shared" si="22"/>
        <v>https://videplast.com.br/consulta-imobilizado?id=22000485&amp;nome=CAMISA%20PORTA%20CLICHE%20PASSO%20490MM</v>
      </c>
      <c r="I724" t="e">
        <f t="shared" ca="1" si="23"/>
        <v>#NAME?</v>
      </c>
    </row>
    <row r="725" spans="1:9" x14ac:dyDescent="0.25">
      <c r="A725" s="2" t="s">
        <v>1136</v>
      </c>
      <c r="B725" s="2" t="s">
        <v>10</v>
      </c>
      <c r="C725" s="3">
        <v>43770</v>
      </c>
      <c r="D725" t="s">
        <v>1130</v>
      </c>
      <c r="E725" s="2" t="s">
        <v>12</v>
      </c>
      <c r="F725" s="2" t="s">
        <v>12</v>
      </c>
      <c r="G725" t="s">
        <v>586</v>
      </c>
      <c r="H725" t="str">
        <f t="shared" si="22"/>
        <v>https://videplast.com.br/consulta-imobilizado?id=22000486&amp;nome=CAMISA%20PORTA%20CLICHE%20PASSO%20490MM</v>
      </c>
      <c r="I725" t="e">
        <f t="shared" ca="1" si="23"/>
        <v>#NAME?</v>
      </c>
    </row>
    <row r="726" spans="1:9" x14ac:dyDescent="0.25">
      <c r="A726" s="2" t="s">
        <v>1137</v>
      </c>
      <c r="B726" s="2" t="s">
        <v>10</v>
      </c>
      <c r="C726" s="3">
        <v>43770</v>
      </c>
      <c r="D726" t="s">
        <v>1130</v>
      </c>
      <c r="E726" s="2" t="s">
        <v>12</v>
      </c>
      <c r="F726" s="2" t="s">
        <v>12</v>
      </c>
      <c r="G726" t="s">
        <v>586</v>
      </c>
      <c r="H726" t="str">
        <f t="shared" si="22"/>
        <v>https://videplast.com.br/consulta-imobilizado?id=22000487&amp;nome=CAMISA%20PORTA%20CLICHE%20PASSO%20490MM</v>
      </c>
      <c r="I726" t="e">
        <f t="shared" ca="1" si="23"/>
        <v>#NAME?</v>
      </c>
    </row>
    <row r="727" spans="1:9" x14ac:dyDescent="0.25">
      <c r="A727" s="2" t="s">
        <v>1138</v>
      </c>
      <c r="B727" s="2" t="s">
        <v>10</v>
      </c>
      <c r="C727" s="3">
        <v>43770</v>
      </c>
      <c r="D727" t="s">
        <v>1139</v>
      </c>
      <c r="E727" s="2" t="s">
        <v>12</v>
      </c>
      <c r="F727" s="2" t="s">
        <v>12</v>
      </c>
      <c r="G727" t="s">
        <v>586</v>
      </c>
      <c r="H727" t="str">
        <f t="shared" si="22"/>
        <v>https://videplast.com.br/consulta-imobilizado?id=22000534&amp;nome=CAMISA%20PORTA%20CLICHE%20490%20800%20FLEXOTECH</v>
      </c>
      <c r="I727" t="e">
        <f t="shared" ca="1" si="23"/>
        <v>#NAME?</v>
      </c>
    </row>
    <row r="728" spans="1:9" x14ac:dyDescent="0.25">
      <c r="A728" s="2" t="s">
        <v>1140</v>
      </c>
      <c r="B728" s="2" t="s">
        <v>10</v>
      </c>
      <c r="C728" s="3">
        <v>43770</v>
      </c>
      <c r="D728" t="s">
        <v>1139</v>
      </c>
      <c r="E728" s="2" t="s">
        <v>12</v>
      </c>
      <c r="F728" s="2" t="s">
        <v>12</v>
      </c>
      <c r="G728" t="s">
        <v>586</v>
      </c>
      <c r="H728" t="str">
        <f t="shared" si="22"/>
        <v>https://videplast.com.br/consulta-imobilizado?id=22000535&amp;nome=CAMISA%20PORTA%20CLICHE%20490%20800%20FLEXOTECH</v>
      </c>
      <c r="I728" t="e">
        <f t="shared" ca="1" si="23"/>
        <v>#NAME?</v>
      </c>
    </row>
    <row r="729" spans="1:9" x14ac:dyDescent="0.25">
      <c r="A729" s="2" t="s">
        <v>1141</v>
      </c>
      <c r="B729" s="2" t="s">
        <v>10</v>
      </c>
      <c r="C729" s="3">
        <v>43770</v>
      </c>
      <c r="D729" t="s">
        <v>1139</v>
      </c>
      <c r="E729" s="2" t="s">
        <v>12</v>
      </c>
      <c r="F729" s="2" t="s">
        <v>12</v>
      </c>
      <c r="G729" t="s">
        <v>586</v>
      </c>
      <c r="H729" t="str">
        <f t="shared" si="22"/>
        <v>https://videplast.com.br/consulta-imobilizado?id=22000536&amp;nome=CAMISA%20PORTA%20CLICHE%20490%20800%20FLEXOTECH</v>
      </c>
      <c r="I729" t="e">
        <f t="shared" ca="1" si="23"/>
        <v>#NAME?</v>
      </c>
    </row>
    <row r="730" spans="1:9" x14ac:dyDescent="0.25">
      <c r="A730" s="2" t="s">
        <v>1142</v>
      </c>
      <c r="B730" s="2" t="s">
        <v>10</v>
      </c>
      <c r="C730" s="3">
        <v>43770</v>
      </c>
      <c r="D730" t="s">
        <v>1139</v>
      </c>
      <c r="E730" s="2" t="s">
        <v>12</v>
      </c>
      <c r="F730" s="2" t="s">
        <v>12</v>
      </c>
      <c r="G730" t="s">
        <v>586</v>
      </c>
      <c r="H730" t="str">
        <f t="shared" si="22"/>
        <v>https://videplast.com.br/consulta-imobilizado?id=22000537&amp;nome=CAMISA%20PORTA%20CLICHE%20490%20800%20FLEXOTECH</v>
      </c>
      <c r="I730" t="e">
        <f t="shared" ca="1" si="23"/>
        <v>#NAME?</v>
      </c>
    </row>
    <row r="731" spans="1:9" x14ac:dyDescent="0.25">
      <c r="A731" s="2" t="s">
        <v>1143</v>
      </c>
      <c r="B731" s="2" t="s">
        <v>10</v>
      </c>
      <c r="C731" s="3">
        <v>43770</v>
      </c>
      <c r="D731" t="s">
        <v>1139</v>
      </c>
      <c r="E731" s="2" t="s">
        <v>12</v>
      </c>
      <c r="F731" s="2" t="s">
        <v>12</v>
      </c>
      <c r="G731" t="s">
        <v>586</v>
      </c>
      <c r="H731" t="str">
        <f t="shared" si="22"/>
        <v>https://videplast.com.br/consulta-imobilizado?id=22000538&amp;nome=CAMISA%20PORTA%20CLICHE%20490%20800%20FLEXOTECH</v>
      </c>
      <c r="I731" t="e">
        <f t="shared" ca="1" si="23"/>
        <v>#NAME?</v>
      </c>
    </row>
    <row r="732" spans="1:9" x14ac:dyDescent="0.25">
      <c r="A732" s="2" t="s">
        <v>1144</v>
      </c>
      <c r="B732" s="2" t="s">
        <v>10</v>
      </c>
      <c r="C732" s="3">
        <v>43770</v>
      </c>
      <c r="D732" t="s">
        <v>1139</v>
      </c>
      <c r="E732" s="2" t="s">
        <v>12</v>
      </c>
      <c r="F732" s="2" t="s">
        <v>12</v>
      </c>
      <c r="G732" t="s">
        <v>586</v>
      </c>
      <c r="H732" t="str">
        <f t="shared" si="22"/>
        <v>https://videplast.com.br/consulta-imobilizado?id=22000539&amp;nome=CAMISA%20PORTA%20CLICHE%20490%20800%20FLEXOTECH</v>
      </c>
      <c r="I732" t="e">
        <f t="shared" ca="1" si="23"/>
        <v>#NAME?</v>
      </c>
    </row>
    <row r="733" spans="1:9" x14ac:dyDescent="0.25">
      <c r="A733" s="2" t="s">
        <v>1145</v>
      </c>
      <c r="B733" s="2" t="s">
        <v>10</v>
      </c>
      <c r="C733" s="3">
        <v>43770</v>
      </c>
      <c r="D733" t="s">
        <v>1139</v>
      </c>
      <c r="E733" s="2" t="s">
        <v>12</v>
      </c>
      <c r="F733" s="2" t="s">
        <v>12</v>
      </c>
      <c r="G733" t="s">
        <v>586</v>
      </c>
      <c r="H733" t="str">
        <f t="shared" si="22"/>
        <v>https://videplast.com.br/consulta-imobilizado?id=22000540&amp;nome=CAMISA%20PORTA%20CLICHE%20490%20800%20FLEXOTECH</v>
      </c>
      <c r="I733" t="e">
        <f t="shared" ca="1" si="23"/>
        <v>#NAME?</v>
      </c>
    </row>
    <row r="734" spans="1:9" x14ac:dyDescent="0.25">
      <c r="A734" s="2" t="s">
        <v>1146</v>
      </c>
      <c r="B734" s="2" t="s">
        <v>10</v>
      </c>
      <c r="C734" s="3">
        <v>43770</v>
      </c>
      <c r="D734" t="s">
        <v>1139</v>
      </c>
      <c r="E734" s="2" t="s">
        <v>12</v>
      </c>
      <c r="F734" s="2" t="s">
        <v>12</v>
      </c>
      <c r="G734" t="s">
        <v>586</v>
      </c>
      <c r="H734" t="str">
        <f t="shared" si="22"/>
        <v>https://videplast.com.br/consulta-imobilizado?id=22000541&amp;nome=CAMISA%20PORTA%20CLICHE%20490%20800%20FLEXOTECH</v>
      </c>
      <c r="I734" t="e">
        <f t="shared" ca="1" si="23"/>
        <v>#NAME?</v>
      </c>
    </row>
    <row r="735" spans="1:9" x14ac:dyDescent="0.25">
      <c r="A735" s="2" t="s">
        <v>1147</v>
      </c>
      <c r="B735" s="2" t="s">
        <v>10</v>
      </c>
      <c r="C735" s="3">
        <v>43770</v>
      </c>
      <c r="D735" t="s">
        <v>1148</v>
      </c>
      <c r="E735" s="2" t="s">
        <v>12</v>
      </c>
      <c r="F735" s="2" t="s">
        <v>12</v>
      </c>
      <c r="G735" t="s">
        <v>586</v>
      </c>
      <c r="H735" t="str">
        <f t="shared" si="22"/>
        <v>https://videplast.com.br/consulta-imobilizado?id=22000544&amp;nome=CAMISA%20PORTA%20CLICHE%20PASSO%20510MM</v>
      </c>
      <c r="I735" t="e">
        <f t="shared" ca="1" si="23"/>
        <v>#NAME?</v>
      </c>
    </row>
    <row r="736" spans="1:9" x14ac:dyDescent="0.25">
      <c r="A736" s="2" t="s">
        <v>1149</v>
      </c>
      <c r="B736" s="2" t="s">
        <v>10</v>
      </c>
      <c r="C736" s="3">
        <v>43770</v>
      </c>
      <c r="D736" t="s">
        <v>1148</v>
      </c>
      <c r="E736" s="2" t="s">
        <v>12</v>
      </c>
      <c r="F736" s="2" t="s">
        <v>12</v>
      </c>
      <c r="G736" t="s">
        <v>586</v>
      </c>
      <c r="H736" t="str">
        <f t="shared" si="22"/>
        <v>https://videplast.com.br/consulta-imobilizado?id=22000545&amp;nome=CAMISA%20PORTA%20CLICHE%20PASSO%20510MM</v>
      </c>
      <c r="I736" t="e">
        <f t="shared" ca="1" si="23"/>
        <v>#NAME?</v>
      </c>
    </row>
    <row r="737" spans="1:9" x14ac:dyDescent="0.25">
      <c r="A737" s="2" t="s">
        <v>1150</v>
      </c>
      <c r="B737" s="2" t="s">
        <v>10</v>
      </c>
      <c r="C737" s="3">
        <v>43770</v>
      </c>
      <c r="D737" t="s">
        <v>1148</v>
      </c>
      <c r="E737" s="2" t="s">
        <v>12</v>
      </c>
      <c r="F737" s="2" t="s">
        <v>12</v>
      </c>
      <c r="G737" t="s">
        <v>586</v>
      </c>
      <c r="H737" t="str">
        <f t="shared" si="22"/>
        <v>https://videplast.com.br/consulta-imobilizado?id=22000546&amp;nome=CAMISA%20PORTA%20CLICHE%20PASSO%20510MM</v>
      </c>
      <c r="I737" t="e">
        <f t="shared" ca="1" si="23"/>
        <v>#NAME?</v>
      </c>
    </row>
    <row r="738" spans="1:9" x14ac:dyDescent="0.25">
      <c r="A738" s="2" t="s">
        <v>1151</v>
      </c>
      <c r="B738" s="2" t="s">
        <v>10</v>
      </c>
      <c r="C738" s="3">
        <v>43770</v>
      </c>
      <c r="D738" t="s">
        <v>1148</v>
      </c>
      <c r="E738" s="2" t="s">
        <v>12</v>
      </c>
      <c r="F738" s="2" t="s">
        <v>12</v>
      </c>
      <c r="G738" t="s">
        <v>586</v>
      </c>
      <c r="H738" t="str">
        <f t="shared" si="22"/>
        <v>https://videplast.com.br/consulta-imobilizado?id=22000547&amp;nome=CAMISA%20PORTA%20CLICHE%20PASSO%20510MM</v>
      </c>
      <c r="I738" t="e">
        <f t="shared" ca="1" si="23"/>
        <v>#NAME?</v>
      </c>
    </row>
    <row r="739" spans="1:9" x14ac:dyDescent="0.25">
      <c r="A739" s="2" t="s">
        <v>1152</v>
      </c>
      <c r="B739" s="2" t="s">
        <v>10</v>
      </c>
      <c r="C739" s="3">
        <v>43770</v>
      </c>
      <c r="D739" t="s">
        <v>1148</v>
      </c>
      <c r="E739" s="2" t="s">
        <v>12</v>
      </c>
      <c r="F739" s="2" t="s">
        <v>12</v>
      </c>
      <c r="G739" t="s">
        <v>586</v>
      </c>
      <c r="H739" t="str">
        <f t="shared" si="22"/>
        <v>https://videplast.com.br/consulta-imobilizado?id=22000548&amp;nome=CAMISA%20PORTA%20CLICHE%20PASSO%20510MM</v>
      </c>
      <c r="I739" t="e">
        <f t="shared" ca="1" si="23"/>
        <v>#NAME?</v>
      </c>
    </row>
    <row r="740" spans="1:9" x14ac:dyDescent="0.25">
      <c r="A740" s="2" t="s">
        <v>1153</v>
      </c>
      <c r="B740" s="2" t="s">
        <v>10</v>
      </c>
      <c r="C740" s="3">
        <v>43770</v>
      </c>
      <c r="D740" t="s">
        <v>1148</v>
      </c>
      <c r="E740" s="2" t="s">
        <v>12</v>
      </c>
      <c r="F740" s="2" t="s">
        <v>12</v>
      </c>
      <c r="G740" t="s">
        <v>586</v>
      </c>
      <c r="H740" t="str">
        <f t="shared" si="22"/>
        <v>https://videplast.com.br/consulta-imobilizado?id=22000549&amp;nome=CAMISA%20PORTA%20CLICHE%20PASSO%20510MM</v>
      </c>
      <c r="I740" t="e">
        <f t="shared" ca="1" si="23"/>
        <v>#NAME?</v>
      </c>
    </row>
    <row r="741" spans="1:9" x14ac:dyDescent="0.25">
      <c r="A741" s="2" t="s">
        <v>1154</v>
      </c>
      <c r="B741" s="2" t="s">
        <v>10</v>
      </c>
      <c r="C741" s="3">
        <v>43770</v>
      </c>
      <c r="D741" t="s">
        <v>1148</v>
      </c>
      <c r="E741" s="2" t="s">
        <v>12</v>
      </c>
      <c r="F741" s="2" t="s">
        <v>12</v>
      </c>
      <c r="G741" t="s">
        <v>586</v>
      </c>
      <c r="H741" t="str">
        <f t="shared" si="22"/>
        <v>https://videplast.com.br/consulta-imobilizado?id=22000550&amp;nome=CAMISA%20PORTA%20CLICHE%20PASSO%20510MM</v>
      </c>
      <c r="I741" t="e">
        <f t="shared" ca="1" si="23"/>
        <v>#NAME?</v>
      </c>
    </row>
    <row r="742" spans="1:9" x14ac:dyDescent="0.25">
      <c r="A742" s="2" t="s">
        <v>1155</v>
      </c>
      <c r="B742" s="2" t="s">
        <v>10</v>
      </c>
      <c r="C742" s="3">
        <v>43770</v>
      </c>
      <c r="D742" t="s">
        <v>1148</v>
      </c>
      <c r="E742" s="2" t="s">
        <v>12</v>
      </c>
      <c r="F742" s="2" t="s">
        <v>12</v>
      </c>
      <c r="G742" t="s">
        <v>586</v>
      </c>
      <c r="H742" t="str">
        <f t="shared" si="22"/>
        <v>https://videplast.com.br/consulta-imobilizado?id=22000551&amp;nome=CAMISA%20PORTA%20CLICHE%20PASSO%20510MM</v>
      </c>
      <c r="I742" t="e">
        <f t="shared" ca="1" si="23"/>
        <v>#NAME?</v>
      </c>
    </row>
    <row r="743" spans="1:9" x14ac:dyDescent="0.25">
      <c r="A743" s="2" t="s">
        <v>1156</v>
      </c>
      <c r="B743" s="2" t="s">
        <v>10</v>
      </c>
      <c r="C743" s="3">
        <v>43770</v>
      </c>
      <c r="D743" t="s">
        <v>1157</v>
      </c>
      <c r="E743" s="2" t="s">
        <v>12</v>
      </c>
      <c r="F743" s="2" t="s">
        <v>12</v>
      </c>
      <c r="G743" t="s">
        <v>586</v>
      </c>
      <c r="H743" t="str">
        <f t="shared" si="22"/>
        <v>https://videplast.com.br/consulta-imobilizado?id=22000564&amp;nome=CAMISA%20PORTA%20CLICHE%20530%20800%20FLEXOTECH</v>
      </c>
      <c r="I743" t="e">
        <f t="shared" ca="1" si="23"/>
        <v>#NAME?</v>
      </c>
    </row>
    <row r="744" spans="1:9" x14ac:dyDescent="0.25">
      <c r="A744" s="2" t="s">
        <v>1158</v>
      </c>
      <c r="B744" s="2" t="s">
        <v>10</v>
      </c>
      <c r="C744" s="3">
        <v>43770</v>
      </c>
      <c r="D744" t="s">
        <v>1157</v>
      </c>
      <c r="E744" s="2" t="s">
        <v>12</v>
      </c>
      <c r="F744" s="2" t="s">
        <v>12</v>
      </c>
      <c r="G744" t="s">
        <v>586</v>
      </c>
      <c r="H744" t="str">
        <f t="shared" si="22"/>
        <v>https://videplast.com.br/consulta-imobilizado?id=22000565&amp;nome=CAMISA%20PORTA%20CLICHE%20530%20800%20FLEXOTECH</v>
      </c>
      <c r="I744" t="e">
        <f t="shared" ca="1" si="23"/>
        <v>#NAME?</v>
      </c>
    </row>
    <row r="745" spans="1:9" x14ac:dyDescent="0.25">
      <c r="A745" s="2" t="s">
        <v>1159</v>
      </c>
      <c r="B745" s="2" t="s">
        <v>10</v>
      </c>
      <c r="C745" s="3">
        <v>43770</v>
      </c>
      <c r="D745" t="s">
        <v>1157</v>
      </c>
      <c r="E745" s="2" t="s">
        <v>12</v>
      </c>
      <c r="F745" s="2" t="s">
        <v>12</v>
      </c>
      <c r="G745" t="s">
        <v>586</v>
      </c>
      <c r="H745" t="str">
        <f t="shared" si="22"/>
        <v>https://videplast.com.br/consulta-imobilizado?id=22000566&amp;nome=CAMISA%20PORTA%20CLICHE%20530%20800%20FLEXOTECH</v>
      </c>
      <c r="I745" t="e">
        <f t="shared" ca="1" si="23"/>
        <v>#NAME?</v>
      </c>
    </row>
    <row r="746" spans="1:9" x14ac:dyDescent="0.25">
      <c r="A746" s="2" t="s">
        <v>1160</v>
      </c>
      <c r="B746" s="2" t="s">
        <v>10</v>
      </c>
      <c r="C746" s="3">
        <v>43770</v>
      </c>
      <c r="D746" t="s">
        <v>1157</v>
      </c>
      <c r="E746" s="2" t="s">
        <v>12</v>
      </c>
      <c r="F746" s="2" t="s">
        <v>12</v>
      </c>
      <c r="G746" t="s">
        <v>586</v>
      </c>
      <c r="H746" t="str">
        <f t="shared" si="22"/>
        <v>https://videplast.com.br/consulta-imobilizado?id=22000567&amp;nome=CAMISA%20PORTA%20CLICHE%20530%20800%20FLEXOTECH</v>
      </c>
      <c r="I746" t="e">
        <f t="shared" ca="1" si="23"/>
        <v>#NAME?</v>
      </c>
    </row>
    <row r="747" spans="1:9" x14ac:dyDescent="0.25">
      <c r="A747" s="2" t="s">
        <v>1161</v>
      </c>
      <c r="B747" s="2" t="s">
        <v>10</v>
      </c>
      <c r="C747" s="3">
        <v>43770</v>
      </c>
      <c r="D747" t="s">
        <v>1157</v>
      </c>
      <c r="E747" s="2" t="s">
        <v>12</v>
      </c>
      <c r="F747" s="2" t="s">
        <v>12</v>
      </c>
      <c r="G747" t="s">
        <v>586</v>
      </c>
      <c r="H747" t="str">
        <f t="shared" si="22"/>
        <v>https://videplast.com.br/consulta-imobilizado?id=22000568&amp;nome=CAMISA%20PORTA%20CLICHE%20530%20800%20FLEXOTECH</v>
      </c>
      <c r="I747" t="e">
        <f t="shared" ca="1" si="23"/>
        <v>#NAME?</v>
      </c>
    </row>
    <row r="748" spans="1:9" x14ac:dyDescent="0.25">
      <c r="A748" s="2" t="s">
        <v>1162</v>
      </c>
      <c r="B748" s="2" t="s">
        <v>10</v>
      </c>
      <c r="C748" s="3">
        <v>43770</v>
      </c>
      <c r="D748" t="s">
        <v>1157</v>
      </c>
      <c r="E748" s="2" t="s">
        <v>12</v>
      </c>
      <c r="F748" s="2" t="s">
        <v>12</v>
      </c>
      <c r="G748" t="s">
        <v>586</v>
      </c>
      <c r="H748" t="str">
        <f t="shared" si="22"/>
        <v>https://videplast.com.br/consulta-imobilizado?id=22000569&amp;nome=CAMISA%20PORTA%20CLICHE%20530%20800%20FLEXOTECH</v>
      </c>
      <c r="I748" t="e">
        <f t="shared" ca="1" si="23"/>
        <v>#NAME?</v>
      </c>
    </row>
    <row r="749" spans="1:9" x14ac:dyDescent="0.25">
      <c r="A749" s="2" t="s">
        <v>1163</v>
      </c>
      <c r="B749" s="2" t="s">
        <v>10</v>
      </c>
      <c r="C749" s="3">
        <v>43770</v>
      </c>
      <c r="D749" t="s">
        <v>1157</v>
      </c>
      <c r="E749" s="2" t="s">
        <v>12</v>
      </c>
      <c r="F749" s="2" t="s">
        <v>12</v>
      </c>
      <c r="G749" t="s">
        <v>586</v>
      </c>
      <c r="H749" t="str">
        <f t="shared" si="22"/>
        <v>https://videplast.com.br/consulta-imobilizado?id=22000570&amp;nome=CAMISA%20PORTA%20CLICHE%20530%20800%20FLEXOTECH</v>
      </c>
      <c r="I749" t="e">
        <f t="shared" ca="1" si="23"/>
        <v>#NAME?</v>
      </c>
    </row>
    <row r="750" spans="1:9" x14ac:dyDescent="0.25">
      <c r="A750" s="2" t="s">
        <v>1164</v>
      </c>
      <c r="B750" s="2" t="s">
        <v>10</v>
      </c>
      <c r="C750" s="3">
        <v>43770</v>
      </c>
      <c r="D750" t="s">
        <v>1157</v>
      </c>
      <c r="E750" s="2" t="s">
        <v>12</v>
      </c>
      <c r="F750" s="2" t="s">
        <v>12</v>
      </c>
      <c r="G750" t="s">
        <v>586</v>
      </c>
      <c r="H750" t="str">
        <f t="shared" si="22"/>
        <v>https://videplast.com.br/consulta-imobilizado?id=22000571&amp;nome=CAMISA%20PORTA%20CLICHE%20530%20800%20FLEXOTECH</v>
      </c>
      <c r="I750" t="e">
        <f t="shared" ca="1" si="23"/>
        <v>#NAME?</v>
      </c>
    </row>
    <row r="751" spans="1:9" x14ac:dyDescent="0.25">
      <c r="A751" s="2" t="s">
        <v>1165</v>
      </c>
      <c r="B751" s="2" t="s">
        <v>10</v>
      </c>
      <c r="C751" s="3">
        <v>43770</v>
      </c>
      <c r="D751" t="s">
        <v>1166</v>
      </c>
      <c r="E751" s="2" t="s">
        <v>12</v>
      </c>
      <c r="F751" s="2" t="s">
        <v>12</v>
      </c>
      <c r="G751" t="s">
        <v>586</v>
      </c>
      <c r="H751" t="str">
        <f t="shared" si="22"/>
        <v>https://videplast.com.br/consulta-imobilizado?id=22000580&amp;nome=CAMISA%20PORTA%20CLICHE%20PASSO%20520MM</v>
      </c>
      <c r="I751" t="e">
        <f t="shared" ca="1" si="23"/>
        <v>#NAME?</v>
      </c>
    </row>
    <row r="752" spans="1:9" x14ac:dyDescent="0.25">
      <c r="A752" s="2" t="s">
        <v>1167</v>
      </c>
      <c r="B752" s="2" t="s">
        <v>10</v>
      </c>
      <c r="C752" s="3">
        <v>43770</v>
      </c>
      <c r="D752" t="s">
        <v>1166</v>
      </c>
      <c r="E752" s="2" t="s">
        <v>12</v>
      </c>
      <c r="F752" s="2" t="s">
        <v>12</v>
      </c>
      <c r="G752" t="s">
        <v>586</v>
      </c>
      <c r="H752" t="str">
        <f t="shared" si="22"/>
        <v>https://videplast.com.br/consulta-imobilizado?id=22000581&amp;nome=CAMISA%20PORTA%20CLICHE%20PASSO%20520MM</v>
      </c>
      <c r="I752" t="e">
        <f t="shared" ca="1" si="23"/>
        <v>#NAME?</v>
      </c>
    </row>
    <row r="753" spans="1:9" x14ac:dyDescent="0.25">
      <c r="A753" s="2" t="s">
        <v>1168</v>
      </c>
      <c r="B753" s="2" t="s">
        <v>10</v>
      </c>
      <c r="C753" s="3">
        <v>43770</v>
      </c>
      <c r="D753" t="s">
        <v>1166</v>
      </c>
      <c r="E753" s="2" t="s">
        <v>12</v>
      </c>
      <c r="F753" s="2" t="s">
        <v>12</v>
      </c>
      <c r="G753" t="s">
        <v>586</v>
      </c>
      <c r="H753" t="str">
        <f t="shared" si="22"/>
        <v>https://videplast.com.br/consulta-imobilizado?id=22000582&amp;nome=CAMISA%20PORTA%20CLICHE%20PASSO%20520MM</v>
      </c>
      <c r="I753" t="e">
        <f t="shared" ca="1" si="23"/>
        <v>#NAME?</v>
      </c>
    </row>
    <row r="754" spans="1:9" x14ac:dyDescent="0.25">
      <c r="A754" s="2" t="s">
        <v>1169</v>
      </c>
      <c r="B754" s="2" t="s">
        <v>10</v>
      </c>
      <c r="C754" s="3">
        <v>43770</v>
      </c>
      <c r="D754" t="s">
        <v>1166</v>
      </c>
      <c r="E754" s="2" t="s">
        <v>12</v>
      </c>
      <c r="F754" s="2" t="s">
        <v>12</v>
      </c>
      <c r="G754" t="s">
        <v>586</v>
      </c>
      <c r="H754" t="str">
        <f t="shared" si="22"/>
        <v>https://videplast.com.br/consulta-imobilizado?id=22000583&amp;nome=CAMISA%20PORTA%20CLICHE%20PASSO%20520MM</v>
      </c>
      <c r="I754" t="e">
        <f t="shared" ca="1" si="23"/>
        <v>#NAME?</v>
      </c>
    </row>
    <row r="755" spans="1:9" x14ac:dyDescent="0.25">
      <c r="A755" s="2" t="s">
        <v>1170</v>
      </c>
      <c r="B755" s="2" t="s">
        <v>10</v>
      </c>
      <c r="C755" s="3">
        <v>43770</v>
      </c>
      <c r="D755" t="s">
        <v>1166</v>
      </c>
      <c r="E755" s="2" t="s">
        <v>12</v>
      </c>
      <c r="F755" s="2" t="s">
        <v>12</v>
      </c>
      <c r="G755" t="s">
        <v>586</v>
      </c>
      <c r="H755" t="str">
        <f t="shared" si="22"/>
        <v>https://videplast.com.br/consulta-imobilizado?id=22000584&amp;nome=CAMISA%20PORTA%20CLICHE%20PASSO%20520MM</v>
      </c>
      <c r="I755" t="e">
        <f t="shared" ca="1" si="23"/>
        <v>#NAME?</v>
      </c>
    </row>
    <row r="756" spans="1:9" x14ac:dyDescent="0.25">
      <c r="A756" s="2" t="s">
        <v>1171</v>
      </c>
      <c r="B756" s="2" t="s">
        <v>10</v>
      </c>
      <c r="C756" s="3">
        <v>43770</v>
      </c>
      <c r="D756" t="s">
        <v>1166</v>
      </c>
      <c r="E756" s="2" t="s">
        <v>12</v>
      </c>
      <c r="F756" s="2" t="s">
        <v>12</v>
      </c>
      <c r="G756" t="s">
        <v>586</v>
      </c>
      <c r="H756" t="str">
        <f t="shared" si="22"/>
        <v>https://videplast.com.br/consulta-imobilizado?id=22000585&amp;nome=CAMISA%20PORTA%20CLICHE%20PASSO%20520MM</v>
      </c>
      <c r="I756" t="e">
        <f t="shared" ca="1" si="23"/>
        <v>#NAME?</v>
      </c>
    </row>
    <row r="757" spans="1:9" x14ac:dyDescent="0.25">
      <c r="A757" s="2" t="s">
        <v>1172</v>
      </c>
      <c r="B757" s="2" t="s">
        <v>10</v>
      </c>
      <c r="C757" s="3">
        <v>43770</v>
      </c>
      <c r="D757" t="s">
        <v>1166</v>
      </c>
      <c r="E757" s="2" t="s">
        <v>12</v>
      </c>
      <c r="F757" s="2" t="s">
        <v>12</v>
      </c>
      <c r="G757" t="s">
        <v>586</v>
      </c>
      <c r="H757" t="str">
        <f t="shared" si="22"/>
        <v>https://videplast.com.br/consulta-imobilizado?id=22000586&amp;nome=CAMISA%20PORTA%20CLICHE%20PASSO%20520MM</v>
      </c>
      <c r="I757" t="e">
        <f t="shared" ca="1" si="23"/>
        <v>#NAME?</v>
      </c>
    </row>
    <row r="758" spans="1:9" x14ac:dyDescent="0.25">
      <c r="A758" s="2" t="s">
        <v>1173</v>
      </c>
      <c r="B758" s="2" t="s">
        <v>10</v>
      </c>
      <c r="C758" s="3">
        <v>43770</v>
      </c>
      <c r="D758" t="s">
        <v>1166</v>
      </c>
      <c r="E758" s="2" t="s">
        <v>12</v>
      </c>
      <c r="F758" s="2" t="s">
        <v>12</v>
      </c>
      <c r="G758" t="s">
        <v>586</v>
      </c>
      <c r="H758" t="str">
        <f t="shared" si="22"/>
        <v>https://videplast.com.br/consulta-imobilizado?id=22000587&amp;nome=CAMISA%20PORTA%20CLICHE%20PASSO%20520MM</v>
      </c>
      <c r="I758" t="e">
        <f t="shared" ca="1" si="23"/>
        <v>#NAME?</v>
      </c>
    </row>
    <row r="759" spans="1:9" x14ac:dyDescent="0.25">
      <c r="A759" s="2" t="s">
        <v>1174</v>
      </c>
      <c r="B759" s="2" t="s">
        <v>10</v>
      </c>
      <c r="C759" s="3">
        <v>43770</v>
      </c>
      <c r="D759" t="s">
        <v>1175</v>
      </c>
      <c r="E759" s="2" t="s">
        <v>12</v>
      </c>
      <c r="F759" s="2" t="s">
        <v>12</v>
      </c>
      <c r="G759" t="s">
        <v>586</v>
      </c>
      <c r="H759" t="str">
        <f t="shared" si="22"/>
        <v>https://videplast.com.br/consulta-imobilizado?id=22000629&amp;nome=CAMISA%20PORTA%20CLICHE%20PASSO%20620MM</v>
      </c>
      <c r="I759" t="e">
        <f t="shared" ca="1" si="23"/>
        <v>#NAME?</v>
      </c>
    </row>
    <row r="760" spans="1:9" x14ac:dyDescent="0.25">
      <c r="A760" s="2" t="s">
        <v>1176</v>
      </c>
      <c r="B760" s="2" t="s">
        <v>10</v>
      </c>
      <c r="C760" s="3">
        <v>43770</v>
      </c>
      <c r="D760" t="s">
        <v>1175</v>
      </c>
      <c r="E760" s="2" t="s">
        <v>12</v>
      </c>
      <c r="F760" s="2" t="s">
        <v>12</v>
      </c>
      <c r="G760" t="s">
        <v>586</v>
      </c>
      <c r="H760" t="str">
        <f t="shared" si="22"/>
        <v>https://videplast.com.br/consulta-imobilizado?id=22000630&amp;nome=CAMISA%20PORTA%20CLICHE%20PASSO%20620MM</v>
      </c>
      <c r="I760" t="e">
        <f t="shared" ca="1" si="23"/>
        <v>#NAME?</v>
      </c>
    </row>
    <row r="761" spans="1:9" x14ac:dyDescent="0.25">
      <c r="A761" s="2" t="s">
        <v>1177</v>
      </c>
      <c r="B761" s="2" t="s">
        <v>10</v>
      </c>
      <c r="C761" s="3">
        <v>43770</v>
      </c>
      <c r="D761" t="s">
        <v>1175</v>
      </c>
      <c r="E761" s="2" t="s">
        <v>12</v>
      </c>
      <c r="F761" s="2" t="s">
        <v>12</v>
      </c>
      <c r="G761" t="s">
        <v>586</v>
      </c>
      <c r="H761" t="str">
        <f t="shared" si="22"/>
        <v>https://videplast.com.br/consulta-imobilizado?id=22000631&amp;nome=CAMISA%20PORTA%20CLICHE%20PASSO%20620MM</v>
      </c>
      <c r="I761" t="e">
        <f t="shared" ca="1" si="23"/>
        <v>#NAME?</v>
      </c>
    </row>
    <row r="762" spans="1:9" x14ac:dyDescent="0.25">
      <c r="A762" s="2" t="s">
        <v>1178</v>
      </c>
      <c r="B762" s="2" t="s">
        <v>10</v>
      </c>
      <c r="C762" s="3">
        <v>43770</v>
      </c>
      <c r="D762" t="s">
        <v>1175</v>
      </c>
      <c r="E762" s="2" t="s">
        <v>12</v>
      </c>
      <c r="F762" s="2" t="s">
        <v>12</v>
      </c>
      <c r="G762" t="s">
        <v>586</v>
      </c>
      <c r="H762" t="str">
        <f t="shared" si="22"/>
        <v>https://videplast.com.br/consulta-imobilizado?id=22000632&amp;nome=CAMISA%20PORTA%20CLICHE%20PASSO%20620MM</v>
      </c>
      <c r="I762" t="e">
        <f t="shared" ca="1" si="23"/>
        <v>#NAME?</v>
      </c>
    </row>
    <row r="763" spans="1:9" x14ac:dyDescent="0.25">
      <c r="A763" s="2" t="s">
        <v>1179</v>
      </c>
      <c r="B763" s="2" t="s">
        <v>10</v>
      </c>
      <c r="C763" s="3">
        <v>43770</v>
      </c>
      <c r="D763" t="s">
        <v>1175</v>
      </c>
      <c r="E763" s="2" t="s">
        <v>12</v>
      </c>
      <c r="F763" s="2" t="s">
        <v>12</v>
      </c>
      <c r="G763" t="s">
        <v>586</v>
      </c>
      <c r="H763" t="str">
        <f t="shared" si="22"/>
        <v>https://videplast.com.br/consulta-imobilizado?id=22000633&amp;nome=CAMISA%20PORTA%20CLICHE%20PASSO%20620MM</v>
      </c>
      <c r="I763" t="e">
        <f t="shared" ca="1" si="23"/>
        <v>#NAME?</v>
      </c>
    </row>
    <row r="764" spans="1:9" x14ac:dyDescent="0.25">
      <c r="A764" s="2" t="s">
        <v>1180</v>
      </c>
      <c r="B764" s="2" t="s">
        <v>10</v>
      </c>
      <c r="C764" s="3">
        <v>43770</v>
      </c>
      <c r="D764" t="s">
        <v>1175</v>
      </c>
      <c r="E764" s="2" t="s">
        <v>12</v>
      </c>
      <c r="F764" s="2" t="s">
        <v>12</v>
      </c>
      <c r="G764" t="s">
        <v>586</v>
      </c>
      <c r="H764" t="str">
        <f t="shared" si="22"/>
        <v>https://videplast.com.br/consulta-imobilizado?id=22000634&amp;nome=CAMISA%20PORTA%20CLICHE%20PASSO%20620MM</v>
      </c>
      <c r="I764" t="e">
        <f t="shared" ca="1" si="23"/>
        <v>#NAME?</v>
      </c>
    </row>
    <row r="765" spans="1:9" x14ac:dyDescent="0.25">
      <c r="A765" s="2" t="s">
        <v>1181</v>
      </c>
      <c r="B765" s="2" t="s">
        <v>10</v>
      </c>
      <c r="C765" s="3">
        <v>43770</v>
      </c>
      <c r="D765" t="s">
        <v>1175</v>
      </c>
      <c r="E765" s="2" t="s">
        <v>12</v>
      </c>
      <c r="F765" s="2" t="s">
        <v>12</v>
      </c>
      <c r="G765" t="s">
        <v>586</v>
      </c>
      <c r="H765" t="str">
        <f t="shared" si="22"/>
        <v>https://videplast.com.br/consulta-imobilizado?id=22000635&amp;nome=CAMISA%20PORTA%20CLICHE%20PASSO%20620MM</v>
      </c>
      <c r="I765" t="e">
        <f t="shared" ca="1" si="23"/>
        <v>#NAME?</v>
      </c>
    </row>
    <row r="766" spans="1:9" x14ac:dyDescent="0.25">
      <c r="A766" s="2" t="s">
        <v>1182</v>
      </c>
      <c r="B766" s="2" t="s">
        <v>10</v>
      </c>
      <c r="C766" s="3">
        <v>43770</v>
      </c>
      <c r="D766" t="s">
        <v>1175</v>
      </c>
      <c r="E766" s="2" t="s">
        <v>12</v>
      </c>
      <c r="F766" s="2" t="s">
        <v>12</v>
      </c>
      <c r="G766" t="s">
        <v>586</v>
      </c>
      <c r="H766" t="str">
        <f t="shared" si="22"/>
        <v>https://videplast.com.br/consulta-imobilizado?id=22000636&amp;nome=CAMISA%20PORTA%20CLICHE%20PASSO%20620MM</v>
      </c>
      <c r="I766" t="e">
        <f t="shared" ca="1" si="23"/>
        <v>#NAME?</v>
      </c>
    </row>
    <row r="767" spans="1:9" x14ac:dyDescent="0.25">
      <c r="A767" s="2" t="s">
        <v>1183</v>
      </c>
      <c r="B767" s="2" t="s">
        <v>10</v>
      </c>
      <c r="C767" s="3">
        <v>43770</v>
      </c>
      <c r="D767" t="s">
        <v>1184</v>
      </c>
      <c r="E767" s="2" t="s">
        <v>12</v>
      </c>
      <c r="F767" s="2" t="s">
        <v>12</v>
      </c>
      <c r="G767" t="s">
        <v>586</v>
      </c>
      <c r="H767" t="str">
        <f t="shared" si="22"/>
        <v>https://videplast.com.br/consulta-imobilizado?id=22000787&amp;nome=CAMISA%20PORTA%20CLICHE%20PASSO%20650MM</v>
      </c>
      <c r="I767" t="e">
        <f t="shared" ca="1" si="23"/>
        <v>#NAME?</v>
      </c>
    </row>
    <row r="768" spans="1:9" x14ac:dyDescent="0.25">
      <c r="A768" s="2" t="s">
        <v>1185</v>
      </c>
      <c r="B768" s="2" t="s">
        <v>10</v>
      </c>
      <c r="C768" s="3">
        <v>43770</v>
      </c>
      <c r="D768" t="s">
        <v>1184</v>
      </c>
      <c r="E768" s="2" t="s">
        <v>12</v>
      </c>
      <c r="F768" s="2" t="s">
        <v>12</v>
      </c>
      <c r="G768" t="s">
        <v>586</v>
      </c>
      <c r="H768" t="str">
        <f t="shared" si="22"/>
        <v>https://videplast.com.br/consulta-imobilizado?id=22000788&amp;nome=CAMISA%20PORTA%20CLICHE%20PASSO%20650MM</v>
      </c>
      <c r="I768" t="e">
        <f t="shared" ca="1" si="23"/>
        <v>#NAME?</v>
      </c>
    </row>
    <row r="769" spans="1:9" x14ac:dyDescent="0.25">
      <c r="A769" s="2" t="s">
        <v>1186</v>
      </c>
      <c r="B769" s="2" t="s">
        <v>10</v>
      </c>
      <c r="C769" s="3">
        <v>43770</v>
      </c>
      <c r="D769" t="s">
        <v>1184</v>
      </c>
      <c r="E769" s="2" t="s">
        <v>12</v>
      </c>
      <c r="F769" s="2" t="s">
        <v>12</v>
      </c>
      <c r="G769" t="s">
        <v>586</v>
      </c>
      <c r="H769" t="str">
        <f t="shared" si="22"/>
        <v>https://videplast.com.br/consulta-imobilizado?id=22000789&amp;nome=CAMISA%20PORTA%20CLICHE%20PASSO%20650MM</v>
      </c>
      <c r="I769" t="e">
        <f t="shared" ca="1" si="23"/>
        <v>#NAME?</v>
      </c>
    </row>
    <row r="770" spans="1:9" x14ac:dyDescent="0.25">
      <c r="A770" s="2" t="s">
        <v>1187</v>
      </c>
      <c r="B770" s="2" t="s">
        <v>10</v>
      </c>
      <c r="C770" s="3">
        <v>43770</v>
      </c>
      <c r="D770" t="s">
        <v>1184</v>
      </c>
      <c r="E770" s="2" t="s">
        <v>12</v>
      </c>
      <c r="F770" s="2" t="s">
        <v>12</v>
      </c>
      <c r="G770" t="s">
        <v>586</v>
      </c>
      <c r="H770" t="str">
        <f t="shared" ref="H770:H833" si="24" xml:space="preserve"> "https://videplast.com.br/consulta-imobilizado?id=" &amp; A770 &amp; "&amp;nome=" &amp; SUBSTITUTE(D770, " ", "%20")</f>
        <v>https://videplast.com.br/consulta-imobilizado?id=22000790&amp;nome=CAMISA%20PORTA%20CLICHE%20PASSO%20650MM</v>
      </c>
      <c r="I770" t="e">
        <f t="shared" ref="I770:I833" ca="1" si="25">_xlfn.IMAGE("https://chart.googleapis.com/chart?chs=150x150&amp;cht=qr&amp;chl=" &amp; H770)</f>
        <v>#NAME?</v>
      </c>
    </row>
    <row r="771" spans="1:9" x14ac:dyDescent="0.25">
      <c r="A771" s="2" t="s">
        <v>1188</v>
      </c>
      <c r="B771" s="2" t="s">
        <v>10</v>
      </c>
      <c r="C771" s="3">
        <v>43770</v>
      </c>
      <c r="D771" t="s">
        <v>1184</v>
      </c>
      <c r="E771" s="2" t="s">
        <v>12</v>
      </c>
      <c r="F771" s="2" t="s">
        <v>12</v>
      </c>
      <c r="G771" t="s">
        <v>586</v>
      </c>
      <c r="H771" t="str">
        <f t="shared" si="24"/>
        <v>https://videplast.com.br/consulta-imobilizado?id=22000791&amp;nome=CAMISA%20PORTA%20CLICHE%20PASSO%20650MM</v>
      </c>
      <c r="I771" t="e">
        <f t="shared" ca="1" si="25"/>
        <v>#NAME?</v>
      </c>
    </row>
    <row r="772" spans="1:9" x14ac:dyDescent="0.25">
      <c r="A772" s="2" t="s">
        <v>1189</v>
      </c>
      <c r="B772" s="2" t="s">
        <v>10</v>
      </c>
      <c r="C772" s="3">
        <v>43770</v>
      </c>
      <c r="D772" t="s">
        <v>1184</v>
      </c>
      <c r="E772" s="2" t="s">
        <v>12</v>
      </c>
      <c r="F772" s="2" t="s">
        <v>12</v>
      </c>
      <c r="G772" t="s">
        <v>586</v>
      </c>
      <c r="H772" t="str">
        <f t="shared" si="24"/>
        <v>https://videplast.com.br/consulta-imobilizado?id=22000792&amp;nome=CAMISA%20PORTA%20CLICHE%20PASSO%20650MM</v>
      </c>
      <c r="I772" t="e">
        <f t="shared" ca="1" si="25"/>
        <v>#NAME?</v>
      </c>
    </row>
    <row r="773" spans="1:9" x14ac:dyDescent="0.25">
      <c r="A773" s="2" t="s">
        <v>1190</v>
      </c>
      <c r="B773" s="2" t="s">
        <v>10</v>
      </c>
      <c r="C773" s="3">
        <v>43770</v>
      </c>
      <c r="D773" t="s">
        <v>1184</v>
      </c>
      <c r="E773" s="2" t="s">
        <v>12</v>
      </c>
      <c r="F773" s="2" t="s">
        <v>12</v>
      </c>
      <c r="G773" t="s">
        <v>586</v>
      </c>
      <c r="H773" t="str">
        <f t="shared" si="24"/>
        <v>https://videplast.com.br/consulta-imobilizado?id=22000793&amp;nome=CAMISA%20PORTA%20CLICHE%20PASSO%20650MM</v>
      </c>
      <c r="I773" t="e">
        <f t="shared" ca="1" si="25"/>
        <v>#NAME?</v>
      </c>
    </row>
    <row r="774" spans="1:9" x14ac:dyDescent="0.25">
      <c r="A774" s="2" t="s">
        <v>1191</v>
      </c>
      <c r="B774" s="2" t="s">
        <v>10</v>
      </c>
      <c r="C774" s="3">
        <v>43770</v>
      </c>
      <c r="D774" t="s">
        <v>1184</v>
      </c>
      <c r="E774" s="2" t="s">
        <v>12</v>
      </c>
      <c r="F774" s="2" t="s">
        <v>12</v>
      </c>
      <c r="G774" t="s">
        <v>586</v>
      </c>
      <c r="H774" t="str">
        <f t="shared" si="24"/>
        <v>https://videplast.com.br/consulta-imobilizado?id=22000794&amp;nome=CAMISA%20PORTA%20CLICHE%20PASSO%20650MM</v>
      </c>
      <c r="I774" t="e">
        <f t="shared" ca="1" si="25"/>
        <v>#NAME?</v>
      </c>
    </row>
    <row r="775" spans="1:9" x14ac:dyDescent="0.25">
      <c r="A775" s="2" t="s">
        <v>1192</v>
      </c>
      <c r="B775" s="2" t="s">
        <v>10</v>
      </c>
      <c r="C775" s="3">
        <v>43770</v>
      </c>
      <c r="D775" t="s">
        <v>1193</v>
      </c>
      <c r="E775" s="2" t="s">
        <v>12</v>
      </c>
      <c r="F775" s="2" t="s">
        <v>12</v>
      </c>
      <c r="G775" t="s">
        <v>586</v>
      </c>
      <c r="H775" t="str">
        <f t="shared" si="24"/>
        <v>https://videplast.com.br/consulta-imobilizado?id=22000975&amp;nome=CAMISA%20PORTA%20CLICHE%20FORMATO%20530MM</v>
      </c>
      <c r="I775" t="e">
        <f t="shared" ca="1" si="25"/>
        <v>#NAME?</v>
      </c>
    </row>
    <row r="776" spans="1:9" x14ac:dyDescent="0.25">
      <c r="A776" s="2" t="s">
        <v>1194</v>
      </c>
      <c r="B776" s="2" t="s">
        <v>10</v>
      </c>
      <c r="C776" s="3">
        <v>43770</v>
      </c>
      <c r="D776" t="s">
        <v>1193</v>
      </c>
      <c r="E776" s="2" t="s">
        <v>12</v>
      </c>
      <c r="F776" s="2" t="s">
        <v>12</v>
      </c>
      <c r="G776" t="s">
        <v>586</v>
      </c>
      <c r="H776" t="str">
        <f t="shared" si="24"/>
        <v>https://videplast.com.br/consulta-imobilizado?id=22000976&amp;nome=CAMISA%20PORTA%20CLICHE%20FORMATO%20530MM</v>
      </c>
      <c r="I776" t="e">
        <f t="shared" ca="1" si="25"/>
        <v>#NAME?</v>
      </c>
    </row>
    <row r="777" spans="1:9" x14ac:dyDescent="0.25">
      <c r="A777" s="2" t="s">
        <v>1195</v>
      </c>
      <c r="B777" s="2" t="s">
        <v>10</v>
      </c>
      <c r="C777" s="3">
        <v>43770</v>
      </c>
      <c r="D777" t="s">
        <v>1193</v>
      </c>
      <c r="E777" s="2" t="s">
        <v>12</v>
      </c>
      <c r="F777" s="2" t="s">
        <v>12</v>
      </c>
      <c r="G777" t="s">
        <v>586</v>
      </c>
      <c r="H777" t="str">
        <f t="shared" si="24"/>
        <v>https://videplast.com.br/consulta-imobilizado?id=22000977&amp;nome=CAMISA%20PORTA%20CLICHE%20FORMATO%20530MM</v>
      </c>
      <c r="I777" t="e">
        <f t="shared" ca="1" si="25"/>
        <v>#NAME?</v>
      </c>
    </row>
    <row r="778" spans="1:9" x14ac:dyDescent="0.25">
      <c r="A778" s="2" t="s">
        <v>1196</v>
      </c>
      <c r="B778" s="2" t="s">
        <v>10</v>
      </c>
      <c r="C778" s="3">
        <v>43770</v>
      </c>
      <c r="D778" t="s">
        <v>1193</v>
      </c>
      <c r="E778" s="2" t="s">
        <v>12</v>
      </c>
      <c r="F778" s="2" t="s">
        <v>12</v>
      </c>
      <c r="G778" t="s">
        <v>586</v>
      </c>
      <c r="H778" t="str">
        <f t="shared" si="24"/>
        <v>https://videplast.com.br/consulta-imobilizado?id=22000978&amp;nome=CAMISA%20PORTA%20CLICHE%20FORMATO%20530MM</v>
      </c>
      <c r="I778" t="e">
        <f t="shared" ca="1" si="25"/>
        <v>#NAME?</v>
      </c>
    </row>
    <row r="779" spans="1:9" x14ac:dyDescent="0.25">
      <c r="A779" s="2" t="s">
        <v>1197</v>
      </c>
      <c r="B779" s="2" t="s">
        <v>10</v>
      </c>
      <c r="C779" s="3">
        <v>43770</v>
      </c>
      <c r="D779" t="s">
        <v>1193</v>
      </c>
      <c r="E779" s="2" t="s">
        <v>12</v>
      </c>
      <c r="F779" s="2" t="s">
        <v>12</v>
      </c>
      <c r="G779" t="s">
        <v>586</v>
      </c>
      <c r="H779" t="str">
        <f t="shared" si="24"/>
        <v>https://videplast.com.br/consulta-imobilizado?id=22000979&amp;nome=CAMISA%20PORTA%20CLICHE%20FORMATO%20530MM</v>
      </c>
      <c r="I779" t="e">
        <f t="shared" ca="1" si="25"/>
        <v>#NAME?</v>
      </c>
    </row>
    <row r="780" spans="1:9" x14ac:dyDescent="0.25">
      <c r="A780" s="2" t="s">
        <v>1198</v>
      </c>
      <c r="B780" s="2" t="s">
        <v>10</v>
      </c>
      <c r="C780" s="3">
        <v>43770</v>
      </c>
      <c r="D780" t="s">
        <v>1193</v>
      </c>
      <c r="E780" s="2" t="s">
        <v>12</v>
      </c>
      <c r="F780" s="2" t="s">
        <v>12</v>
      </c>
      <c r="G780" t="s">
        <v>586</v>
      </c>
      <c r="H780" t="str">
        <f t="shared" si="24"/>
        <v>https://videplast.com.br/consulta-imobilizado?id=22000980&amp;nome=CAMISA%20PORTA%20CLICHE%20FORMATO%20530MM</v>
      </c>
      <c r="I780" t="e">
        <f t="shared" ca="1" si="25"/>
        <v>#NAME?</v>
      </c>
    </row>
    <row r="781" spans="1:9" x14ac:dyDescent="0.25">
      <c r="A781" s="2" t="s">
        <v>1199</v>
      </c>
      <c r="B781" s="2" t="s">
        <v>10</v>
      </c>
      <c r="C781" s="3">
        <v>43770</v>
      </c>
      <c r="D781" t="s">
        <v>1193</v>
      </c>
      <c r="E781" s="2" t="s">
        <v>12</v>
      </c>
      <c r="F781" s="2" t="s">
        <v>12</v>
      </c>
      <c r="G781" t="s">
        <v>586</v>
      </c>
      <c r="H781" t="str">
        <f t="shared" si="24"/>
        <v>https://videplast.com.br/consulta-imobilizado?id=22000981&amp;nome=CAMISA%20PORTA%20CLICHE%20FORMATO%20530MM</v>
      </c>
      <c r="I781" t="e">
        <f t="shared" ca="1" si="25"/>
        <v>#NAME?</v>
      </c>
    </row>
    <row r="782" spans="1:9" x14ac:dyDescent="0.25">
      <c r="A782" s="2" t="s">
        <v>1200</v>
      </c>
      <c r="B782" s="2" t="s">
        <v>10</v>
      </c>
      <c r="C782" s="3">
        <v>43770</v>
      </c>
      <c r="D782" t="s">
        <v>1193</v>
      </c>
      <c r="E782" s="2" t="s">
        <v>12</v>
      </c>
      <c r="F782" s="2" t="s">
        <v>12</v>
      </c>
      <c r="G782" t="s">
        <v>586</v>
      </c>
      <c r="H782" t="str">
        <f t="shared" si="24"/>
        <v>https://videplast.com.br/consulta-imobilizado?id=22000982&amp;nome=CAMISA%20PORTA%20CLICHE%20FORMATO%20530MM</v>
      </c>
      <c r="I782" t="e">
        <f t="shared" ca="1" si="25"/>
        <v>#NAME?</v>
      </c>
    </row>
    <row r="783" spans="1:9" x14ac:dyDescent="0.25">
      <c r="A783" s="2" t="s">
        <v>1201</v>
      </c>
      <c r="B783" s="2" t="s">
        <v>10</v>
      </c>
      <c r="C783" s="3">
        <v>43770</v>
      </c>
      <c r="D783" t="s">
        <v>1202</v>
      </c>
      <c r="E783" s="2" t="s">
        <v>12</v>
      </c>
      <c r="F783" s="2" t="s">
        <v>12</v>
      </c>
      <c r="G783" t="s">
        <v>586</v>
      </c>
      <c r="H783" t="str">
        <f t="shared" si="24"/>
        <v>https://videplast.com.br/consulta-imobilizado?id=22001028&amp;nome=04%20PCS%20ENGRENAGEM%20P/CILINDRO%20PORTA%20CLICHE</v>
      </c>
      <c r="I783" t="e">
        <f t="shared" ca="1" si="25"/>
        <v>#NAME?</v>
      </c>
    </row>
    <row r="784" spans="1:9" x14ac:dyDescent="0.25">
      <c r="A784" s="2" t="s">
        <v>1203</v>
      </c>
      <c r="B784" s="2" t="s">
        <v>10</v>
      </c>
      <c r="C784" s="3">
        <v>43770</v>
      </c>
      <c r="D784" t="s">
        <v>1202</v>
      </c>
      <c r="E784" s="2" t="s">
        <v>12</v>
      </c>
      <c r="F784" s="2" t="s">
        <v>12</v>
      </c>
      <c r="G784" t="s">
        <v>586</v>
      </c>
      <c r="H784" t="str">
        <f t="shared" si="24"/>
        <v>https://videplast.com.br/consulta-imobilizado?id=22001029&amp;nome=04%20PCS%20ENGRENAGEM%20P/CILINDRO%20PORTA%20CLICHE</v>
      </c>
      <c r="I784" t="e">
        <f t="shared" ca="1" si="25"/>
        <v>#NAME?</v>
      </c>
    </row>
    <row r="785" spans="1:9" x14ac:dyDescent="0.25">
      <c r="A785" s="2" t="s">
        <v>1204</v>
      </c>
      <c r="B785" s="2" t="s">
        <v>10</v>
      </c>
      <c r="C785" s="3">
        <v>43770</v>
      </c>
      <c r="D785" t="s">
        <v>1205</v>
      </c>
      <c r="E785" s="2" t="s">
        <v>12</v>
      </c>
      <c r="F785" s="2" t="s">
        <v>12</v>
      </c>
      <c r="G785" t="s">
        <v>586</v>
      </c>
      <c r="H785" t="str">
        <f t="shared" si="24"/>
        <v>https://videplast.com.br/consulta-imobilizado?id=22001503&amp;nome=CAMISA%20PORTA%20CLICHE%20PASSO%20640%20MM%20LC%201200%20MM</v>
      </c>
      <c r="I785" t="e">
        <f t="shared" ca="1" si="25"/>
        <v>#NAME?</v>
      </c>
    </row>
    <row r="786" spans="1:9" x14ac:dyDescent="0.25">
      <c r="A786" s="2" t="s">
        <v>1206</v>
      </c>
      <c r="B786" s="2" t="s">
        <v>10</v>
      </c>
      <c r="C786" s="3">
        <v>43770</v>
      </c>
      <c r="D786" t="s">
        <v>1207</v>
      </c>
      <c r="E786" s="2" t="s">
        <v>12</v>
      </c>
      <c r="F786" s="2" t="s">
        <v>12</v>
      </c>
      <c r="G786" t="s">
        <v>586</v>
      </c>
      <c r="H786" t="str">
        <f t="shared" si="24"/>
        <v>https://videplast.com.br/consulta-imobilizado?id=22001784&amp;nome=CAMISA%20CARBOLOX%20BL%20121,074%20X%20149,605%20X%20890%20MM</v>
      </c>
      <c r="I786" t="e">
        <f t="shared" ca="1" si="25"/>
        <v>#NAME?</v>
      </c>
    </row>
    <row r="787" spans="1:9" x14ac:dyDescent="0.25">
      <c r="A787" s="2" t="s">
        <v>1208</v>
      </c>
      <c r="B787" s="2" t="s">
        <v>10</v>
      </c>
      <c r="C787" s="3">
        <v>43770</v>
      </c>
      <c r="D787" t="s">
        <v>1209</v>
      </c>
      <c r="E787" s="2" t="s">
        <v>12</v>
      </c>
      <c r="F787" s="2" t="s">
        <v>12</v>
      </c>
      <c r="G787" t="s">
        <v>586</v>
      </c>
      <c r="H787" t="str">
        <f t="shared" si="24"/>
        <v>https://videplast.com.br/consulta-imobilizado?id=22002371&amp;nome=CAMISA%20CARBOLOX%20BL%20136,989%20X%20159,155%20X%201346%20MM</v>
      </c>
      <c r="I787" t="e">
        <f t="shared" ca="1" si="25"/>
        <v>#NAME?</v>
      </c>
    </row>
    <row r="788" spans="1:9" x14ac:dyDescent="0.25">
      <c r="A788" s="2" t="s">
        <v>1210</v>
      </c>
      <c r="B788" s="2" t="s">
        <v>10</v>
      </c>
      <c r="C788" s="3">
        <v>43770</v>
      </c>
      <c r="D788" t="s">
        <v>1209</v>
      </c>
      <c r="E788" s="2" t="s">
        <v>12</v>
      </c>
      <c r="F788" s="2" t="s">
        <v>12</v>
      </c>
      <c r="G788" t="s">
        <v>586</v>
      </c>
      <c r="H788" t="str">
        <f t="shared" si="24"/>
        <v>https://videplast.com.br/consulta-imobilizado?id=22002372&amp;nome=CAMISA%20CARBOLOX%20BL%20136,989%20X%20159,155%20X%201346%20MM</v>
      </c>
      <c r="I788" t="e">
        <f t="shared" ca="1" si="25"/>
        <v>#NAME?</v>
      </c>
    </row>
    <row r="789" spans="1:9" x14ac:dyDescent="0.25">
      <c r="A789" s="2" t="s">
        <v>1211</v>
      </c>
      <c r="B789" s="2" t="s">
        <v>10</v>
      </c>
      <c r="C789" s="3">
        <v>43770</v>
      </c>
      <c r="D789" t="s">
        <v>1212</v>
      </c>
      <c r="E789" s="2" t="s">
        <v>12</v>
      </c>
      <c r="F789" s="2" t="s">
        <v>12</v>
      </c>
      <c r="G789" t="s">
        <v>586</v>
      </c>
      <c r="H789" t="str">
        <f t="shared" si="24"/>
        <v>https://videplast.com.br/consulta-imobilizado?id=22002425&amp;nome=KIT%20ANILOX%20PARA%20SETOR%20DE%20IMPRESSAO</v>
      </c>
      <c r="I789" t="e">
        <f t="shared" ca="1" si="25"/>
        <v>#NAME?</v>
      </c>
    </row>
    <row r="790" spans="1:9" x14ac:dyDescent="0.25">
      <c r="A790" s="2" t="s">
        <v>1213</v>
      </c>
      <c r="B790" s="2" t="s">
        <v>10</v>
      </c>
      <c r="C790" s="3">
        <v>43770</v>
      </c>
      <c r="D790" t="s">
        <v>1214</v>
      </c>
      <c r="E790" s="2" t="s">
        <v>12</v>
      </c>
      <c r="F790" s="2" t="s">
        <v>12</v>
      </c>
      <c r="G790" t="s">
        <v>586</v>
      </c>
      <c r="H790" t="str">
        <f t="shared" si="24"/>
        <v>https://videplast.com.br/consulta-imobilizado?id=22002426&amp;nome=CAMISA%20LAMIFLEX</v>
      </c>
      <c r="I790" t="e">
        <f t="shared" ca="1" si="25"/>
        <v>#NAME?</v>
      </c>
    </row>
    <row r="791" spans="1:9" x14ac:dyDescent="0.25">
      <c r="A791" s="2" t="s">
        <v>1213</v>
      </c>
      <c r="B791" s="2" t="s">
        <v>26</v>
      </c>
      <c r="C791" s="3">
        <v>45499</v>
      </c>
      <c r="D791" t="s">
        <v>1215</v>
      </c>
      <c r="E791" s="2" t="s">
        <v>12</v>
      </c>
      <c r="F791" s="2" t="s">
        <v>12</v>
      </c>
      <c r="G791" t="s">
        <v>586</v>
      </c>
      <c r="H791" t="str">
        <f t="shared" si="24"/>
        <v>https://videplast.com.br/consulta-imobilizado?id=22002426&amp;nome=FRETE%20P/TRANSPORTE%20DE%201%20CAMISA</v>
      </c>
      <c r="I791" t="e">
        <f t="shared" ca="1" si="25"/>
        <v>#NAME?</v>
      </c>
    </row>
    <row r="792" spans="1:9" x14ac:dyDescent="0.25">
      <c r="A792" s="2" t="s">
        <v>1216</v>
      </c>
      <c r="B792" s="2" t="s">
        <v>10</v>
      </c>
      <c r="C792" s="3">
        <v>43770</v>
      </c>
      <c r="D792" t="s">
        <v>1217</v>
      </c>
      <c r="E792" s="2" t="s">
        <v>12</v>
      </c>
      <c r="F792" s="2" t="s">
        <v>12</v>
      </c>
      <c r="G792" t="s">
        <v>586</v>
      </c>
      <c r="H792" t="str">
        <f t="shared" si="24"/>
        <v>https://videplast.com.br/consulta-imobilizado?id=22002447&amp;nome=CAMISA%20CARBOLOX%20BL%20136,989%20X%20159,155%20X%201346MM</v>
      </c>
      <c r="I792" t="e">
        <f t="shared" ca="1" si="25"/>
        <v>#NAME?</v>
      </c>
    </row>
    <row r="793" spans="1:9" x14ac:dyDescent="0.25">
      <c r="A793" s="2" t="s">
        <v>1218</v>
      </c>
      <c r="B793" s="2" t="s">
        <v>10</v>
      </c>
      <c r="C793" s="3">
        <v>43770</v>
      </c>
      <c r="D793" t="s">
        <v>1217</v>
      </c>
      <c r="E793" s="2" t="s">
        <v>12</v>
      </c>
      <c r="F793" s="2" t="s">
        <v>12</v>
      </c>
      <c r="G793" t="s">
        <v>586</v>
      </c>
      <c r="H793" t="str">
        <f t="shared" si="24"/>
        <v>https://videplast.com.br/consulta-imobilizado?id=22002448&amp;nome=CAMISA%20CARBOLOX%20BL%20136,989%20X%20159,155%20X%201346MM</v>
      </c>
      <c r="I793" t="e">
        <f t="shared" ca="1" si="25"/>
        <v>#NAME?</v>
      </c>
    </row>
    <row r="794" spans="1:9" x14ac:dyDescent="0.25">
      <c r="A794" s="2" t="s">
        <v>1219</v>
      </c>
      <c r="B794" s="2" t="s">
        <v>10</v>
      </c>
      <c r="C794" s="3">
        <v>43770</v>
      </c>
      <c r="D794" t="s">
        <v>1217</v>
      </c>
      <c r="E794" s="2" t="s">
        <v>12</v>
      </c>
      <c r="F794" s="2" t="s">
        <v>12</v>
      </c>
      <c r="G794" t="s">
        <v>586</v>
      </c>
      <c r="H794" t="str">
        <f t="shared" si="24"/>
        <v>https://videplast.com.br/consulta-imobilizado?id=22002449&amp;nome=CAMISA%20CARBOLOX%20BL%20136,989%20X%20159,155%20X%201346MM</v>
      </c>
      <c r="I794" t="e">
        <f t="shared" ca="1" si="25"/>
        <v>#NAME?</v>
      </c>
    </row>
    <row r="795" spans="1:9" x14ac:dyDescent="0.25">
      <c r="A795" s="2" t="s">
        <v>1220</v>
      </c>
      <c r="B795" s="2" t="s">
        <v>10</v>
      </c>
      <c r="C795" s="3">
        <v>43770</v>
      </c>
      <c r="D795" t="s">
        <v>1217</v>
      </c>
      <c r="E795" s="2" t="s">
        <v>12</v>
      </c>
      <c r="F795" s="2" t="s">
        <v>12</v>
      </c>
      <c r="G795" t="s">
        <v>586</v>
      </c>
      <c r="H795" t="str">
        <f t="shared" si="24"/>
        <v>https://videplast.com.br/consulta-imobilizado?id=22002450&amp;nome=CAMISA%20CARBOLOX%20BL%20136,989%20X%20159,155%20X%201346MM</v>
      </c>
      <c r="I795" t="e">
        <f t="shared" ca="1" si="25"/>
        <v>#NAME?</v>
      </c>
    </row>
    <row r="796" spans="1:9" x14ac:dyDescent="0.25">
      <c r="A796" s="2" t="s">
        <v>1221</v>
      </c>
      <c r="B796" s="2" t="s">
        <v>10</v>
      </c>
      <c r="C796" s="3">
        <v>43770</v>
      </c>
      <c r="D796" t="s">
        <v>1217</v>
      </c>
      <c r="E796" s="2" t="s">
        <v>12</v>
      </c>
      <c r="F796" s="2" t="s">
        <v>12</v>
      </c>
      <c r="G796" t="s">
        <v>586</v>
      </c>
      <c r="H796" t="str">
        <f t="shared" si="24"/>
        <v>https://videplast.com.br/consulta-imobilizado?id=22002451&amp;nome=CAMISA%20CARBOLOX%20BL%20136,989%20X%20159,155%20X%201346MM</v>
      </c>
      <c r="I796" t="e">
        <f t="shared" ca="1" si="25"/>
        <v>#NAME?</v>
      </c>
    </row>
    <row r="797" spans="1:9" x14ac:dyDescent="0.25">
      <c r="A797" s="2" t="s">
        <v>1222</v>
      </c>
      <c r="B797" s="2" t="s">
        <v>10</v>
      </c>
      <c r="C797" s="3">
        <v>43770</v>
      </c>
      <c r="D797" t="s">
        <v>1217</v>
      </c>
      <c r="E797" s="2" t="s">
        <v>12</v>
      </c>
      <c r="F797" s="2" t="s">
        <v>12</v>
      </c>
      <c r="G797" t="s">
        <v>586</v>
      </c>
      <c r="H797" t="str">
        <f t="shared" si="24"/>
        <v>https://videplast.com.br/consulta-imobilizado?id=22002452&amp;nome=CAMISA%20CARBOLOX%20BL%20136,989%20X%20159,155%20X%201346MM</v>
      </c>
      <c r="I797" t="e">
        <f t="shared" ca="1" si="25"/>
        <v>#NAME?</v>
      </c>
    </row>
    <row r="798" spans="1:9" x14ac:dyDescent="0.25">
      <c r="A798" s="2" t="s">
        <v>1223</v>
      </c>
      <c r="B798" s="2" t="s">
        <v>10</v>
      </c>
      <c r="C798" s="3">
        <v>43770</v>
      </c>
      <c r="D798" t="s">
        <v>1217</v>
      </c>
      <c r="E798" s="2" t="s">
        <v>12</v>
      </c>
      <c r="F798" s="2" t="s">
        <v>12</v>
      </c>
      <c r="G798" t="s">
        <v>586</v>
      </c>
      <c r="H798" t="str">
        <f t="shared" si="24"/>
        <v>https://videplast.com.br/consulta-imobilizado?id=22002474&amp;nome=CAMISA%20CARBOLOX%20BL%20136,989%20X%20159,155%20X%201346MM</v>
      </c>
      <c r="I798" t="e">
        <f t="shared" ca="1" si="25"/>
        <v>#NAME?</v>
      </c>
    </row>
    <row r="799" spans="1:9" x14ac:dyDescent="0.25">
      <c r="A799" s="2" t="s">
        <v>1224</v>
      </c>
      <c r="B799" s="2" t="s">
        <v>10</v>
      </c>
      <c r="C799" s="3">
        <v>43770</v>
      </c>
      <c r="D799" t="s">
        <v>1217</v>
      </c>
      <c r="E799" s="2" t="s">
        <v>12</v>
      </c>
      <c r="F799" s="2" t="s">
        <v>12</v>
      </c>
      <c r="G799" t="s">
        <v>586</v>
      </c>
      <c r="H799" t="str">
        <f t="shared" si="24"/>
        <v>https://videplast.com.br/consulta-imobilizado?id=22002475&amp;nome=CAMISA%20CARBOLOX%20BL%20136,989%20X%20159,155%20X%201346MM</v>
      </c>
      <c r="I799" t="e">
        <f t="shared" ca="1" si="25"/>
        <v>#NAME?</v>
      </c>
    </row>
    <row r="800" spans="1:9" x14ac:dyDescent="0.25">
      <c r="A800" s="2" t="s">
        <v>1225</v>
      </c>
      <c r="B800" s="2" t="s">
        <v>10</v>
      </c>
      <c r="C800" s="3">
        <v>43770</v>
      </c>
      <c r="D800" t="s">
        <v>1217</v>
      </c>
      <c r="E800" s="2" t="s">
        <v>12</v>
      </c>
      <c r="F800" s="2" t="s">
        <v>12</v>
      </c>
      <c r="G800" t="s">
        <v>586</v>
      </c>
      <c r="H800" t="str">
        <f t="shared" si="24"/>
        <v>https://videplast.com.br/consulta-imobilizado?id=22002476&amp;nome=CAMISA%20CARBOLOX%20BL%20136,989%20X%20159,155%20X%201346MM</v>
      </c>
      <c r="I800" t="e">
        <f t="shared" ca="1" si="25"/>
        <v>#NAME?</v>
      </c>
    </row>
    <row r="801" spans="1:9" x14ac:dyDescent="0.25">
      <c r="A801" s="2" t="s">
        <v>1226</v>
      </c>
      <c r="B801" s="2" t="s">
        <v>10</v>
      </c>
      <c r="C801" s="3">
        <v>43770</v>
      </c>
      <c r="D801" t="s">
        <v>1217</v>
      </c>
      <c r="E801" s="2" t="s">
        <v>12</v>
      </c>
      <c r="F801" s="2" t="s">
        <v>12</v>
      </c>
      <c r="G801" t="s">
        <v>586</v>
      </c>
      <c r="H801" t="str">
        <f t="shared" si="24"/>
        <v>https://videplast.com.br/consulta-imobilizado?id=22002477&amp;nome=CAMISA%20CARBOLOX%20BL%20136,989%20X%20159,155%20X%201346MM</v>
      </c>
      <c r="I801" t="e">
        <f t="shared" ca="1" si="25"/>
        <v>#NAME?</v>
      </c>
    </row>
    <row r="802" spans="1:9" x14ac:dyDescent="0.25">
      <c r="A802" s="2" t="s">
        <v>1227</v>
      </c>
      <c r="B802" s="2" t="s">
        <v>10</v>
      </c>
      <c r="C802" s="3">
        <v>43770</v>
      </c>
      <c r="D802" t="s">
        <v>1217</v>
      </c>
      <c r="E802" s="2" t="s">
        <v>12</v>
      </c>
      <c r="F802" s="2" t="s">
        <v>12</v>
      </c>
      <c r="G802" t="s">
        <v>586</v>
      </c>
      <c r="H802" t="str">
        <f t="shared" si="24"/>
        <v>https://videplast.com.br/consulta-imobilizado?id=22002478&amp;nome=CAMISA%20CARBOLOX%20BL%20136,989%20X%20159,155%20X%201346MM</v>
      </c>
      <c r="I802" t="e">
        <f t="shared" ca="1" si="25"/>
        <v>#NAME?</v>
      </c>
    </row>
    <row r="803" spans="1:9" x14ac:dyDescent="0.25">
      <c r="A803" s="2" t="s">
        <v>1228</v>
      </c>
      <c r="B803" s="2" t="s">
        <v>10</v>
      </c>
      <c r="C803" s="3">
        <v>43770</v>
      </c>
      <c r="D803" t="s">
        <v>1217</v>
      </c>
      <c r="E803" s="2" t="s">
        <v>12</v>
      </c>
      <c r="F803" s="2" t="s">
        <v>12</v>
      </c>
      <c r="G803" t="s">
        <v>586</v>
      </c>
      <c r="H803" t="str">
        <f t="shared" si="24"/>
        <v>https://videplast.com.br/consulta-imobilizado?id=22002479&amp;nome=CAMISA%20CARBOLOX%20BL%20136,989%20X%20159,155%20X%201346MM</v>
      </c>
      <c r="I803" t="e">
        <f t="shared" ca="1" si="25"/>
        <v>#NAME?</v>
      </c>
    </row>
    <row r="804" spans="1:9" x14ac:dyDescent="0.25">
      <c r="A804" s="2" t="s">
        <v>1229</v>
      </c>
      <c r="B804" s="2" t="s">
        <v>10</v>
      </c>
      <c r="C804" s="3">
        <v>43770</v>
      </c>
      <c r="D804" t="s">
        <v>1217</v>
      </c>
      <c r="E804" s="2" t="s">
        <v>12</v>
      </c>
      <c r="F804" s="2" t="s">
        <v>12</v>
      </c>
      <c r="G804" t="s">
        <v>586</v>
      </c>
      <c r="H804" t="str">
        <f t="shared" si="24"/>
        <v>https://videplast.com.br/consulta-imobilizado?id=22002480&amp;nome=CAMISA%20CARBOLOX%20BL%20136,989%20X%20159,155%20X%201346MM</v>
      </c>
      <c r="I804" t="e">
        <f t="shared" ca="1" si="25"/>
        <v>#NAME?</v>
      </c>
    </row>
    <row r="805" spans="1:9" x14ac:dyDescent="0.25">
      <c r="A805" s="2" t="s">
        <v>1230</v>
      </c>
      <c r="B805" s="2" t="s">
        <v>10</v>
      </c>
      <c r="C805" s="3">
        <v>43770</v>
      </c>
      <c r="D805" t="s">
        <v>1231</v>
      </c>
      <c r="E805" s="2" t="s">
        <v>12</v>
      </c>
      <c r="F805" s="2" t="s">
        <v>12</v>
      </c>
      <c r="G805" t="s">
        <v>586</v>
      </c>
      <c r="H805" t="str">
        <f t="shared" si="24"/>
        <v>https://videplast.com.br/consulta-imobilizado?id=22002501&amp;nome=CILINDROS%20NORGREN%20SEM%20HASTE%20ACAO%20DUPLA%2025X1555MM</v>
      </c>
      <c r="I805" t="e">
        <f t="shared" ca="1" si="25"/>
        <v>#NAME?</v>
      </c>
    </row>
    <row r="806" spans="1:9" x14ac:dyDescent="0.25">
      <c r="A806" s="2" t="s">
        <v>1232</v>
      </c>
      <c r="B806" s="2" t="s">
        <v>10</v>
      </c>
      <c r="C806" s="3">
        <v>43770</v>
      </c>
      <c r="D806" t="s">
        <v>1233</v>
      </c>
      <c r="E806" s="2" t="s">
        <v>12</v>
      </c>
      <c r="F806" s="2" t="s">
        <v>12</v>
      </c>
      <c r="G806" t="s">
        <v>586</v>
      </c>
      <c r="H806" t="str">
        <f t="shared" si="24"/>
        <v>https://videplast.com.br/consulta-imobilizado?id=22002502&amp;nome=CILINDRO%20ROTOFLEX%20183,64%20X%201000%20MM</v>
      </c>
      <c r="I806" t="e">
        <f t="shared" ca="1" si="25"/>
        <v>#NAME?</v>
      </c>
    </row>
    <row r="807" spans="1:9" x14ac:dyDescent="0.25">
      <c r="A807" s="2" t="s">
        <v>1234</v>
      </c>
      <c r="B807" s="2" t="s">
        <v>10</v>
      </c>
      <c r="C807" s="3">
        <v>43770</v>
      </c>
      <c r="D807" t="s">
        <v>1235</v>
      </c>
      <c r="E807" s="2" t="s">
        <v>12</v>
      </c>
      <c r="F807" s="2" t="s">
        <v>12</v>
      </c>
      <c r="G807" t="s">
        <v>586</v>
      </c>
      <c r="H807" t="str">
        <f t="shared" si="24"/>
        <v>https://videplast.com.br/consulta-imobilizado?id=22002557&amp;nome=CILINDRO%20CONTRA%20PESSAO</v>
      </c>
      <c r="I807" t="e">
        <f t="shared" ca="1" si="25"/>
        <v>#NAME?</v>
      </c>
    </row>
    <row r="808" spans="1:9" x14ac:dyDescent="0.25">
      <c r="A808" s="2" t="s">
        <v>1236</v>
      </c>
      <c r="B808" s="2" t="s">
        <v>10</v>
      </c>
      <c r="C808" s="3">
        <v>43770</v>
      </c>
      <c r="D808" t="s">
        <v>1237</v>
      </c>
      <c r="E808" s="2" t="s">
        <v>12</v>
      </c>
      <c r="F808" s="2" t="s">
        <v>12</v>
      </c>
      <c r="G808" t="s">
        <v>586</v>
      </c>
      <c r="H808" t="str">
        <f t="shared" si="24"/>
        <v>https://videplast.com.br/consulta-imobilizado?id=22002569&amp;nome=CILINDRO%20PORTA%20CLICHES%20P%2034</v>
      </c>
      <c r="I808" t="e">
        <f t="shared" ca="1" si="25"/>
        <v>#NAME?</v>
      </c>
    </row>
    <row r="809" spans="1:9" x14ac:dyDescent="0.25">
      <c r="A809" s="2" t="s">
        <v>1238</v>
      </c>
      <c r="B809" s="2" t="s">
        <v>10</v>
      </c>
      <c r="C809" s="3">
        <v>43770</v>
      </c>
      <c r="D809" t="s">
        <v>1239</v>
      </c>
      <c r="E809" s="2" t="s">
        <v>12</v>
      </c>
      <c r="F809" s="2" t="s">
        <v>12</v>
      </c>
      <c r="G809" t="s">
        <v>586</v>
      </c>
      <c r="H809" t="str">
        <f t="shared" si="24"/>
        <v>https://videplast.com.br/consulta-imobilizado?id=22002572&amp;nome=1%20CILINDRO,2%20MANCAL,2%20PINO,2%20EIXO,2ARRUELA,%202BASC</v>
      </c>
      <c r="I809" t="e">
        <f t="shared" ca="1" si="25"/>
        <v>#NAME?</v>
      </c>
    </row>
    <row r="810" spans="1:9" x14ac:dyDescent="0.25">
      <c r="A810" s="2" t="s">
        <v>1238</v>
      </c>
      <c r="B810" s="2" t="s">
        <v>26</v>
      </c>
      <c r="C810" s="3">
        <v>45499</v>
      </c>
      <c r="D810" t="s">
        <v>1240</v>
      </c>
      <c r="E810" s="2" t="s">
        <v>12</v>
      </c>
      <c r="F810" s="2" t="s">
        <v>12</v>
      </c>
      <c r="G810" t="s">
        <v>586</v>
      </c>
      <c r="H810" t="str">
        <f t="shared" si="24"/>
        <v>https://videplast.com.br/consulta-imobilizado?id=22002572&amp;nome=FRETE%20P/%20TRANSPORTE%20DE%20MATERIAIS%20DIVERSOS</v>
      </c>
      <c r="I810" t="e">
        <f t="shared" ca="1" si="25"/>
        <v>#NAME?</v>
      </c>
    </row>
    <row r="811" spans="1:9" x14ac:dyDescent="0.25">
      <c r="A811" s="2" t="s">
        <v>1241</v>
      </c>
      <c r="B811" s="2" t="s">
        <v>10</v>
      </c>
      <c r="C811" s="3">
        <v>43770</v>
      </c>
      <c r="D811" t="s">
        <v>1242</v>
      </c>
      <c r="E811" s="2" t="s">
        <v>12</v>
      </c>
      <c r="F811" s="2" t="s">
        <v>12</v>
      </c>
      <c r="G811" t="s">
        <v>586</v>
      </c>
      <c r="H811" t="str">
        <f t="shared" si="24"/>
        <v>https://videplast.com.br/consulta-imobilizado?id=22002583&amp;nome=CAMISA%20CARBOLOX%20BL%20121,074%20X%20149,606%20X%20890%20MM</v>
      </c>
      <c r="I811" t="e">
        <f t="shared" ca="1" si="25"/>
        <v>#NAME?</v>
      </c>
    </row>
    <row r="812" spans="1:9" x14ac:dyDescent="0.25">
      <c r="A812" s="2" t="s">
        <v>1243</v>
      </c>
      <c r="B812" s="2" t="s">
        <v>10</v>
      </c>
      <c r="C812" s="3">
        <v>43770</v>
      </c>
      <c r="D812" t="s">
        <v>1242</v>
      </c>
      <c r="E812" s="2" t="s">
        <v>12</v>
      </c>
      <c r="F812" s="2" t="s">
        <v>12</v>
      </c>
      <c r="G812" t="s">
        <v>586</v>
      </c>
      <c r="H812" t="str">
        <f t="shared" si="24"/>
        <v>https://videplast.com.br/consulta-imobilizado?id=22002584&amp;nome=CAMISA%20CARBOLOX%20BL%20121,074%20X%20149,606%20X%20890%20MM</v>
      </c>
      <c r="I812" t="e">
        <f t="shared" ca="1" si="25"/>
        <v>#NAME?</v>
      </c>
    </row>
    <row r="813" spans="1:9" x14ac:dyDescent="0.25">
      <c r="A813" s="2" t="s">
        <v>1244</v>
      </c>
      <c r="B813" s="2" t="s">
        <v>10</v>
      </c>
      <c r="C813" s="3">
        <v>43770</v>
      </c>
      <c r="D813" t="s">
        <v>1245</v>
      </c>
      <c r="E813" s="2" t="s">
        <v>12</v>
      </c>
      <c r="F813" s="2" t="s">
        <v>12</v>
      </c>
      <c r="G813" t="s">
        <v>586</v>
      </c>
      <c r="H813" t="str">
        <f t="shared" si="24"/>
        <v>https://videplast.com.br/consulta-imobilizado?id=22002586&amp;nome=CAMISA%20PONTE%20DIAM.%20EXT.%20152,905MM</v>
      </c>
      <c r="I813" t="e">
        <f t="shared" ca="1" si="25"/>
        <v>#NAME?</v>
      </c>
    </row>
    <row r="814" spans="1:9" x14ac:dyDescent="0.25">
      <c r="A814" s="2" t="s">
        <v>1246</v>
      </c>
      <c r="B814" s="2" t="s">
        <v>10</v>
      </c>
      <c r="C814" s="3">
        <v>43770</v>
      </c>
      <c r="D814" t="s">
        <v>1245</v>
      </c>
      <c r="E814" s="2" t="s">
        <v>12</v>
      </c>
      <c r="F814" s="2" t="s">
        <v>12</v>
      </c>
      <c r="G814" t="s">
        <v>586</v>
      </c>
      <c r="H814" t="str">
        <f t="shared" si="24"/>
        <v>https://videplast.com.br/consulta-imobilizado?id=22002587&amp;nome=CAMISA%20PONTE%20DIAM.%20EXT.%20152,905MM</v>
      </c>
      <c r="I814" t="e">
        <f t="shared" ca="1" si="25"/>
        <v>#NAME?</v>
      </c>
    </row>
    <row r="815" spans="1:9" x14ac:dyDescent="0.25">
      <c r="A815" s="2" t="s">
        <v>1247</v>
      </c>
      <c r="B815" s="2" t="s">
        <v>10</v>
      </c>
      <c r="C815" s="3">
        <v>43770</v>
      </c>
      <c r="D815" t="s">
        <v>1245</v>
      </c>
      <c r="E815" s="2" t="s">
        <v>12</v>
      </c>
      <c r="F815" s="2" t="s">
        <v>12</v>
      </c>
      <c r="G815" t="s">
        <v>586</v>
      </c>
      <c r="H815" t="str">
        <f t="shared" si="24"/>
        <v>https://videplast.com.br/consulta-imobilizado?id=22002588&amp;nome=CAMISA%20PONTE%20DIAM.%20EXT.%20152,905MM</v>
      </c>
      <c r="I815" t="e">
        <f t="shared" ca="1" si="25"/>
        <v>#NAME?</v>
      </c>
    </row>
    <row r="816" spans="1:9" x14ac:dyDescent="0.25">
      <c r="A816" s="2" t="s">
        <v>1248</v>
      </c>
      <c r="B816" s="2" t="s">
        <v>10</v>
      </c>
      <c r="C816" s="3">
        <v>43770</v>
      </c>
      <c r="D816" t="s">
        <v>1245</v>
      </c>
      <c r="E816" s="2" t="s">
        <v>12</v>
      </c>
      <c r="F816" s="2" t="s">
        <v>12</v>
      </c>
      <c r="G816" t="s">
        <v>586</v>
      </c>
      <c r="H816" t="str">
        <f t="shared" si="24"/>
        <v>https://videplast.com.br/consulta-imobilizado?id=22002589&amp;nome=CAMISA%20PONTE%20DIAM.%20EXT.%20152,905MM</v>
      </c>
      <c r="I816" t="e">
        <f t="shared" ca="1" si="25"/>
        <v>#NAME?</v>
      </c>
    </row>
    <row r="817" spans="1:9" x14ac:dyDescent="0.25">
      <c r="A817" s="2" t="s">
        <v>1249</v>
      </c>
      <c r="B817" s="2" t="s">
        <v>10</v>
      </c>
      <c r="C817" s="3">
        <v>43770</v>
      </c>
      <c r="D817" t="s">
        <v>1245</v>
      </c>
      <c r="E817" s="2" t="s">
        <v>12</v>
      </c>
      <c r="F817" s="2" t="s">
        <v>12</v>
      </c>
      <c r="G817" t="s">
        <v>586</v>
      </c>
      <c r="H817" t="str">
        <f t="shared" si="24"/>
        <v>https://videplast.com.br/consulta-imobilizado?id=22002590&amp;nome=CAMISA%20PONTE%20DIAM.%20EXT.%20152,905MM</v>
      </c>
      <c r="I817" t="e">
        <f t="shared" ca="1" si="25"/>
        <v>#NAME?</v>
      </c>
    </row>
    <row r="818" spans="1:9" x14ac:dyDescent="0.25">
      <c r="A818" s="2" t="s">
        <v>1250</v>
      </c>
      <c r="B818" s="2" t="s">
        <v>10</v>
      </c>
      <c r="C818" s="3">
        <v>43770</v>
      </c>
      <c r="D818" t="s">
        <v>1245</v>
      </c>
      <c r="E818" s="2" t="s">
        <v>12</v>
      </c>
      <c r="F818" s="2" t="s">
        <v>12</v>
      </c>
      <c r="G818" t="s">
        <v>586</v>
      </c>
      <c r="H818" t="str">
        <f t="shared" si="24"/>
        <v>https://videplast.com.br/consulta-imobilizado?id=22002591&amp;nome=CAMISA%20PONTE%20DIAM.%20EXT.%20152,905MM</v>
      </c>
      <c r="I818" t="e">
        <f t="shared" ca="1" si="25"/>
        <v>#NAME?</v>
      </c>
    </row>
    <row r="819" spans="1:9" x14ac:dyDescent="0.25">
      <c r="A819" s="2" t="s">
        <v>1251</v>
      </c>
      <c r="B819" s="2" t="s">
        <v>10</v>
      </c>
      <c r="C819" s="3">
        <v>43770</v>
      </c>
      <c r="D819" t="s">
        <v>1245</v>
      </c>
      <c r="E819" s="2" t="s">
        <v>12</v>
      </c>
      <c r="F819" s="2" t="s">
        <v>12</v>
      </c>
      <c r="G819" t="s">
        <v>586</v>
      </c>
      <c r="H819" t="str">
        <f t="shared" si="24"/>
        <v>https://videplast.com.br/consulta-imobilizado?id=22002592&amp;nome=CAMISA%20PONTE%20DIAM.%20EXT.%20152,905MM</v>
      </c>
      <c r="I819" t="e">
        <f t="shared" ca="1" si="25"/>
        <v>#NAME?</v>
      </c>
    </row>
    <row r="820" spans="1:9" x14ac:dyDescent="0.25">
      <c r="A820" s="2" t="s">
        <v>1252</v>
      </c>
      <c r="B820" s="2" t="s">
        <v>10</v>
      </c>
      <c r="C820" s="3">
        <v>43770</v>
      </c>
      <c r="D820" t="s">
        <v>1245</v>
      </c>
      <c r="E820" s="2" t="s">
        <v>12</v>
      </c>
      <c r="F820" s="2" t="s">
        <v>12</v>
      </c>
      <c r="G820" t="s">
        <v>586</v>
      </c>
      <c r="H820" t="str">
        <f t="shared" si="24"/>
        <v>https://videplast.com.br/consulta-imobilizado?id=22002593&amp;nome=CAMISA%20PONTE%20DIAM.%20EXT.%20152,905MM</v>
      </c>
      <c r="I820" t="e">
        <f t="shared" ca="1" si="25"/>
        <v>#NAME?</v>
      </c>
    </row>
    <row r="821" spans="1:9" x14ac:dyDescent="0.25">
      <c r="A821" s="2" t="s">
        <v>1253</v>
      </c>
      <c r="B821" s="2" t="s">
        <v>10</v>
      </c>
      <c r="C821" s="3">
        <v>43770</v>
      </c>
      <c r="D821" t="s">
        <v>1214</v>
      </c>
      <c r="E821" s="2" t="s">
        <v>12</v>
      </c>
      <c r="F821" s="2" t="s">
        <v>12</v>
      </c>
      <c r="G821" t="s">
        <v>586</v>
      </c>
      <c r="H821" t="str">
        <f t="shared" si="24"/>
        <v>https://videplast.com.br/consulta-imobilizado?id=22002615&amp;nome=CAMISA%20LAMIFLEX</v>
      </c>
      <c r="I821" t="e">
        <f t="shared" ca="1" si="25"/>
        <v>#NAME?</v>
      </c>
    </row>
    <row r="822" spans="1:9" x14ac:dyDescent="0.25">
      <c r="A822" s="2" t="s">
        <v>1253</v>
      </c>
      <c r="B822" s="2" t="s">
        <v>26</v>
      </c>
      <c r="C822" s="3">
        <v>45499</v>
      </c>
      <c r="D822" t="s">
        <v>1254</v>
      </c>
      <c r="E822" s="2" t="s">
        <v>12</v>
      </c>
      <c r="F822" s="2" t="s">
        <v>12</v>
      </c>
      <c r="G822" t="s">
        <v>586</v>
      </c>
      <c r="H822" t="str">
        <f t="shared" si="24"/>
        <v>https://videplast.com.br/consulta-imobilizado?id=22002615&amp;nome=FRETE%202%20CAMISA%20LAMIFLEX</v>
      </c>
      <c r="I822" t="e">
        <f t="shared" ca="1" si="25"/>
        <v>#NAME?</v>
      </c>
    </row>
    <row r="823" spans="1:9" x14ac:dyDescent="0.25">
      <c r="A823" s="2" t="s">
        <v>1255</v>
      </c>
      <c r="B823" s="2" t="s">
        <v>10</v>
      </c>
      <c r="C823" s="3">
        <v>43770</v>
      </c>
      <c r="D823" t="s">
        <v>1256</v>
      </c>
      <c r="E823" s="2" t="s">
        <v>12</v>
      </c>
      <c r="F823" s="2" t="s">
        <v>12</v>
      </c>
      <c r="G823" t="s">
        <v>586</v>
      </c>
      <c r="H823" t="str">
        <f t="shared" si="24"/>
        <v>https://videplast.com.br/consulta-imobilizado?id=22002631&amp;nome=2%20CAMISA%20LAMIFLEX%20145X140X117,12MM</v>
      </c>
      <c r="I823" t="e">
        <f t="shared" ca="1" si="25"/>
        <v>#NAME?</v>
      </c>
    </row>
    <row r="824" spans="1:9" x14ac:dyDescent="0.25">
      <c r="A824" s="2" t="s">
        <v>1257</v>
      </c>
      <c r="B824" s="2" t="s">
        <v>10</v>
      </c>
      <c r="C824" s="3">
        <v>43770</v>
      </c>
      <c r="D824" t="s">
        <v>1258</v>
      </c>
      <c r="E824" s="2" t="s">
        <v>12</v>
      </c>
      <c r="F824" s="2" t="s">
        <v>12</v>
      </c>
      <c r="G824" t="s">
        <v>586</v>
      </c>
      <c r="H824" t="str">
        <f t="shared" si="24"/>
        <v>https://videplast.com.br/consulta-imobilizado?id=22002642&amp;nome=CAMISA%20PONTE%20DIAM.%20EXT.%20213,384MM</v>
      </c>
      <c r="I824" t="e">
        <f t="shared" ca="1" si="25"/>
        <v>#NAME?</v>
      </c>
    </row>
    <row r="825" spans="1:9" x14ac:dyDescent="0.25">
      <c r="A825" s="2" t="s">
        <v>1259</v>
      </c>
      <c r="B825" s="2" t="s">
        <v>10</v>
      </c>
      <c r="C825" s="3">
        <v>43770</v>
      </c>
      <c r="D825" t="s">
        <v>1258</v>
      </c>
      <c r="E825" s="2" t="s">
        <v>12</v>
      </c>
      <c r="F825" s="2" t="s">
        <v>12</v>
      </c>
      <c r="G825" t="s">
        <v>586</v>
      </c>
      <c r="H825" t="str">
        <f t="shared" si="24"/>
        <v>https://videplast.com.br/consulta-imobilizado?id=22002643&amp;nome=CAMISA%20PONTE%20DIAM.%20EXT.%20213,384MM</v>
      </c>
      <c r="I825" t="e">
        <f t="shared" ca="1" si="25"/>
        <v>#NAME?</v>
      </c>
    </row>
    <row r="826" spans="1:9" x14ac:dyDescent="0.25">
      <c r="A826" s="2" t="s">
        <v>1260</v>
      </c>
      <c r="B826" s="2" t="s">
        <v>10</v>
      </c>
      <c r="C826" s="3">
        <v>43770</v>
      </c>
      <c r="D826" t="s">
        <v>1258</v>
      </c>
      <c r="E826" s="2" t="s">
        <v>12</v>
      </c>
      <c r="F826" s="2" t="s">
        <v>12</v>
      </c>
      <c r="G826" t="s">
        <v>586</v>
      </c>
      <c r="H826" t="str">
        <f t="shared" si="24"/>
        <v>https://videplast.com.br/consulta-imobilizado?id=22002644&amp;nome=CAMISA%20PONTE%20DIAM.%20EXT.%20213,384MM</v>
      </c>
      <c r="I826" t="e">
        <f t="shared" ca="1" si="25"/>
        <v>#NAME?</v>
      </c>
    </row>
    <row r="827" spans="1:9" x14ac:dyDescent="0.25">
      <c r="A827" s="2" t="s">
        <v>1261</v>
      </c>
      <c r="B827" s="2" t="s">
        <v>10</v>
      </c>
      <c r="C827" s="3">
        <v>43770</v>
      </c>
      <c r="D827" t="s">
        <v>1258</v>
      </c>
      <c r="E827" s="2" t="s">
        <v>12</v>
      </c>
      <c r="F827" s="2" t="s">
        <v>12</v>
      </c>
      <c r="G827" t="s">
        <v>586</v>
      </c>
      <c r="H827" t="str">
        <f t="shared" si="24"/>
        <v>https://videplast.com.br/consulta-imobilizado?id=22002645&amp;nome=CAMISA%20PONTE%20DIAM.%20EXT.%20213,384MM</v>
      </c>
      <c r="I827" t="e">
        <f t="shared" ca="1" si="25"/>
        <v>#NAME?</v>
      </c>
    </row>
    <row r="828" spans="1:9" x14ac:dyDescent="0.25">
      <c r="A828" s="2" t="s">
        <v>1262</v>
      </c>
      <c r="B828" s="2" t="s">
        <v>10</v>
      </c>
      <c r="C828" s="3">
        <v>43770</v>
      </c>
      <c r="D828" t="s">
        <v>1258</v>
      </c>
      <c r="E828" s="2" t="s">
        <v>12</v>
      </c>
      <c r="F828" s="2" t="s">
        <v>12</v>
      </c>
      <c r="G828" t="s">
        <v>586</v>
      </c>
      <c r="H828" t="str">
        <f t="shared" si="24"/>
        <v>https://videplast.com.br/consulta-imobilizado?id=22002646&amp;nome=CAMISA%20PONTE%20DIAM.%20EXT.%20213,384MM</v>
      </c>
      <c r="I828" t="e">
        <f t="shared" ca="1" si="25"/>
        <v>#NAME?</v>
      </c>
    </row>
    <row r="829" spans="1:9" x14ac:dyDescent="0.25">
      <c r="A829" s="2" t="s">
        <v>1263</v>
      </c>
      <c r="B829" s="2" t="s">
        <v>10</v>
      </c>
      <c r="C829" s="3">
        <v>43770</v>
      </c>
      <c r="D829" t="s">
        <v>1258</v>
      </c>
      <c r="E829" s="2" t="s">
        <v>12</v>
      </c>
      <c r="F829" s="2" t="s">
        <v>12</v>
      </c>
      <c r="G829" t="s">
        <v>586</v>
      </c>
      <c r="H829" t="str">
        <f t="shared" si="24"/>
        <v>https://videplast.com.br/consulta-imobilizado?id=22002647&amp;nome=CAMISA%20PONTE%20DIAM.%20EXT.%20213,384MM</v>
      </c>
      <c r="I829" t="e">
        <f t="shared" ca="1" si="25"/>
        <v>#NAME?</v>
      </c>
    </row>
    <row r="830" spans="1:9" x14ac:dyDescent="0.25">
      <c r="A830" s="2" t="s">
        <v>1264</v>
      </c>
      <c r="B830" s="2" t="s">
        <v>10</v>
      </c>
      <c r="C830" s="3">
        <v>43770</v>
      </c>
      <c r="D830" t="s">
        <v>1258</v>
      </c>
      <c r="E830" s="2" t="s">
        <v>12</v>
      </c>
      <c r="F830" s="2" t="s">
        <v>12</v>
      </c>
      <c r="G830" t="s">
        <v>586</v>
      </c>
      <c r="H830" t="str">
        <f t="shared" si="24"/>
        <v>https://videplast.com.br/consulta-imobilizado?id=22002648&amp;nome=CAMISA%20PONTE%20DIAM.%20EXT.%20213,384MM</v>
      </c>
      <c r="I830" t="e">
        <f t="shared" ca="1" si="25"/>
        <v>#NAME?</v>
      </c>
    </row>
    <row r="831" spans="1:9" x14ac:dyDescent="0.25">
      <c r="A831" s="2" t="s">
        <v>1265</v>
      </c>
      <c r="B831" s="2" t="s">
        <v>10</v>
      </c>
      <c r="C831" s="3">
        <v>43770</v>
      </c>
      <c r="D831" t="s">
        <v>1258</v>
      </c>
      <c r="E831" s="2" t="s">
        <v>12</v>
      </c>
      <c r="F831" s="2" t="s">
        <v>12</v>
      </c>
      <c r="G831" t="s">
        <v>586</v>
      </c>
      <c r="H831" t="str">
        <f t="shared" si="24"/>
        <v>https://videplast.com.br/consulta-imobilizado?id=22002649&amp;nome=CAMISA%20PONTE%20DIAM.%20EXT.%20213,384MM</v>
      </c>
      <c r="I831" t="e">
        <f t="shared" ca="1" si="25"/>
        <v>#NAME?</v>
      </c>
    </row>
    <row r="832" spans="1:9" x14ac:dyDescent="0.25">
      <c r="A832" s="2" t="s">
        <v>1266</v>
      </c>
      <c r="B832" s="2" t="s">
        <v>10</v>
      </c>
      <c r="C832" s="3">
        <v>43770</v>
      </c>
      <c r="D832" t="s">
        <v>1267</v>
      </c>
      <c r="E832" s="2" t="s">
        <v>12</v>
      </c>
      <c r="F832" s="2" t="s">
        <v>12</v>
      </c>
      <c r="G832" t="s">
        <v>586</v>
      </c>
      <c r="H832" t="str">
        <f t="shared" si="24"/>
        <v>https://videplast.com.br/consulta-imobilizado?id=22002676&amp;nome=CILINDRO%20PORTA%20CLICHE%20P-75</v>
      </c>
      <c r="I832" t="e">
        <f t="shared" ca="1" si="25"/>
        <v>#NAME?</v>
      </c>
    </row>
    <row r="833" spans="1:9" x14ac:dyDescent="0.25">
      <c r="A833" s="2" t="s">
        <v>1268</v>
      </c>
      <c r="B833" s="2" t="s">
        <v>10</v>
      </c>
      <c r="C833" s="3">
        <v>43770</v>
      </c>
      <c r="D833" t="s">
        <v>1269</v>
      </c>
      <c r="E833" s="2" t="s">
        <v>12</v>
      </c>
      <c r="F833" s="2" t="s">
        <v>12</v>
      </c>
      <c r="G833" t="s">
        <v>586</v>
      </c>
      <c r="H833" t="str">
        <f t="shared" si="24"/>
        <v>https://videplast.com.br/consulta-imobilizado?id=22002679&amp;nome=CILINDRO%20CONTRA%20PRESSAO%20MAQ.%201400</v>
      </c>
      <c r="I833" t="e">
        <f t="shared" ca="1" si="25"/>
        <v>#NAME?</v>
      </c>
    </row>
    <row r="834" spans="1:9" x14ac:dyDescent="0.25">
      <c r="A834" s="2" t="s">
        <v>1268</v>
      </c>
      <c r="B834" s="2" t="s">
        <v>26</v>
      </c>
      <c r="C834" s="3">
        <v>45499</v>
      </c>
      <c r="D834" t="s">
        <v>1270</v>
      </c>
      <c r="E834" s="2" t="s">
        <v>12</v>
      </c>
      <c r="F834" s="2" t="s">
        <v>12</v>
      </c>
      <c r="G834" t="s">
        <v>586</v>
      </c>
      <c r="H834" t="str">
        <f t="shared" ref="H834:H897" si="26" xml:space="preserve"> "https://videplast.com.br/consulta-imobilizado?id=" &amp; A834 &amp; "&amp;nome=" &amp; SUBSTITUTE(D834, " ", "%20")</f>
        <v>https://videplast.com.br/consulta-imobilizado?id=22002679&amp;nome=FRETE%20P/%20TRANSPORTE%20DE%20CILINDRO</v>
      </c>
      <c r="I834" t="e">
        <f t="shared" ref="I834:I897" ca="1" si="27">_xlfn.IMAGE("https://chart.googleapis.com/chart?chs=150x150&amp;cht=qr&amp;chl=" &amp; H834)</f>
        <v>#NAME?</v>
      </c>
    </row>
    <row r="835" spans="1:9" x14ac:dyDescent="0.25">
      <c r="A835" s="2" t="s">
        <v>1271</v>
      </c>
      <c r="B835" s="2" t="s">
        <v>10</v>
      </c>
      <c r="C835" s="3">
        <v>43770</v>
      </c>
      <c r="D835" t="s">
        <v>1272</v>
      </c>
      <c r="E835" s="2" t="s">
        <v>12</v>
      </c>
      <c r="F835" s="2" t="s">
        <v>12</v>
      </c>
      <c r="G835" t="s">
        <v>586</v>
      </c>
      <c r="H835" t="str">
        <f t="shared" si="26"/>
        <v>https://videplast.com.br/consulta-imobilizado?id=22002760&amp;nome=CAMISA%20CARBOLOX%20BL%20121,074%20X%20149,606%20X%201290%20MM</v>
      </c>
      <c r="I835" t="e">
        <f t="shared" ca="1" si="27"/>
        <v>#NAME?</v>
      </c>
    </row>
    <row r="836" spans="1:9" x14ac:dyDescent="0.25">
      <c r="A836" s="2" t="s">
        <v>1273</v>
      </c>
      <c r="B836" s="2" t="s">
        <v>10</v>
      </c>
      <c r="C836" s="3">
        <v>43770</v>
      </c>
      <c r="D836" t="s">
        <v>1272</v>
      </c>
      <c r="E836" s="2" t="s">
        <v>12</v>
      </c>
      <c r="F836" s="2" t="s">
        <v>12</v>
      </c>
      <c r="G836" t="s">
        <v>586</v>
      </c>
      <c r="H836" t="str">
        <f t="shared" si="26"/>
        <v>https://videplast.com.br/consulta-imobilizado?id=22002761&amp;nome=CAMISA%20CARBOLOX%20BL%20121,074%20X%20149,606%20X%201290%20MM</v>
      </c>
      <c r="I836" t="e">
        <f t="shared" ca="1" si="27"/>
        <v>#NAME?</v>
      </c>
    </row>
    <row r="837" spans="1:9" x14ac:dyDescent="0.25">
      <c r="A837" s="2" t="s">
        <v>1274</v>
      </c>
      <c r="B837" s="2" t="s">
        <v>10</v>
      </c>
      <c r="C837" s="3">
        <v>43770</v>
      </c>
      <c r="D837" t="s">
        <v>1275</v>
      </c>
      <c r="E837" s="2" t="s">
        <v>12</v>
      </c>
      <c r="F837" s="2" t="s">
        <v>12</v>
      </c>
      <c r="G837" t="s">
        <v>586</v>
      </c>
      <c r="H837" t="str">
        <f t="shared" si="26"/>
        <v>https://videplast.com.br/consulta-imobilizado?id=22002787&amp;nome=CILINDRO%20PORTA%20CLICHE%20P%20420</v>
      </c>
      <c r="I837" t="e">
        <f t="shared" ca="1" si="27"/>
        <v>#NAME?</v>
      </c>
    </row>
    <row r="838" spans="1:9" x14ac:dyDescent="0.25">
      <c r="A838" s="2" t="s">
        <v>1274</v>
      </c>
      <c r="B838" s="2" t="s">
        <v>26</v>
      </c>
      <c r="C838" s="3">
        <v>45499</v>
      </c>
      <c r="D838" t="s">
        <v>1276</v>
      </c>
      <c r="E838" s="2" t="s">
        <v>12</v>
      </c>
      <c r="F838" s="2" t="s">
        <v>12</v>
      </c>
      <c r="G838" t="s">
        <v>586</v>
      </c>
      <c r="H838" t="str">
        <f t="shared" si="26"/>
        <v>https://videplast.com.br/consulta-imobilizado?id=22002787&amp;nome=FRETE%20P/%20TRANSPORTE%20DE%208%20CILINDRO</v>
      </c>
      <c r="I838" t="e">
        <f t="shared" ca="1" si="27"/>
        <v>#NAME?</v>
      </c>
    </row>
    <row r="839" spans="1:9" x14ac:dyDescent="0.25">
      <c r="A839" s="2" t="s">
        <v>1277</v>
      </c>
      <c r="B839" s="2" t="s">
        <v>10</v>
      </c>
      <c r="C839" s="3">
        <v>43770</v>
      </c>
      <c r="D839" t="s">
        <v>1278</v>
      </c>
      <c r="E839" s="2" t="s">
        <v>12</v>
      </c>
      <c r="F839" s="2" t="s">
        <v>12</v>
      </c>
      <c r="G839" t="s">
        <v>586</v>
      </c>
      <c r="H839" t="str">
        <f t="shared" si="26"/>
        <v>https://videplast.com.br/consulta-imobilizado?id=22002835&amp;nome=CILINDRO%20PORTA%20CLICHE%20PASSO%2052</v>
      </c>
      <c r="I839" t="e">
        <f t="shared" ca="1" si="27"/>
        <v>#NAME?</v>
      </c>
    </row>
    <row r="840" spans="1:9" x14ac:dyDescent="0.25">
      <c r="A840" s="2" t="s">
        <v>1277</v>
      </c>
      <c r="B840" s="2" t="s">
        <v>26</v>
      </c>
      <c r="C840" s="3">
        <v>45499</v>
      </c>
      <c r="D840" t="s">
        <v>1279</v>
      </c>
      <c r="E840" s="2" t="s">
        <v>12</v>
      </c>
      <c r="F840" s="2" t="s">
        <v>12</v>
      </c>
      <c r="G840" t="s">
        <v>586</v>
      </c>
      <c r="H840" t="str">
        <f t="shared" si="26"/>
        <v>https://videplast.com.br/consulta-imobilizado?id=22002835&amp;nome=FRETE%20P/TRANSPORTE%20DE%204%20CILINDROS</v>
      </c>
      <c r="I840" t="e">
        <f t="shared" ca="1" si="27"/>
        <v>#NAME?</v>
      </c>
    </row>
    <row r="841" spans="1:9" x14ac:dyDescent="0.25">
      <c r="A841" s="2" t="s">
        <v>1280</v>
      </c>
      <c r="B841" s="2" t="s">
        <v>10</v>
      </c>
      <c r="C841" s="3">
        <v>43770</v>
      </c>
      <c r="D841" t="s">
        <v>1281</v>
      </c>
      <c r="E841" s="2" t="s">
        <v>12</v>
      </c>
      <c r="F841" s="2" t="s">
        <v>12</v>
      </c>
      <c r="G841" t="s">
        <v>586</v>
      </c>
      <c r="H841" t="str">
        <f t="shared" si="26"/>
        <v>https://videplast.com.br/consulta-imobilizado?id=22002874&amp;nome=7%20CAMISA%20PORTA%20CLICHES%20PASSO%20640MM%20LC%201200MM</v>
      </c>
      <c r="I841" t="e">
        <f t="shared" ca="1" si="27"/>
        <v>#NAME?</v>
      </c>
    </row>
    <row r="842" spans="1:9" x14ac:dyDescent="0.25">
      <c r="A842" s="2" t="s">
        <v>1282</v>
      </c>
      <c r="B842" s="2" t="s">
        <v>10</v>
      </c>
      <c r="C842" s="3">
        <v>43770</v>
      </c>
      <c r="D842" t="s">
        <v>1283</v>
      </c>
      <c r="E842" s="2" t="s">
        <v>12</v>
      </c>
      <c r="F842" s="2" t="s">
        <v>12</v>
      </c>
      <c r="G842" t="s">
        <v>586</v>
      </c>
      <c r="H842" t="str">
        <f t="shared" si="26"/>
        <v>https://videplast.com.br/consulta-imobilizado?id=22002875&amp;nome=6%20CAMISA%20PORTA%20CLICHE%20520MM%20P/%20IMP.FLEXOGRAFICA</v>
      </c>
      <c r="I842" t="e">
        <f t="shared" ca="1" si="27"/>
        <v>#NAME?</v>
      </c>
    </row>
    <row r="843" spans="1:9" x14ac:dyDescent="0.25">
      <c r="A843" s="2" t="s">
        <v>1284</v>
      </c>
      <c r="B843" s="2" t="s">
        <v>10</v>
      </c>
      <c r="C843" s="3">
        <v>43770</v>
      </c>
      <c r="D843" t="s">
        <v>1285</v>
      </c>
      <c r="E843" s="2" t="s">
        <v>12</v>
      </c>
      <c r="F843" s="2" t="s">
        <v>12</v>
      </c>
      <c r="G843" t="s">
        <v>586</v>
      </c>
      <c r="H843" t="str">
        <f t="shared" si="26"/>
        <v>https://videplast.com.br/consulta-imobilizado?id=22002946&amp;nome=CILINDRO%20PORTA%20CLICHE</v>
      </c>
      <c r="I843" t="e">
        <f t="shared" ca="1" si="27"/>
        <v>#NAME?</v>
      </c>
    </row>
    <row r="844" spans="1:9" x14ac:dyDescent="0.25">
      <c r="A844" s="2" t="s">
        <v>1286</v>
      </c>
      <c r="B844" s="2" t="s">
        <v>10</v>
      </c>
      <c r="C844" s="3">
        <v>43770</v>
      </c>
      <c r="D844" t="s">
        <v>1287</v>
      </c>
      <c r="E844" s="2" t="s">
        <v>12</v>
      </c>
      <c r="F844" s="2" t="s">
        <v>12</v>
      </c>
      <c r="G844" t="s">
        <v>586</v>
      </c>
      <c r="H844" t="str">
        <f t="shared" si="26"/>
        <v>https://videplast.com.br/consulta-imobilizado?id=22002947&amp;nome=6%20CILINDROS%20DIAM%20203,22%20X%201000MM%20ROTROGRAVURA</v>
      </c>
      <c r="I844" t="e">
        <f t="shared" ca="1" si="27"/>
        <v>#NAME?</v>
      </c>
    </row>
    <row r="845" spans="1:9" x14ac:dyDescent="0.25">
      <c r="A845" s="2" t="s">
        <v>1288</v>
      </c>
      <c r="B845" s="2" t="s">
        <v>10</v>
      </c>
      <c r="C845" s="3">
        <v>43770</v>
      </c>
      <c r="D845" t="s">
        <v>1289</v>
      </c>
      <c r="E845" s="2" t="s">
        <v>12</v>
      </c>
      <c r="F845" s="2" t="s">
        <v>12</v>
      </c>
      <c r="G845" t="s">
        <v>586</v>
      </c>
      <c r="H845" t="str">
        <f t="shared" si="26"/>
        <v>https://videplast.com.br/consulta-imobilizado?id=22002952&amp;nome=3%20CILINDROS%20PORTA%20CLICHES</v>
      </c>
      <c r="I845" t="e">
        <f t="shared" ca="1" si="27"/>
        <v>#NAME?</v>
      </c>
    </row>
    <row r="846" spans="1:9" x14ac:dyDescent="0.25">
      <c r="A846" s="2" t="s">
        <v>1290</v>
      </c>
      <c r="B846" s="2" t="s">
        <v>10</v>
      </c>
      <c r="C846" s="3">
        <v>43770</v>
      </c>
      <c r="D846" t="s">
        <v>1291</v>
      </c>
      <c r="E846" s="2" t="s">
        <v>12</v>
      </c>
      <c r="F846" s="2" t="s">
        <v>12</v>
      </c>
      <c r="G846" t="s">
        <v>586</v>
      </c>
      <c r="H846" t="str">
        <f t="shared" si="26"/>
        <v>https://videplast.com.br/consulta-imobilizado?id=22002954&amp;nome=8%20CAMISA%20PORTA%20CLICHE%20FLEXOPOWER%201200%20PASSO%20450MM</v>
      </c>
      <c r="I846" t="e">
        <f t="shared" ca="1" si="27"/>
        <v>#NAME?</v>
      </c>
    </row>
    <row r="847" spans="1:9" x14ac:dyDescent="0.25">
      <c r="A847" s="2" t="s">
        <v>1292</v>
      </c>
      <c r="B847" s="2" t="s">
        <v>10</v>
      </c>
      <c r="C847" s="3">
        <v>43770</v>
      </c>
      <c r="D847" t="s">
        <v>780</v>
      </c>
      <c r="E847" s="2" t="s">
        <v>12</v>
      </c>
      <c r="F847" s="2" t="s">
        <v>12</v>
      </c>
      <c r="G847" t="s">
        <v>586</v>
      </c>
      <c r="H847" t="str">
        <f t="shared" si="26"/>
        <v>https://videplast.com.br/consulta-imobilizado?id=22002958&amp;nome=CAMISA%20CARBOLOX%20162,340X143,356X1330,00</v>
      </c>
      <c r="I847" t="e">
        <f t="shared" ca="1" si="27"/>
        <v>#NAME?</v>
      </c>
    </row>
    <row r="848" spans="1:9" x14ac:dyDescent="0.25">
      <c r="A848" s="2" t="s">
        <v>1293</v>
      </c>
      <c r="B848" s="2" t="s">
        <v>10</v>
      </c>
      <c r="C848" s="3">
        <v>43770</v>
      </c>
      <c r="D848" t="s">
        <v>1294</v>
      </c>
      <c r="E848" s="2" t="s">
        <v>12</v>
      </c>
      <c r="F848" s="2" t="s">
        <v>12</v>
      </c>
      <c r="G848" t="s">
        <v>586</v>
      </c>
      <c r="H848" t="str">
        <f t="shared" si="26"/>
        <v>https://videplast.com.br/consulta-imobilizado?id=22002990&amp;nome=9%20CAMISA%20PORTA%20CLICHE</v>
      </c>
      <c r="I848" t="e">
        <f t="shared" ca="1" si="27"/>
        <v>#NAME?</v>
      </c>
    </row>
    <row r="849" spans="1:9" x14ac:dyDescent="0.25">
      <c r="A849" s="2" t="s">
        <v>1295</v>
      </c>
      <c r="B849" s="2" t="s">
        <v>10</v>
      </c>
      <c r="C849" s="3">
        <v>43770</v>
      </c>
      <c r="D849" t="s">
        <v>1296</v>
      </c>
      <c r="E849" s="2" t="s">
        <v>12</v>
      </c>
      <c r="F849" s="2" t="s">
        <v>12</v>
      </c>
      <c r="G849" t="s">
        <v>586</v>
      </c>
      <c r="H849" t="str">
        <f t="shared" si="26"/>
        <v>https://videplast.com.br/consulta-imobilizado?id=22002994&amp;nome=CILINDRO%20ANILOX%20SERIE%20CYAN%20PRAXAIR</v>
      </c>
      <c r="I849" t="e">
        <f t="shared" ca="1" si="27"/>
        <v>#NAME?</v>
      </c>
    </row>
    <row r="850" spans="1:9" x14ac:dyDescent="0.25">
      <c r="A850" s="2" t="s">
        <v>1297</v>
      </c>
      <c r="B850" s="2" t="s">
        <v>10</v>
      </c>
      <c r="C850" s="3">
        <v>43770</v>
      </c>
      <c r="D850" t="s">
        <v>1298</v>
      </c>
      <c r="E850" s="2" t="s">
        <v>12</v>
      </c>
      <c r="F850" s="2" t="s">
        <v>12</v>
      </c>
      <c r="G850" t="s">
        <v>586</v>
      </c>
      <c r="H850" t="str">
        <f t="shared" si="26"/>
        <v>https://videplast.com.br/consulta-imobilizado?id=22002996&amp;nome=8%20CAMISAS%20PT%20CLICHECARB%20STD%20P530%20121X165,624</v>
      </c>
      <c r="I850" t="e">
        <f t="shared" ca="1" si="27"/>
        <v>#NAME?</v>
      </c>
    </row>
    <row r="851" spans="1:9" x14ac:dyDescent="0.25">
      <c r="A851" s="2" t="s">
        <v>1299</v>
      </c>
      <c r="B851" s="2" t="s">
        <v>10</v>
      </c>
      <c r="C851" s="3">
        <v>43770</v>
      </c>
      <c r="D851" t="s">
        <v>1300</v>
      </c>
      <c r="E851" s="2" t="s">
        <v>12</v>
      </c>
      <c r="F851" s="2" t="s">
        <v>12</v>
      </c>
      <c r="G851" t="s">
        <v>586</v>
      </c>
      <c r="H851" t="str">
        <f t="shared" si="26"/>
        <v>https://videplast.com.br/consulta-imobilizado?id=22002997&amp;nome=CILINDRO%20ANILOX%20LASERLIGHT</v>
      </c>
      <c r="I851" t="e">
        <f t="shared" ca="1" si="27"/>
        <v>#NAME?</v>
      </c>
    </row>
    <row r="852" spans="1:9" x14ac:dyDescent="0.25">
      <c r="A852" s="2" t="s">
        <v>1301</v>
      </c>
      <c r="B852" s="2" t="s">
        <v>10</v>
      </c>
      <c r="C852" s="3">
        <v>43770</v>
      </c>
      <c r="D852" t="s">
        <v>1302</v>
      </c>
      <c r="E852" s="2" t="s">
        <v>12</v>
      </c>
      <c r="F852" s="2" t="s">
        <v>12</v>
      </c>
      <c r="G852" t="s">
        <v>586</v>
      </c>
      <c r="H852" t="str">
        <f t="shared" si="26"/>
        <v>https://videplast.com.br/consulta-imobilizado?id=22003011&amp;nome=6%20CILINDROS%20PORTA%20CLICHE</v>
      </c>
      <c r="I852" t="e">
        <f t="shared" ca="1" si="27"/>
        <v>#NAME?</v>
      </c>
    </row>
    <row r="853" spans="1:9" x14ac:dyDescent="0.25">
      <c r="A853" s="2" t="s">
        <v>1303</v>
      </c>
      <c r="B853" s="2" t="s">
        <v>10</v>
      </c>
      <c r="C853" s="3">
        <v>43770</v>
      </c>
      <c r="D853" t="s">
        <v>1304</v>
      </c>
      <c r="E853" s="2" t="s">
        <v>12</v>
      </c>
      <c r="F853" s="2" t="s">
        <v>12</v>
      </c>
      <c r="G853" t="s">
        <v>586</v>
      </c>
      <c r="H853" t="str">
        <f t="shared" si="26"/>
        <v>https://videplast.com.br/consulta-imobilizado?id=22003019&amp;nome=8%20CILINDRO%20DIAM%20190,48%20X%20900MM</v>
      </c>
      <c r="I853" t="e">
        <f t="shared" ca="1" si="27"/>
        <v>#NAME?</v>
      </c>
    </row>
    <row r="854" spans="1:9" x14ac:dyDescent="0.25">
      <c r="A854" s="2" t="s">
        <v>1305</v>
      </c>
      <c r="B854" s="2" t="s">
        <v>10</v>
      </c>
      <c r="C854" s="3">
        <v>43770</v>
      </c>
      <c r="D854" t="s">
        <v>1306</v>
      </c>
      <c r="E854" s="2" t="s">
        <v>12</v>
      </c>
      <c r="F854" s="2" t="s">
        <v>12</v>
      </c>
      <c r="G854" t="s">
        <v>586</v>
      </c>
      <c r="H854" t="str">
        <f t="shared" si="26"/>
        <v>https://videplast.com.br/consulta-imobilizado?id=22003023&amp;nome=CILINDRO%20ANILOX%20GRAVADO%20A%20LASER%207BCM</v>
      </c>
      <c r="I854" t="e">
        <f t="shared" ca="1" si="27"/>
        <v>#NAME?</v>
      </c>
    </row>
    <row r="855" spans="1:9" x14ac:dyDescent="0.25">
      <c r="A855" s="2" t="s">
        <v>1307</v>
      </c>
      <c r="B855" s="2" t="s">
        <v>10</v>
      </c>
      <c r="C855" s="3">
        <v>43770</v>
      </c>
      <c r="D855" t="s">
        <v>1308</v>
      </c>
      <c r="E855" s="2" t="s">
        <v>12</v>
      </c>
      <c r="F855" s="2" t="s">
        <v>12</v>
      </c>
      <c r="G855" t="s">
        <v>586</v>
      </c>
      <c r="H855" t="str">
        <f t="shared" si="26"/>
        <v>https://videplast.com.br/consulta-imobilizado?id=22003024&amp;nome=6%20CILINDROS%20PORTA%20CLICHES</v>
      </c>
      <c r="I855" t="e">
        <f t="shared" ca="1" si="27"/>
        <v>#NAME?</v>
      </c>
    </row>
    <row r="856" spans="1:9" x14ac:dyDescent="0.25">
      <c r="A856" s="2" t="s">
        <v>1309</v>
      </c>
      <c r="B856" s="2" t="s">
        <v>10</v>
      </c>
      <c r="C856" s="3">
        <v>43770</v>
      </c>
      <c r="D856" t="s">
        <v>1310</v>
      </c>
      <c r="E856" s="2" t="s">
        <v>12</v>
      </c>
      <c r="F856" s="2" t="s">
        <v>12</v>
      </c>
      <c r="G856" t="s">
        <v>586</v>
      </c>
      <c r="H856" t="str">
        <f t="shared" si="26"/>
        <v>https://videplast.com.br/consulta-imobilizado?id=22003026&amp;nome=4%20CILINDROS%20PORTA%20CLICHE</v>
      </c>
      <c r="I856" t="e">
        <f t="shared" ca="1" si="27"/>
        <v>#NAME?</v>
      </c>
    </row>
    <row r="857" spans="1:9" x14ac:dyDescent="0.25">
      <c r="A857" s="2" t="s">
        <v>1311</v>
      </c>
      <c r="B857" s="2" t="s">
        <v>10</v>
      </c>
      <c r="C857" s="3">
        <v>43770</v>
      </c>
      <c r="D857" t="s">
        <v>1312</v>
      </c>
      <c r="E857" s="2" t="s">
        <v>12</v>
      </c>
      <c r="F857" s="2" t="s">
        <v>12</v>
      </c>
      <c r="G857" t="s">
        <v>586</v>
      </c>
      <c r="H857" t="str">
        <f t="shared" si="26"/>
        <v>https://videplast.com.br/consulta-imobilizado?id=22003028&amp;nome=CILINDRO%20ANILOX%20UCARLOX</v>
      </c>
      <c r="I857" t="e">
        <f t="shared" ca="1" si="27"/>
        <v>#NAME?</v>
      </c>
    </row>
    <row r="858" spans="1:9" x14ac:dyDescent="0.25">
      <c r="A858" s="2" t="s">
        <v>1313</v>
      </c>
      <c r="B858" s="2" t="s">
        <v>10</v>
      </c>
      <c r="C858" s="3">
        <v>43770</v>
      </c>
      <c r="D858" t="s">
        <v>1314</v>
      </c>
      <c r="E858" s="2" t="s">
        <v>12</v>
      </c>
      <c r="F858" s="2" t="s">
        <v>12</v>
      </c>
      <c r="G858" t="s">
        <v>586</v>
      </c>
      <c r="H858" t="str">
        <f t="shared" si="26"/>
        <v>https://videplast.com.br/consulta-imobilizado?id=22003029&amp;nome=17%20CAMISA%20CARBOFLEX</v>
      </c>
      <c r="I858" t="e">
        <f t="shared" ca="1" si="27"/>
        <v>#NAME?</v>
      </c>
    </row>
    <row r="859" spans="1:9" x14ac:dyDescent="0.25">
      <c r="A859" s="2" t="s">
        <v>1315</v>
      </c>
      <c r="B859" s="2" t="s">
        <v>10</v>
      </c>
      <c r="C859" s="3">
        <v>43770</v>
      </c>
      <c r="D859" t="s">
        <v>1316</v>
      </c>
      <c r="E859" s="2" t="s">
        <v>12</v>
      </c>
      <c r="F859" s="2" t="s">
        <v>12</v>
      </c>
      <c r="G859" t="s">
        <v>586</v>
      </c>
      <c r="H859" t="str">
        <f t="shared" si="26"/>
        <v>https://videplast.com.br/consulta-imobilizado?id=22003035&amp;nome=8%20CAMISA%20PORTA%20CLICHE%20PASSO%20500MM</v>
      </c>
      <c r="I859" t="e">
        <f t="shared" ca="1" si="27"/>
        <v>#NAME?</v>
      </c>
    </row>
    <row r="860" spans="1:9" x14ac:dyDescent="0.25">
      <c r="A860" s="2" t="s">
        <v>1317</v>
      </c>
      <c r="B860" s="2" t="s">
        <v>10</v>
      </c>
      <c r="C860" s="3">
        <v>43770</v>
      </c>
      <c r="D860" t="s">
        <v>1318</v>
      </c>
      <c r="E860" s="2" t="s">
        <v>12</v>
      </c>
      <c r="F860" s="2" t="s">
        <v>12</v>
      </c>
      <c r="G860" t="s">
        <v>586</v>
      </c>
      <c r="H860" t="str">
        <f t="shared" si="26"/>
        <v>https://videplast.com.br/consulta-imobilizado?id=22003038&amp;nome=8%20CAMISA%20PORTA%20CLICHE%20CARBOFLEX%20Z110</v>
      </c>
      <c r="I860" t="e">
        <f t="shared" ca="1" si="27"/>
        <v>#NAME?</v>
      </c>
    </row>
    <row r="861" spans="1:9" x14ac:dyDescent="0.25">
      <c r="A861" s="2" t="s">
        <v>1319</v>
      </c>
      <c r="B861" s="2" t="s">
        <v>10</v>
      </c>
      <c r="C861" s="3">
        <v>43770</v>
      </c>
      <c r="D861" t="s">
        <v>1300</v>
      </c>
      <c r="E861" s="2" t="s">
        <v>12</v>
      </c>
      <c r="F861" s="2" t="s">
        <v>12</v>
      </c>
      <c r="G861" t="s">
        <v>586</v>
      </c>
      <c r="H861" t="str">
        <f t="shared" si="26"/>
        <v>https://videplast.com.br/consulta-imobilizado?id=22003040&amp;nome=CILINDRO%20ANILOX%20LASERLIGHT</v>
      </c>
      <c r="I861" t="e">
        <f t="shared" ca="1" si="27"/>
        <v>#NAME?</v>
      </c>
    </row>
    <row r="862" spans="1:9" x14ac:dyDescent="0.25">
      <c r="A862" s="2" t="s">
        <v>1320</v>
      </c>
      <c r="B862" s="2" t="s">
        <v>10</v>
      </c>
      <c r="C862" s="3">
        <v>43770</v>
      </c>
      <c r="D862" t="s">
        <v>1321</v>
      </c>
      <c r="E862" s="2" t="s">
        <v>12</v>
      </c>
      <c r="F862" s="2" t="s">
        <v>12</v>
      </c>
      <c r="G862" t="s">
        <v>586</v>
      </c>
      <c r="H862" t="str">
        <f t="shared" si="26"/>
        <v>https://videplast.com.br/consulta-imobilizado?id=22003044&amp;nome=8%20CAMISA%20PORTA%20CLICHE%20IMPRESSORA%20FLEXOGRAFICA</v>
      </c>
      <c r="I862" t="e">
        <f t="shared" ca="1" si="27"/>
        <v>#NAME?</v>
      </c>
    </row>
    <row r="863" spans="1:9" x14ac:dyDescent="0.25">
      <c r="A863" s="2" t="s">
        <v>1322</v>
      </c>
      <c r="B863" s="2" t="s">
        <v>10</v>
      </c>
      <c r="C863" s="3">
        <v>43770</v>
      </c>
      <c r="D863" t="s">
        <v>1323</v>
      </c>
      <c r="E863" s="2" t="s">
        <v>12</v>
      </c>
      <c r="F863" s="2" t="s">
        <v>12</v>
      </c>
      <c r="G863" t="s">
        <v>586</v>
      </c>
      <c r="H863" t="str">
        <f t="shared" si="26"/>
        <v>https://videplast.com.br/consulta-imobilizado?id=22003045&amp;nome=24%20CAMISA%20PORTA%20CLICHE%20PASSO%20410,%20450%20E%20480MM</v>
      </c>
      <c r="I863" t="e">
        <f t="shared" ca="1" si="27"/>
        <v>#NAME?</v>
      </c>
    </row>
    <row r="864" spans="1:9" x14ac:dyDescent="0.25">
      <c r="A864" s="2" t="s">
        <v>1324</v>
      </c>
      <c r="B864" s="2" t="s">
        <v>10</v>
      </c>
      <c r="C864" s="3">
        <v>43770</v>
      </c>
      <c r="D864" t="s">
        <v>1325</v>
      </c>
      <c r="E864" s="2" t="s">
        <v>12</v>
      </c>
      <c r="F864" s="2" t="s">
        <v>12</v>
      </c>
      <c r="G864" t="s">
        <v>586</v>
      </c>
      <c r="H864" t="str">
        <f t="shared" si="26"/>
        <v>https://videplast.com.br/consulta-imobilizado?id=22003046&amp;nome=4%20CILINDRO%20PORTA%20CLICHE</v>
      </c>
      <c r="I864" t="e">
        <f t="shared" ca="1" si="27"/>
        <v>#NAME?</v>
      </c>
    </row>
    <row r="865" spans="1:9" x14ac:dyDescent="0.25">
      <c r="A865" s="2" t="s">
        <v>1326</v>
      </c>
      <c r="B865" s="2" t="s">
        <v>10</v>
      </c>
      <c r="C865" s="3">
        <v>43770</v>
      </c>
      <c r="D865" t="s">
        <v>1327</v>
      </c>
      <c r="E865" s="2" t="s">
        <v>12</v>
      </c>
      <c r="F865" s="2" t="s">
        <v>12</v>
      </c>
      <c r="G865" t="s">
        <v>586</v>
      </c>
      <c r="H865" t="str">
        <f t="shared" si="26"/>
        <v>https://videplast.com.br/consulta-imobilizado?id=22003052&amp;nome=8%20CAMISA%20PORTA%20CLICHE%20PASSO%20730MM</v>
      </c>
      <c r="I865" t="e">
        <f t="shared" ca="1" si="27"/>
        <v>#NAME?</v>
      </c>
    </row>
    <row r="866" spans="1:9" x14ac:dyDescent="0.25">
      <c r="A866" s="2" t="s">
        <v>1328</v>
      </c>
      <c r="B866" s="2" t="s">
        <v>10</v>
      </c>
      <c r="C866" s="3">
        <v>43770</v>
      </c>
      <c r="D866" t="s">
        <v>1329</v>
      </c>
      <c r="E866" s="2" t="s">
        <v>12</v>
      </c>
      <c r="F866" s="2" t="s">
        <v>12</v>
      </c>
      <c r="G866" t="s">
        <v>586</v>
      </c>
      <c r="H866" t="str">
        <f t="shared" si="26"/>
        <v>https://videplast.com.br/consulta-imobilizado?id=22003053&amp;nome=CILINDRO%20ANILOX</v>
      </c>
      <c r="I866" t="e">
        <f t="shared" ca="1" si="27"/>
        <v>#NAME?</v>
      </c>
    </row>
    <row r="867" spans="1:9" x14ac:dyDescent="0.25">
      <c r="A867" s="2" t="s">
        <v>1330</v>
      </c>
      <c r="B867" s="2" t="s">
        <v>10</v>
      </c>
      <c r="C867" s="3">
        <v>43770</v>
      </c>
      <c r="D867" t="s">
        <v>1331</v>
      </c>
      <c r="E867" s="2" t="s">
        <v>12</v>
      </c>
      <c r="F867" s="2" t="s">
        <v>12</v>
      </c>
      <c r="G867" t="s">
        <v>586</v>
      </c>
      <c r="H867" t="str">
        <f t="shared" si="26"/>
        <v>https://videplast.com.br/consulta-imobilizado?id=22003054&amp;nome=16%20CAMISAS%20PORTA%20CLICHE%20PASSO%20690MM%20CARBOFLEX</v>
      </c>
      <c r="I867" t="e">
        <f t="shared" ca="1" si="27"/>
        <v>#NAME?</v>
      </c>
    </row>
    <row r="868" spans="1:9" x14ac:dyDescent="0.25">
      <c r="A868" s="2" t="s">
        <v>1332</v>
      </c>
      <c r="B868" s="2" t="s">
        <v>10</v>
      </c>
      <c r="C868" s="3">
        <v>43770</v>
      </c>
      <c r="D868" t="s">
        <v>1333</v>
      </c>
      <c r="E868" s="2" t="s">
        <v>12</v>
      </c>
      <c r="F868" s="2" t="s">
        <v>12</v>
      </c>
      <c r="G868" t="s">
        <v>586</v>
      </c>
      <c r="H868" t="str">
        <f t="shared" si="26"/>
        <v>https://videplast.com.br/consulta-imobilizado?id=22003058&amp;nome=6%20CILINDRO%20PORTA%20CLICHE</v>
      </c>
      <c r="I868" t="e">
        <f t="shared" ca="1" si="27"/>
        <v>#NAME?</v>
      </c>
    </row>
    <row r="869" spans="1:9" x14ac:dyDescent="0.25">
      <c r="A869" s="2" t="s">
        <v>1334</v>
      </c>
      <c r="B869" s="2" t="s">
        <v>10</v>
      </c>
      <c r="C869" s="3">
        <v>43770</v>
      </c>
      <c r="D869" t="s">
        <v>1335</v>
      </c>
      <c r="E869" s="2" t="s">
        <v>12</v>
      </c>
      <c r="F869" s="2" t="s">
        <v>1336</v>
      </c>
      <c r="G869" t="s">
        <v>586</v>
      </c>
      <c r="H869" t="str">
        <f t="shared" si="26"/>
        <v>https://videplast.com.br/consulta-imobilizado?id=22003060&amp;nome=CAMISA%20ANILOX%20SLEEVELOX%20ALUMINIO%20240LPC%202,4BCM</v>
      </c>
      <c r="I869" t="e">
        <f t="shared" ca="1" si="27"/>
        <v>#NAME?</v>
      </c>
    </row>
    <row r="870" spans="1:9" x14ac:dyDescent="0.25">
      <c r="A870" s="2" t="s">
        <v>1337</v>
      </c>
      <c r="B870" s="2" t="s">
        <v>10</v>
      </c>
      <c r="C870" s="3">
        <v>43770</v>
      </c>
      <c r="D870" t="s">
        <v>1338</v>
      </c>
      <c r="E870" s="2" t="s">
        <v>12</v>
      </c>
      <c r="F870" s="2" t="s">
        <v>12</v>
      </c>
      <c r="G870" t="s">
        <v>586</v>
      </c>
      <c r="H870" t="str">
        <f t="shared" si="26"/>
        <v>https://videplast.com.br/consulta-imobilizado?id=22003068&amp;nome=33%20CAMISA%20PORTA%20CLICHE</v>
      </c>
      <c r="I870" t="e">
        <f t="shared" ca="1" si="27"/>
        <v>#NAME?</v>
      </c>
    </row>
    <row r="871" spans="1:9" x14ac:dyDescent="0.25">
      <c r="A871" s="2" t="s">
        <v>1339</v>
      </c>
      <c r="B871" s="2" t="s">
        <v>10</v>
      </c>
      <c r="C871" s="3">
        <v>43770</v>
      </c>
      <c r="D871" t="s">
        <v>1340</v>
      </c>
      <c r="E871" s="2" t="s">
        <v>12</v>
      </c>
      <c r="F871" s="2" t="s">
        <v>1341</v>
      </c>
      <c r="G871" t="s">
        <v>586</v>
      </c>
      <c r="H871" t="str">
        <f t="shared" si="26"/>
        <v>https://videplast.com.br/consulta-imobilizado?id=22003073&amp;nome=CAMISA%20ANILOX%20BETA%201200%20GEAR%20LESS%204,5%20BCM</v>
      </c>
      <c r="I871" t="e">
        <f t="shared" ca="1" si="27"/>
        <v>#NAME?</v>
      </c>
    </row>
    <row r="872" spans="1:9" x14ac:dyDescent="0.25">
      <c r="A872" s="2" t="s">
        <v>1342</v>
      </c>
      <c r="B872" s="2" t="s">
        <v>10</v>
      </c>
      <c r="C872" s="3">
        <v>43770</v>
      </c>
      <c r="D872" t="s">
        <v>1343</v>
      </c>
      <c r="E872" s="2" t="s">
        <v>12</v>
      </c>
      <c r="F872" s="2" t="s">
        <v>12</v>
      </c>
      <c r="G872" t="s">
        <v>586</v>
      </c>
      <c r="H872" t="str">
        <f t="shared" si="26"/>
        <v>https://videplast.com.br/consulta-imobilizado?id=22003075&amp;nome=48%20CAMISAS%20PORTA%20CLICHES%20CARBOFLEX</v>
      </c>
      <c r="I872" t="e">
        <f t="shared" ca="1" si="27"/>
        <v>#NAME?</v>
      </c>
    </row>
    <row r="873" spans="1:9" x14ac:dyDescent="0.25">
      <c r="A873" s="2" t="s">
        <v>1342</v>
      </c>
      <c r="B873" s="2" t="s">
        <v>26</v>
      </c>
      <c r="C873" s="3">
        <v>45499</v>
      </c>
      <c r="D873" t="s">
        <v>1344</v>
      </c>
      <c r="E873" s="2" t="s">
        <v>12</v>
      </c>
      <c r="F873" s="2" t="s">
        <v>12</v>
      </c>
      <c r="G873" t="s">
        <v>586</v>
      </c>
      <c r="H873" t="str">
        <f t="shared" si="26"/>
        <v>https://videplast.com.br/consulta-imobilizado?id=22003075&amp;nome=FRETE%20DE%20CAMISAS%20PORTACLICHES</v>
      </c>
      <c r="I873" t="e">
        <f t="shared" ca="1" si="27"/>
        <v>#NAME?</v>
      </c>
    </row>
    <row r="874" spans="1:9" x14ac:dyDescent="0.25">
      <c r="A874" s="2" t="s">
        <v>1345</v>
      </c>
      <c r="B874" s="2" t="s">
        <v>10</v>
      </c>
      <c r="C874" s="3">
        <v>43791</v>
      </c>
      <c r="D874" t="s">
        <v>1346</v>
      </c>
      <c r="E874" s="2" t="s">
        <v>12</v>
      </c>
      <c r="F874" s="2" t="s">
        <v>12</v>
      </c>
      <c r="G874" t="s">
        <v>586</v>
      </c>
      <c r="H874" t="str">
        <f t="shared" si="26"/>
        <v>https://videplast.com.br/consulta-imobilizado?id=22003112&amp;nome=CAMISA%20PORTA%20CLICHE%20PASSO%20570MM</v>
      </c>
      <c r="I874" t="e">
        <f t="shared" ca="1" si="27"/>
        <v>#NAME?</v>
      </c>
    </row>
    <row r="875" spans="1:9" x14ac:dyDescent="0.25">
      <c r="A875" s="2" t="s">
        <v>1347</v>
      </c>
      <c r="B875" s="2" t="s">
        <v>10</v>
      </c>
      <c r="C875" s="3">
        <v>43791</v>
      </c>
      <c r="D875" t="s">
        <v>1346</v>
      </c>
      <c r="E875" s="2" t="s">
        <v>12</v>
      </c>
      <c r="F875" s="2" t="s">
        <v>12</v>
      </c>
      <c r="G875" t="s">
        <v>586</v>
      </c>
      <c r="H875" t="str">
        <f t="shared" si="26"/>
        <v>https://videplast.com.br/consulta-imobilizado?id=22003113&amp;nome=CAMISA%20PORTA%20CLICHE%20PASSO%20570MM</v>
      </c>
      <c r="I875" t="e">
        <f t="shared" ca="1" si="27"/>
        <v>#NAME?</v>
      </c>
    </row>
    <row r="876" spans="1:9" x14ac:dyDescent="0.25">
      <c r="A876" s="2" t="s">
        <v>1348</v>
      </c>
      <c r="B876" s="2" t="s">
        <v>10</v>
      </c>
      <c r="C876" s="3">
        <v>43791</v>
      </c>
      <c r="D876" t="s">
        <v>1346</v>
      </c>
      <c r="E876" s="2" t="s">
        <v>12</v>
      </c>
      <c r="F876" s="2" t="s">
        <v>12</v>
      </c>
      <c r="G876" t="s">
        <v>586</v>
      </c>
      <c r="H876" t="str">
        <f t="shared" si="26"/>
        <v>https://videplast.com.br/consulta-imobilizado?id=22003114&amp;nome=CAMISA%20PORTA%20CLICHE%20PASSO%20570MM</v>
      </c>
      <c r="I876" t="e">
        <f t="shared" ca="1" si="27"/>
        <v>#NAME?</v>
      </c>
    </row>
    <row r="877" spans="1:9" x14ac:dyDescent="0.25">
      <c r="A877" s="2" t="s">
        <v>1349</v>
      </c>
      <c r="B877" s="2" t="s">
        <v>10</v>
      </c>
      <c r="C877" s="3">
        <v>43791</v>
      </c>
      <c r="D877" t="s">
        <v>1346</v>
      </c>
      <c r="E877" s="2" t="s">
        <v>12</v>
      </c>
      <c r="F877" s="2" t="s">
        <v>12</v>
      </c>
      <c r="G877" t="s">
        <v>586</v>
      </c>
      <c r="H877" t="str">
        <f t="shared" si="26"/>
        <v>https://videplast.com.br/consulta-imobilizado?id=22003115&amp;nome=CAMISA%20PORTA%20CLICHE%20PASSO%20570MM</v>
      </c>
      <c r="I877" t="e">
        <f t="shared" ca="1" si="27"/>
        <v>#NAME?</v>
      </c>
    </row>
    <row r="878" spans="1:9" x14ac:dyDescent="0.25">
      <c r="A878" s="2" t="s">
        <v>1350</v>
      </c>
      <c r="B878" s="2" t="s">
        <v>10</v>
      </c>
      <c r="C878" s="3">
        <v>43791</v>
      </c>
      <c r="D878" t="s">
        <v>1346</v>
      </c>
      <c r="E878" s="2" t="s">
        <v>12</v>
      </c>
      <c r="F878" s="2" t="s">
        <v>12</v>
      </c>
      <c r="G878" t="s">
        <v>586</v>
      </c>
      <c r="H878" t="str">
        <f t="shared" si="26"/>
        <v>https://videplast.com.br/consulta-imobilizado?id=22003116&amp;nome=CAMISA%20PORTA%20CLICHE%20PASSO%20570MM</v>
      </c>
      <c r="I878" t="e">
        <f t="shared" ca="1" si="27"/>
        <v>#NAME?</v>
      </c>
    </row>
    <row r="879" spans="1:9" x14ac:dyDescent="0.25">
      <c r="A879" s="2" t="s">
        <v>1351</v>
      </c>
      <c r="B879" s="2" t="s">
        <v>10</v>
      </c>
      <c r="C879" s="3">
        <v>43791</v>
      </c>
      <c r="D879" t="s">
        <v>1346</v>
      </c>
      <c r="E879" s="2" t="s">
        <v>12</v>
      </c>
      <c r="F879" s="2" t="s">
        <v>12</v>
      </c>
      <c r="G879" t="s">
        <v>586</v>
      </c>
      <c r="H879" t="str">
        <f t="shared" si="26"/>
        <v>https://videplast.com.br/consulta-imobilizado?id=22003117&amp;nome=CAMISA%20PORTA%20CLICHE%20PASSO%20570MM</v>
      </c>
      <c r="I879" t="e">
        <f t="shared" ca="1" si="27"/>
        <v>#NAME?</v>
      </c>
    </row>
    <row r="880" spans="1:9" x14ac:dyDescent="0.25">
      <c r="A880" s="2" t="s">
        <v>1352</v>
      </c>
      <c r="B880" s="2" t="s">
        <v>10</v>
      </c>
      <c r="C880" s="3">
        <v>43791</v>
      </c>
      <c r="D880" t="s">
        <v>1346</v>
      </c>
      <c r="E880" s="2" t="s">
        <v>12</v>
      </c>
      <c r="F880" s="2" t="s">
        <v>12</v>
      </c>
      <c r="G880" t="s">
        <v>586</v>
      </c>
      <c r="H880" t="str">
        <f t="shared" si="26"/>
        <v>https://videplast.com.br/consulta-imobilizado?id=22003118&amp;nome=CAMISA%20PORTA%20CLICHE%20PASSO%20570MM</v>
      </c>
      <c r="I880" t="e">
        <f t="shared" ca="1" si="27"/>
        <v>#NAME?</v>
      </c>
    </row>
    <row r="881" spans="1:9" x14ac:dyDescent="0.25">
      <c r="A881" s="2" t="s">
        <v>1353</v>
      </c>
      <c r="B881" s="2" t="s">
        <v>10</v>
      </c>
      <c r="C881" s="3">
        <v>43791</v>
      </c>
      <c r="D881" t="s">
        <v>1346</v>
      </c>
      <c r="E881" s="2" t="s">
        <v>12</v>
      </c>
      <c r="F881" s="2" t="s">
        <v>12</v>
      </c>
      <c r="G881" t="s">
        <v>586</v>
      </c>
      <c r="H881" t="str">
        <f t="shared" si="26"/>
        <v>https://videplast.com.br/consulta-imobilizado?id=22003119&amp;nome=CAMISA%20PORTA%20CLICHE%20PASSO%20570MM</v>
      </c>
      <c r="I881" t="e">
        <f t="shared" ca="1" si="27"/>
        <v>#NAME?</v>
      </c>
    </row>
    <row r="882" spans="1:9" x14ac:dyDescent="0.25">
      <c r="A882" s="2" t="s">
        <v>1354</v>
      </c>
      <c r="B882" s="2" t="s">
        <v>10</v>
      </c>
      <c r="C882" s="3">
        <v>43791</v>
      </c>
      <c r="D882" t="s">
        <v>1355</v>
      </c>
      <c r="E882" s="2" t="s">
        <v>12</v>
      </c>
      <c r="F882" s="2" t="s">
        <v>12</v>
      </c>
      <c r="G882" t="s">
        <v>586</v>
      </c>
      <c r="H882" t="str">
        <f t="shared" si="26"/>
        <v>https://videplast.com.br/consulta-imobilizado?id=22003120&amp;nome=CAMISA%20PORTA%20CLICHE%20PASSO%20820MM</v>
      </c>
      <c r="I882" t="e">
        <f t="shared" ca="1" si="27"/>
        <v>#NAME?</v>
      </c>
    </row>
    <row r="883" spans="1:9" x14ac:dyDescent="0.25">
      <c r="A883" s="2" t="s">
        <v>1356</v>
      </c>
      <c r="B883" s="2" t="s">
        <v>10</v>
      </c>
      <c r="C883" s="3">
        <v>43791</v>
      </c>
      <c r="D883" t="s">
        <v>1355</v>
      </c>
      <c r="E883" s="2" t="s">
        <v>12</v>
      </c>
      <c r="F883" s="2" t="s">
        <v>12</v>
      </c>
      <c r="G883" t="s">
        <v>586</v>
      </c>
      <c r="H883" t="str">
        <f t="shared" si="26"/>
        <v>https://videplast.com.br/consulta-imobilizado?id=22003121&amp;nome=CAMISA%20PORTA%20CLICHE%20PASSO%20820MM</v>
      </c>
      <c r="I883" t="e">
        <f t="shared" ca="1" si="27"/>
        <v>#NAME?</v>
      </c>
    </row>
    <row r="884" spans="1:9" x14ac:dyDescent="0.25">
      <c r="A884" s="2" t="s">
        <v>1357</v>
      </c>
      <c r="B884" s="2" t="s">
        <v>10</v>
      </c>
      <c r="C884" s="3">
        <v>43791</v>
      </c>
      <c r="D884" t="s">
        <v>1355</v>
      </c>
      <c r="E884" s="2" t="s">
        <v>12</v>
      </c>
      <c r="F884" s="2" t="s">
        <v>12</v>
      </c>
      <c r="G884" t="s">
        <v>586</v>
      </c>
      <c r="H884" t="str">
        <f t="shared" si="26"/>
        <v>https://videplast.com.br/consulta-imobilizado?id=22003122&amp;nome=CAMISA%20PORTA%20CLICHE%20PASSO%20820MM</v>
      </c>
      <c r="I884" t="e">
        <f t="shared" ca="1" si="27"/>
        <v>#NAME?</v>
      </c>
    </row>
    <row r="885" spans="1:9" x14ac:dyDescent="0.25">
      <c r="A885" s="2" t="s">
        <v>1358</v>
      </c>
      <c r="B885" s="2" t="s">
        <v>10</v>
      </c>
      <c r="C885" s="3">
        <v>43791</v>
      </c>
      <c r="D885" t="s">
        <v>1057</v>
      </c>
      <c r="E885" s="2" t="s">
        <v>12</v>
      </c>
      <c r="F885" s="2" t="s">
        <v>12</v>
      </c>
      <c r="G885" t="s">
        <v>586</v>
      </c>
      <c r="H885" t="str">
        <f t="shared" si="26"/>
        <v>https://videplast.com.br/consulta-imobilizado?id=22003123&amp;nome=CAMISA%20PORTA%20CLICHE%20PASSO%20800MM</v>
      </c>
      <c r="I885" t="e">
        <f t="shared" ca="1" si="27"/>
        <v>#NAME?</v>
      </c>
    </row>
    <row r="886" spans="1:9" x14ac:dyDescent="0.25">
      <c r="A886" s="2" t="s">
        <v>1359</v>
      </c>
      <c r="B886" s="2" t="s">
        <v>10</v>
      </c>
      <c r="C886" s="3">
        <v>43791</v>
      </c>
      <c r="D886" t="s">
        <v>1057</v>
      </c>
      <c r="E886" s="2" t="s">
        <v>12</v>
      </c>
      <c r="F886" s="2" t="s">
        <v>12</v>
      </c>
      <c r="G886" t="s">
        <v>586</v>
      </c>
      <c r="H886" t="str">
        <f t="shared" si="26"/>
        <v>https://videplast.com.br/consulta-imobilizado?id=22003124&amp;nome=CAMISA%20PORTA%20CLICHE%20PASSO%20800MM</v>
      </c>
      <c r="I886" t="e">
        <f t="shared" ca="1" si="27"/>
        <v>#NAME?</v>
      </c>
    </row>
    <row r="887" spans="1:9" x14ac:dyDescent="0.25">
      <c r="A887" s="2" t="s">
        <v>1360</v>
      </c>
      <c r="B887" s="2" t="s">
        <v>10</v>
      </c>
      <c r="C887" s="3">
        <v>43791</v>
      </c>
      <c r="D887" t="s">
        <v>1057</v>
      </c>
      <c r="E887" s="2" t="s">
        <v>12</v>
      </c>
      <c r="F887" s="2" t="s">
        <v>12</v>
      </c>
      <c r="G887" t="s">
        <v>586</v>
      </c>
      <c r="H887" t="str">
        <f t="shared" si="26"/>
        <v>https://videplast.com.br/consulta-imobilizado?id=22003125&amp;nome=CAMISA%20PORTA%20CLICHE%20PASSO%20800MM</v>
      </c>
      <c r="I887" t="e">
        <f t="shared" ca="1" si="27"/>
        <v>#NAME?</v>
      </c>
    </row>
    <row r="888" spans="1:9" x14ac:dyDescent="0.25">
      <c r="A888" s="2" t="s">
        <v>1361</v>
      </c>
      <c r="B888" s="2" t="s">
        <v>10</v>
      </c>
      <c r="C888" s="3">
        <v>43791</v>
      </c>
      <c r="D888" t="s">
        <v>1057</v>
      </c>
      <c r="E888" s="2" t="s">
        <v>12</v>
      </c>
      <c r="F888" s="2" t="s">
        <v>12</v>
      </c>
      <c r="G888" t="s">
        <v>586</v>
      </c>
      <c r="H888" t="str">
        <f t="shared" si="26"/>
        <v>https://videplast.com.br/consulta-imobilizado?id=22003126&amp;nome=CAMISA%20PORTA%20CLICHE%20PASSO%20800MM</v>
      </c>
      <c r="I888" t="e">
        <f t="shared" ca="1" si="27"/>
        <v>#NAME?</v>
      </c>
    </row>
    <row r="889" spans="1:9" x14ac:dyDescent="0.25">
      <c r="A889" s="2" t="s">
        <v>1362</v>
      </c>
      <c r="B889" s="2" t="s">
        <v>10</v>
      </c>
      <c r="C889" s="3">
        <v>43865</v>
      </c>
      <c r="D889" t="s">
        <v>402</v>
      </c>
      <c r="E889" s="2" t="s">
        <v>12</v>
      </c>
      <c r="F889" s="2" t="s">
        <v>12</v>
      </c>
      <c r="G889" t="s">
        <v>586</v>
      </c>
      <c r="H889" t="str">
        <f t="shared" si="26"/>
        <v>https://videplast.com.br/consulta-imobilizado?id=22003132&amp;nome=CAMISA%20CARBOLOX%20BL%20121,074%20X%20149,606%20X%20890MM</v>
      </c>
      <c r="I889" t="e">
        <f t="shared" ca="1" si="27"/>
        <v>#NAME?</v>
      </c>
    </row>
    <row r="890" spans="1:9" x14ac:dyDescent="0.25">
      <c r="A890" s="2" t="s">
        <v>1363</v>
      </c>
      <c r="B890" s="2" t="s">
        <v>10</v>
      </c>
      <c r="C890" s="3">
        <v>43865</v>
      </c>
      <c r="D890" t="s">
        <v>402</v>
      </c>
      <c r="E890" s="2" t="s">
        <v>12</v>
      </c>
      <c r="F890" s="2" t="s">
        <v>12</v>
      </c>
      <c r="G890" t="s">
        <v>586</v>
      </c>
      <c r="H890" t="str">
        <f t="shared" si="26"/>
        <v>https://videplast.com.br/consulta-imobilizado?id=22003134&amp;nome=CAMISA%20CARBOLOX%20BL%20121,074%20X%20149,606%20X%20890MM</v>
      </c>
      <c r="I890" t="e">
        <f t="shared" ca="1" si="27"/>
        <v>#NAME?</v>
      </c>
    </row>
    <row r="891" spans="1:9" x14ac:dyDescent="0.25">
      <c r="A891" s="2" t="s">
        <v>1364</v>
      </c>
      <c r="B891" s="2" t="s">
        <v>10</v>
      </c>
      <c r="C891" s="3">
        <v>43851</v>
      </c>
      <c r="D891" t="s">
        <v>1365</v>
      </c>
      <c r="E891" s="2" t="s">
        <v>12</v>
      </c>
      <c r="F891" s="2" t="s">
        <v>12</v>
      </c>
      <c r="G891" t="s">
        <v>586</v>
      </c>
      <c r="H891" t="str">
        <f t="shared" si="26"/>
        <v>https://videplast.com.br/consulta-imobilizado?id=22003135&amp;nome=CAMISA%20PORTA%20CLICHE%20PASSO%204200MM</v>
      </c>
      <c r="I891" t="e">
        <f t="shared" ca="1" si="27"/>
        <v>#NAME?</v>
      </c>
    </row>
    <row r="892" spans="1:9" x14ac:dyDescent="0.25">
      <c r="A892" s="2" t="s">
        <v>1366</v>
      </c>
      <c r="B892" s="2" t="s">
        <v>10</v>
      </c>
      <c r="C892" s="3">
        <v>43851</v>
      </c>
      <c r="D892" t="s">
        <v>1365</v>
      </c>
      <c r="E892" s="2" t="s">
        <v>12</v>
      </c>
      <c r="F892" s="2" t="s">
        <v>12</v>
      </c>
      <c r="G892" t="s">
        <v>586</v>
      </c>
      <c r="H892" t="str">
        <f t="shared" si="26"/>
        <v>https://videplast.com.br/consulta-imobilizado?id=22003136&amp;nome=CAMISA%20PORTA%20CLICHE%20PASSO%204200MM</v>
      </c>
      <c r="I892" t="e">
        <f t="shared" ca="1" si="27"/>
        <v>#NAME?</v>
      </c>
    </row>
    <row r="893" spans="1:9" x14ac:dyDescent="0.25">
      <c r="A893" s="2" t="s">
        <v>1367</v>
      </c>
      <c r="B893" s="2" t="s">
        <v>10</v>
      </c>
      <c r="C893" s="3">
        <v>43851</v>
      </c>
      <c r="D893" t="s">
        <v>1365</v>
      </c>
      <c r="E893" s="2" t="s">
        <v>12</v>
      </c>
      <c r="F893" s="2" t="s">
        <v>12</v>
      </c>
      <c r="G893" t="s">
        <v>586</v>
      </c>
      <c r="H893" t="str">
        <f t="shared" si="26"/>
        <v>https://videplast.com.br/consulta-imobilizado?id=22003137&amp;nome=CAMISA%20PORTA%20CLICHE%20PASSO%204200MM</v>
      </c>
      <c r="I893" t="e">
        <f t="shared" ca="1" si="27"/>
        <v>#NAME?</v>
      </c>
    </row>
    <row r="894" spans="1:9" x14ac:dyDescent="0.25">
      <c r="A894" s="2" t="s">
        <v>1368</v>
      </c>
      <c r="B894" s="2" t="s">
        <v>10</v>
      </c>
      <c r="C894" s="3">
        <v>43851</v>
      </c>
      <c r="D894" t="s">
        <v>1365</v>
      </c>
      <c r="E894" s="2" t="s">
        <v>12</v>
      </c>
      <c r="F894" s="2" t="s">
        <v>12</v>
      </c>
      <c r="G894" t="s">
        <v>586</v>
      </c>
      <c r="H894" t="str">
        <f t="shared" si="26"/>
        <v>https://videplast.com.br/consulta-imobilizado?id=22003138&amp;nome=CAMISA%20PORTA%20CLICHE%20PASSO%204200MM</v>
      </c>
      <c r="I894" t="e">
        <f t="shared" ca="1" si="27"/>
        <v>#NAME?</v>
      </c>
    </row>
    <row r="895" spans="1:9" x14ac:dyDescent="0.25">
      <c r="A895" s="2" t="s">
        <v>1369</v>
      </c>
      <c r="B895" s="2" t="s">
        <v>10</v>
      </c>
      <c r="C895" s="3">
        <v>43851</v>
      </c>
      <c r="D895" t="s">
        <v>1365</v>
      </c>
      <c r="E895" s="2" t="s">
        <v>12</v>
      </c>
      <c r="F895" s="2" t="s">
        <v>12</v>
      </c>
      <c r="G895" t="s">
        <v>586</v>
      </c>
      <c r="H895" t="str">
        <f t="shared" si="26"/>
        <v>https://videplast.com.br/consulta-imobilizado?id=22003139&amp;nome=CAMISA%20PORTA%20CLICHE%20PASSO%204200MM</v>
      </c>
      <c r="I895" t="e">
        <f t="shared" ca="1" si="27"/>
        <v>#NAME?</v>
      </c>
    </row>
    <row r="896" spans="1:9" x14ac:dyDescent="0.25">
      <c r="A896" s="2" t="s">
        <v>1370</v>
      </c>
      <c r="B896" s="2" t="s">
        <v>10</v>
      </c>
      <c r="C896" s="3">
        <v>43851</v>
      </c>
      <c r="D896" t="s">
        <v>1365</v>
      </c>
      <c r="E896" s="2" t="s">
        <v>12</v>
      </c>
      <c r="F896" s="2" t="s">
        <v>12</v>
      </c>
      <c r="G896" t="s">
        <v>586</v>
      </c>
      <c r="H896" t="str">
        <f t="shared" si="26"/>
        <v>https://videplast.com.br/consulta-imobilizado?id=22003140&amp;nome=CAMISA%20PORTA%20CLICHE%20PASSO%204200MM</v>
      </c>
      <c r="I896" t="e">
        <f t="shared" ca="1" si="27"/>
        <v>#NAME?</v>
      </c>
    </row>
    <row r="897" spans="1:9" x14ac:dyDescent="0.25">
      <c r="A897" s="2" t="s">
        <v>1371</v>
      </c>
      <c r="B897" s="2" t="s">
        <v>10</v>
      </c>
      <c r="C897" s="3">
        <v>43851</v>
      </c>
      <c r="D897" t="s">
        <v>1365</v>
      </c>
      <c r="E897" s="2" t="s">
        <v>12</v>
      </c>
      <c r="F897" s="2" t="s">
        <v>12</v>
      </c>
      <c r="G897" t="s">
        <v>586</v>
      </c>
      <c r="H897" t="str">
        <f t="shared" si="26"/>
        <v>https://videplast.com.br/consulta-imobilizado?id=22003141&amp;nome=CAMISA%20PORTA%20CLICHE%20PASSO%204200MM</v>
      </c>
      <c r="I897" t="e">
        <f t="shared" ca="1" si="27"/>
        <v>#NAME?</v>
      </c>
    </row>
    <row r="898" spans="1:9" x14ac:dyDescent="0.25">
      <c r="A898" s="2" t="s">
        <v>1372</v>
      </c>
      <c r="B898" s="2" t="s">
        <v>10</v>
      </c>
      <c r="C898" s="3">
        <v>43851</v>
      </c>
      <c r="D898" t="s">
        <v>1365</v>
      </c>
      <c r="E898" s="2" t="s">
        <v>12</v>
      </c>
      <c r="F898" s="2" t="s">
        <v>12</v>
      </c>
      <c r="G898" t="s">
        <v>586</v>
      </c>
      <c r="H898" t="str">
        <f t="shared" ref="H898:H961" si="28" xml:space="preserve"> "https://videplast.com.br/consulta-imobilizado?id=" &amp; A898 &amp; "&amp;nome=" &amp; SUBSTITUTE(D898, " ", "%20")</f>
        <v>https://videplast.com.br/consulta-imobilizado?id=22003142&amp;nome=CAMISA%20PORTA%20CLICHE%20PASSO%204200MM</v>
      </c>
      <c r="I898" t="e">
        <f t="shared" ref="I898:I961" ca="1" si="29">_xlfn.IMAGE("https://chart.googleapis.com/chart?chs=150x150&amp;cht=qr&amp;chl=" &amp; H898)</f>
        <v>#NAME?</v>
      </c>
    </row>
    <row r="899" spans="1:9" x14ac:dyDescent="0.25">
      <c r="A899" s="2" t="s">
        <v>1373</v>
      </c>
      <c r="B899" s="2" t="s">
        <v>10</v>
      </c>
      <c r="C899" s="3">
        <v>43887</v>
      </c>
      <c r="D899" t="s">
        <v>1217</v>
      </c>
      <c r="E899" s="2" t="s">
        <v>12</v>
      </c>
      <c r="F899" s="2" t="s">
        <v>12</v>
      </c>
      <c r="G899" t="s">
        <v>586</v>
      </c>
      <c r="H899" t="str">
        <f t="shared" si="28"/>
        <v>https://videplast.com.br/consulta-imobilizado?id=22003161&amp;nome=CAMISA%20CARBOLOX%20BL%20136,989%20X%20159,155%20X%201346MM</v>
      </c>
      <c r="I899" t="e">
        <f t="shared" ca="1" si="29"/>
        <v>#NAME?</v>
      </c>
    </row>
    <row r="900" spans="1:9" x14ac:dyDescent="0.25">
      <c r="A900" s="2" t="s">
        <v>1374</v>
      </c>
      <c r="B900" s="2" t="s">
        <v>10</v>
      </c>
      <c r="C900" s="3">
        <v>43822</v>
      </c>
      <c r="D900" t="s">
        <v>930</v>
      </c>
      <c r="E900" s="2" t="s">
        <v>12</v>
      </c>
      <c r="F900" s="2" t="s">
        <v>12</v>
      </c>
      <c r="G900" t="s">
        <v>586</v>
      </c>
      <c r="H900" t="str">
        <f t="shared" si="28"/>
        <v>https://videplast.com.br/consulta-imobilizado?id=22003220&amp;nome=CAMISA%20PORTA%20CLICHE%20CARBOLOX%20BL%20121,074X149,606</v>
      </c>
      <c r="I900" t="e">
        <f t="shared" ca="1" si="29"/>
        <v>#NAME?</v>
      </c>
    </row>
    <row r="901" spans="1:9" x14ac:dyDescent="0.25">
      <c r="A901" s="2" t="s">
        <v>1375</v>
      </c>
      <c r="B901" s="2" t="s">
        <v>10</v>
      </c>
      <c r="C901" s="3">
        <v>43822</v>
      </c>
      <c r="D901" t="s">
        <v>930</v>
      </c>
      <c r="E901" s="2" t="s">
        <v>12</v>
      </c>
      <c r="F901" s="2" t="s">
        <v>12</v>
      </c>
      <c r="G901" t="s">
        <v>586</v>
      </c>
      <c r="H901" t="str">
        <f t="shared" si="28"/>
        <v>https://videplast.com.br/consulta-imobilizado?id=22003221&amp;nome=CAMISA%20PORTA%20CLICHE%20CARBOLOX%20BL%20121,074X149,606</v>
      </c>
      <c r="I901" t="e">
        <f t="shared" ca="1" si="29"/>
        <v>#NAME?</v>
      </c>
    </row>
    <row r="902" spans="1:9" x14ac:dyDescent="0.25">
      <c r="A902" s="2" t="s">
        <v>1376</v>
      </c>
      <c r="B902" s="2" t="s">
        <v>10</v>
      </c>
      <c r="C902" s="3">
        <v>43971</v>
      </c>
      <c r="D902" t="s">
        <v>1130</v>
      </c>
      <c r="E902" s="2" t="s">
        <v>12</v>
      </c>
      <c r="F902" s="2" t="s">
        <v>12</v>
      </c>
      <c r="G902" t="s">
        <v>586</v>
      </c>
      <c r="H902" t="str">
        <f t="shared" si="28"/>
        <v>https://videplast.com.br/consulta-imobilizado?id=22003257&amp;nome=CAMISA%20PORTA%20CLICHE%20PASSO%20490MM</v>
      </c>
      <c r="I902" t="e">
        <f t="shared" ca="1" si="29"/>
        <v>#NAME?</v>
      </c>
    </row>
    <row r="903" spans="1:9" x14ac:dyDescent="0.25">
      <c r="A903" s="2" t="s">
        <v>1377</v>
      </c>
      <c r="B903" s="2" t="s">
        <v>10</v>
      </c>
      <c r="C903" s="3">
        <v>43971</v>
      </c>
      <c r="D903" t="s">
        <v>1130</v>
      </c>
      <c r="E903" s="2" t="s">
        <v>12</v>
      </c>
      <c r="F903" s="2" t="s">
        <v>12</v>
      </c>
      <c r="G903" t="s">
        <v>586</v>
      </c>
      <c r="H903" t="str">
        <f t="shared" si="28"/>
        <v>https://videplast.com.br/consulta-imobilizado?id=22003258&amp;nome=CAMISA%20PORTA%20CLICHE%20PASSO%20490MM</v>
      </c>
      <c r="I903" t="e">
        <f t="shared" ca="1" si="29"/>
        <v>#NAME?</v>
      </c>
    </row>
    <row r="904" spans="1:9" x14ac:dyDescent="0.25">
      <c r="A904" s="2" t="s">
        <v>1378</v>
      </c>
      <c r="B904" s="2" t="s">
        <v>10</v>
      </c>
      <c r="C904" s="3">
        <v>43971</v>
      </c>
      <c r="D904" t="s">
        <v>1130</v>
      </c>
      <c r="E904" s="2" t="s">
        <v>12</v>
      </c>
      <c r="F904" s="2" t="s">
        <v>12</v>
      </c>
      <c r="G904" t="s">
        <v>586</v>
      </c>
      <c r="H904" t="str">
        <f t="shared" si="28"/>
        <v>https://videplast.com.br/consulta-imobilizado?id=22003259&amp;nome=CAMISA%20PORTA%20CLICHE%20PASSO%20490MM</v>
      </c>
      <c r="I904" t="e">
        <f t="shared" ca="1" si="29"/>
        <v>#NAME?</v>
      </c>
    </row>
    <row r="905" spans="1:9" x14ac:dyDescent="0.25">
      <c r="A905" s="2" t="s">
        <v>1379</v>
      </c>
      <c r="B905" s="2" t="s">
        <v>10</v>
      </c>
      <c r="C905" s="3">
        <v>43971</v>
      </c>
      <c r="D905" t="s">
        <v>1130</v>
      </c>
      <c r="E905" s="2" t="s">
        <v>12</v>
      </c>
      <c r="F905" s="2" t="s">
        <v>12</v>
      </c>
      <c r="G905" t="s">
        <v>586</v>
      </c>
      <c r="H905" t="str">
        <f t="shared" si="28"/>
        <v>https://videplast.com.br/consulta-imobilizado?id=22003260&amp;nome=CAMISA%20PORTA%20CLICHE%20PASSO%20490MM</v>
      </c>
      <c r="I905" t="e">
        <f t="shared" ca="1" si="29"/>
        <v>#NAME?</v>
      </c>
    </row>
    <row r="906" spans="1:9" x14ac:dyDescent="0.25">
      <c r="A906" s="2" t="s">
        <v>1380</v>
      </c>
      <c r="B906" s="2" t="s">
        <v>10</v>
      </c>
      <c r="C906" s="3">
        <v>43971</v>
      </c>
      <c r="D906" t="s">
        <v>1130</v>
      </c>
      <c r="E906" s="2" t="s">
        <v>12</v>
      </c>
      <c r="F906" s="2" t="s">
        <v>12</v>
      </c>
      <c r="G906" t="s">
        <v>586</v>
      </c>
      <c r="H906" t="str">
        <f t="shared" si="28"/>
        <v>https://videplast.com.br/consulta-imobilizado?id=22003261&amp;nome=CAMISA%20PORTA%20CLICHE%20PASSO%20490MM</v>
      </c>
      <c r="I906" t="e">
        <f t="shared" ca="1" si="29"/>
        <v>#NAME?</v>
      </c>
    </row>
    <row r="907" spans="1:9" x14ac:dyDescent="0.25">
      <c r="A907" s="2" t="s">
        <v>1381</v>
      </c>
      <c r="B907" s="2" t="s">
        <v>10</v>
      </c>
      <c r="C907" s="3">
        <v>43971</v>
      </c>
      <c r="D907" t="s">
        <v>1130</v>
      </c>
      <c r="E907" s="2" t="s">
        <v>12</v>
      </c>
      <c r="F907" s="2" t="s">
        <v>12</v>
      </c>
      <c r="G907" t="s">
        <v>586</v>
      </c>
      <c r="H907" t="str">
        <f t="shared" si="28"/>
        <v>https://videplast.com.br/consulta-imobilizado?id=22003262&amp;nome=CAMISA%20PORTA%20CLICHE%20PASSO%20490MM</v>
      </c>
      <c r="I907" t="e">
        <f t="shared" ca="1" si="29"/>
        <v>#NAME?</v>
      </c>
    </row>
    <row r="908" spans="1:9" x14ac:dyDescent="0.25">
      <c r="A908" s="2" t="s">
        <v>1382</v>
      </c>
      <c r="B908" s="2" t="s">
        <v>10</v>
      </c>
      <c r="C908" s="3">
        <v>43971</v>
      </c>
      <c r="D908" t="s">
        <v>1130</v>
      </c>
      <c r="E908" s="2" t="s">
        <v>12</v>
      </c>
      <c r="F908" s="2" t="s">
        <v>12</v>
      </c>
      <c r="G908" t="s">
        <v>586</v>
      </c>
      <c r="H908" t="str">
        <f t="shared" si="28"/>
        <v>https://videplast.com.br/consulta-imobilizado?id=22003263&amp;nome=CAMISA%20PORTA%20CLICHE%20PASSO%20490MM</v>
      </c>
      <c r="I908" t="e">
        <f t="shared" ca="1" si="29"/>
        <v>#NAME?</v>
      </c>
    </row>
    <row r="909" spans="1:9" x14ac:dyDescent="0.25">
      <c r="A909" s="2" t="s">
        <v>1383</v>
      </c>
      <c r="B909" s="2" t="s">
        <v>10</v>
      </c>
      <c r="C909" s="3">
        <v>43971</v>
      </c>
      <c r="D909" t="s">
        <v>1130</v>
      </c>
      <c r="E909" s="2" t="s">
        <v>12</v>
      </c>
      <c r="F909" s="2" t="s">
        <v>12</v>
      </c>
      <c r="G909" t="s">
        <v>586</v>
      </c>
      <c r="H909" t="str">
        <f t="shared" si="28"/>
        <v>https://videplast.com.br/consulta-imobilizado?id=22003264&amp;nome=CAMISA%20PORTA%20CLICHE%20PASSO%20490MM</v>
      </c>
      <c r="I909" t="e">
        <f t="shared" ca="1" si="29"/>
        <v>#NAME?</v>
      </c>
    </row>
    <row r="910" spans="1:9" x14ac:dyDescent="0.25">
      <c r="A910" s="2" t="s">
        <v>1384</v>
      </c>
      <c r="B910" s="2" t="s">
        <v>10</v>
      </c>
      <c r="C910" s="3">
        <v>43862</v>
      </c>
      <c r="D910" t="s">
        <v>1385</v>
      </c>
      <c r="E910" s="2" t="s">
        <v>12</v>
      </c>
      <c r="F910" s="2" t="s">
        <v>12</v>
      </c>
      <c r="G910" t="s">
        <v>586</v>
      </c>
      <c r="H910" t="str">
        <f t="shared" si="28"/>
        <v>https://videplast.com.br/consulta-imobilizado?id=22003299&amp;nome=8%20CAMISA%20PORTA%20CLICHE%20SIGMA%20P1620</v>
      </c>
      <c r="I910" t="e">
        <f t="shared" ca="1" si="29"/>
        <v>#NAME?</v>
      </c>
    </row>
    <row r="911" spans="1:9" x14ac:dyDescent="0.25">
      <c r="A911" s="2" t="s">
        <v>1386</v>
      </c>
      <c r="B911" s="2" t="s">
        <v>10</v>
      </c>
      <c r="C911" s="3">
        <v>43862</v>
      </c>
      <c r="D911" t="s">
        <v>1387</v>
      </c>
      <c r="E911" s="2" t="s">
        <v>12</v>
      </c>
      <c r="F911" s="2" t="s">
        <v>12</v>
      </c>
      <c r="G911" t="s">
        <v>586</v>
      </c>
      <c r="H911" t="str">
        <f t="shared" si="28"/>
        <v>https://videplast.com.br/consulta-imobilizado?id=22003300&amp;nome=05%20CAMISA%20PORTA%20CLICHE%20SLEEVELOX%20ALUMINIO</v>
      </c>
      <c r="I911" t="e">
        <f t="shared" ca="1" si="29"/>
        <v>#NAME?</v>
      </c>
    </row>
    <row r="912" spans="1:9" x14ac:dyDescent="0.25">
      <c r="A912" s="2" t="s">
        <v>1388</v>
      </c>
      <c r="B912" s="2" t="s">
        <v>10</v>
      </c>
      <c r="C912" s="3">
        <v>43862</v>
      </c>
      <c r="D912" t="s">
        <v>1389</v>
      </c>
      <c r="E912" s="2" t="s">
        <v>12</v>
      </c>
      <c r="F912" s="2" t="s">
        <v>12</v>
      </c>
      <c r="G912" t="s">
        <v>586</v>
      </c>
      <c r="H912" t="str">
        <f t="shared" si="28"/>
        <v>https://videplast.com.br/consulta-imobilizado?id=22003301&amp;nome=08%20CAMISA%20PORTA%20CLICHE%20PI430%20%2008%20PI4590%20E%2008%20PI520</v>
      </c>
      <c r="I912" t="e">
        <f t="shared" ca="1" si="29"/>
        <v>#NAME?</v>
      </c>
    </row>
    <row r="913" spans="1:9" x14ac:dyDescent="0.25">
      <c r="A913" s="2" t="s">
        <v>1390</v>
      </c>
      <c r="B913" s="2" t="s">
        <v>10</v>
      </c>
      <c r="C913" s="3">
        <v>43862</v>
      </c>
      <c r="D913" t="s">
        <v>1391</v>
      </c>
      <c r="E913" s="2" t="s">
        <v>12</v>
      </c>
      <c r="F913" s="2" t="s">
        <v>12</v>
      </c>
      <c r="G913" t="s">
        <v>586</v>
      </c>
      <c r="H913" t="str">
        <f t="shared" si="28"/>
        <v>https://videplast.com.br/consulta-imobilizado?id=22003302&amp;nome=08%20CAMISAS%20PORTA%20CLICHE%20SIGMA%20PI520</v>
      </c>
      <c r="I913" t="e">
        <f t="shared" ca="1" si="29"/>
        <v>#NAME?</v>
      </c>
    </row>
    <row r="914" spans="1:9" x14ac:dyDescent="0.25">
      <c r="A914" s="2" t="s">
        <v>1392</v>
      </c>
      <c r="B914" s="2" t="s">
        <v>10</v>
      </c>
      <c r="C914" s="3">
        <v>43862</v>
      </c>
      <c r="D914" t="s">
        <v>1393</v>
      </c>
      <c r="E914" s="2" t="s">
        <v>12</v>
      </c>
      <c r="F914" s="2" t="s">
        <v>12</v>
      </c>
      <c r="G914" t="s">
        <v>586</v>
      </c>
      <c r="H914" t="str">
        <f t="shared" si="28"/>
        <v>https://videplast.com.br/consulta-imobilizado?id=22003303&amp;nome=08%20CAMISA%20PORTA%20CLICHE%20CARBOFLEX</v>
      </c>
      <c r="I914" t="e">
        <f t="shared" ca="1" si="29"/>
        <v>#NAME?</v>
      </c>
    </row>
    <row r="915" spans="1:9" x14ac:dyDescent="0.25">
      <c r="A915" s="2" t="s">
        <v>1394</v>
      </c>
      <c r="B915" s="2" t="s">
        <v>10</v>
      </c>
      <c r="C915" s="3">
        <v>43862</v>
      </c>
      <c r="D915" t="s">
        <v>1395</v>
      </c>
      <c r="E915" s="2" t="s">
        <v>12</v>
      </c>
      <c r="F915" s="2" t="s">
        <v>12</v>
      </c>
      <c r="G915" t="s">
        <v>586</v>
      </c>
      <c r="H915" t="str">
        <f t="shared" si="28"/>
        <v>https://videplast.com.br/consulta-imobilizado?id=22003304&amp;nome=08%20PC%20CAMISA%20PORTA%20CLICHE%20CARBOFLEX%20PASSO%20550%20MM</v>
      </c>
      <c r="I915" t="e">
        <f t="shared" ca="1" si="29"/>
        <v>#NAME?</v>
      </c>
    </row>
    <row r="916" spans="1:9" x14ac:dyDescent="0.25">
      <c r="A916" s="2" t="s">
        <v>1396</v>
      </c>
      <c r="B916" s="2" t="s">
        <v>10</v>
      </c>
      <c r="C916" s="3">
        <v>43862</v>
      </c>
      <c r="D916" t="s">
        <v>1397</v>
      </c>
      <c r="E916" s="2" t="s">
        <v>12</v>
      </c>
      <c r="F916" s="2" t="s">
        <v>12</v>
      </c>
      <c r="G916" t="s">
        <v>586</v>
      </c>
      <c r="H916" t="str">
        <f t="shared" si="28"/>
        <v>https://videplast.com.br/consulta-imobilizado?id=22003305&amp;nome=08%20ADAPTADOR%20P/CAMISA%20PORTA%20CLICHE</v>
      </c>
      <c r="I916" t="e">
        <f t="shared" ca="1" si="29"/>
        <v>#NAME?</v>
      </c>
    </row>
    <row r="917" spans="1:9" x14ac:dyDescent="0.25">
      <c r="A917" s="2" t="s">
        <v>1398</v>
      </c>
      <c r="B917" s="2" t="s">
        <v>10</v>
      </c>
      <c r="C917" s="3">
        <v>43862</v>
      </c>
      <c r="D917" t="s">
        <v>1399</v>
      </c>
      <c r="E917" s="2" t="s">
        <v>12</v>
      </c>
      <c r="F917" s="2" t="s">
        <v>12</v>
      </c>
      <c r="G917" t="s">
        <v>586</v>
      </c>
      <c r="H917" t="str">
        <f t="shared" si="28"/>
        <v>https://videplast.com.br/consulta-imobilizado?id=22003306&amp;nome=8%20CAMISA%20PORTA%20CLICHE%20CARBOFLEX%20STD%20P420</v>
      </c>
      <c r="I917" t="e">
        <f t="shared" ca="1" si="29"/>
        <v>#NAME?</v>
      </c>
    </row>
    <row r="918" spans="1:9" x14ac:dyDescent="0.25">
      <c r="A918" s="2" t="s">
        <v>1400</v>
      </c>
      <c r="B918" s="2" t="s">
        <v>10</v>
      </c>
      <c r="C918" s="3">
        <v>43862</v>
      </c>
      <c r="D918" t="s">
        <v>1401</v>
      </c>
      <c r="E918" s="2" t="s">
        <v>12</v>
      </c>
      <c r="F918" s="2" t="s">
        <v>12</v>
      </c>
      <c r="G918" t="s">
        <v>586</v>
      </c>
      <c r="H918" t="str">
        <f t="shared" si="28"/>
        <v>https://videplast.com.br/consulta-imobilizado?id=22003307&amp;nome=07%20CAMISA%20PORTA%20CLICHE%20CARBOFLEX%20STD%20P430</v>
      </c>
      <c r="I918" t="e">
        <f t="shared" ca="1" si="29"/>
        <v>#NAME?</v>
      </c>
    </row>
    <row r="919" spans="1:9" x14ac:dyDescent="0.25">
      <c r="A919" s="2" t="s">
        <v>1402</v>
      </c>
      <c r="B919" s="2" t="s">
        <v>10</v>
      </c>
      <c r="C919" s="3">
        <v>43862</v>
      </c>
      <c r="D919" t="s">
        <v>1401</v>
      </c>
      <c r="E919" s="2" t="s">
        <v>12</v>
      </c>
      <c r="F919" s="2" t="s">
        <v>12</v>
      </c>
      <c r="G919" t="s">
        <v>586</v>
      </c>
      <c r="H919" t="str">
        <f t="shared" si="28"/>
        <v>https://videplast.com.br/consulta-imobilizado?id=22003308&amp;nome=07%20CAMISA%20PORTA%20CLICHE%20CARBOFLEX%20STD%20P430</v>
      </c>
      <c r="I919" t="e">
        <f t="shared" ca="1" si="29"/>
        <v>#NAME?</v>
      </c>
    </row>
    <row r="920" spans="1:9" x14ac:dyDescent="0.25">
      <c r="A920" s="2" t="s">
        <v>1403</v>
      </c>
      <c r="B920" s="2" t="s">
        <v>10</v>
      </c>
      <c r="C920" s="3">
        <v>43862</v>
      </c>
      <c r="D920" t="s">
        <v>1404</v>
      </c>
      <c r="E920" s="2" t="s">
        <v>12</v>
      </c>
      <c r="F920" s="2" t="s">
        <v>12</v>
      </c>
      <c r="G920" t="s">
        <v>586</v>
      </c>
      <c r="H920" t="str">
        <f t="shared" si="28"/>
        <v>https://videplast.com.br/consulta-imobilizado?id=22003309&amp;nome=7%20CAMISA%20PORTA%20CLICHE%20CARBOFLEX%20STD%20P520</v>
      </c>
      <c r="I920" t="e">
        <f t="shared" ca="1" si="29"/>
        <v>#NAME?</v>
      </c>
    </row>
    <row r="921" spans="1:9" x14ac:dyDescent="0.25">
      <c r="A921" s="2" t="s">
        <v>1405</v>
      </c>
      <c r="B921" s="2" t="s">
        <v>10</v>
      </c>
      <c r="C921" s="3">
        <v>43862</v>
      </c>
      <c r="D921" t="s">
        <v>1406</v>
      </c>
      <c r="E921" s="2" t="s">
        <v>12</v>
      </c>
      <c r="F921" s="2" t="s">
        <v>12</v>
      </c>
      <c r="G921" t="s">
        <v>586</v>
      </c>
      <c r="H921" t="str">
        <f t="shared" si="28"/>
        <v>https://videplast.com.br/consulta-imobilizado?id=22003310&amp;nome=8%20CAMISA%20PORTA%20CLICHE%20CARBOFLEX%20STD%20P690</v>
      </c>
      <c r="I921" t="e">
        <f t="shared" ca="1" si="29"/>
        <v>#NAME?</v>
      </c>
    </row>
    <row r="922" spans="1:9" x14ac:dyDescent="0.25">
      <c r="A922" s="2" t="s">
        <v>1407</v>
      </c>
      <c r="B922" s="2" t="s">
        <v>10</v>
      </c>
      <c r="C922" s="3">
        <v>43862</v>
      </c>
      <c r="D922" t="s">
        <v>1408</v>
      </c>
      <c r="E922" s="2" t="s">
        <v>12</v>
      </c>
      <c r="F922" s="2" t="s">
        <v>12</v>
      </c>
      <c r="G922" t="s">
        <v>586</v>
      </c>
      <c r="H922" t="str">
        <f t="shared" si="28"/>
        <v>https://videplast.com.br/consulta-imobilizado?id=22003311&amp;nome=CAMISA%20PORTA%20CLICHE%20CARBOFLEX%20STD%20P430</v>
      </c>
      <c r="I922" t="e">
        <f t="shared" ca="1" si="29"/>
        <v>#NAME?</v>
      </c>
    </row>
    <row r="923" spans="1:9" x14ac:dyDescent="0.25">
      <c r="A923" s="2" t="s">
        <v>1409</v>
      </c>
      <c r="B923" s="2" t="s">
        <v>10</v>
      </c>
      <c r="C923" s="3">
        <v>43862</v>
      </c>
      <c r="D923" t="s">
        <v>1410</v>
      </c>
      <c r="E923" s="2" t="s">
        <v>12</v>
      </c>
      <c r="F923" s="2" t="s">
        <v>12</v>
      </c>
      <c r="G923" t="s">
        <v>586</v>
      </c>
      <c r="H923" t="str">
        <f t="shared" si="28"/>
        <v>https://videplast.com.br/consulta-imobilizado?id=22003312&amp;nome=CAMISA%20PORTA%20CLICHE%20CARBOFLEX%20STD%20P490</v>
      </c>
      <c r="I923" t="e">
        <f t="shared" ca="1" si="29"/>
        <v>#NAME?</v>
      </c>
    </row>
    <row r="924" spans="1:9" x14ac:dyDescent="0.25">
      <c r="A924" s="2" t="s">
        <v>1411</v>
      </c>
      <c r="B924" s="2" t="s">
        <v>10</v>
      </c>
      <c r="C924" s="3">
        <v>43862</v>
      </c>
      <c r="D924" t="s">
        <v>1412</v>
      </c>
      <c r="E924" s="2" t="s">
        <v>12</v>
      </c>
      <c r="F924" s="2" t="s">
        <v>12</v>
      </c>
      <c r="G924" t="s">
        <v>586</v>
      </c>
      <c r="H924" t="str">
        <f t="shared" si="28"/>
        <v>https://videplast.com.br/consulta-imobilizado?id=22003313&amp;nome=CAMISA%20PORTA%20CLICHE%20CARBOFLEX%20STD%20P520</v>
      </c>
      <c r="I924" t="e">
        <f t="shared" ca="1" si="29"/>
        <v>#NAME?</v>
      </c>
    </row>
    <row r="925" spans="1:9" x14ac:dyDescent="0.25">
      <c r="A925" s="2" t="s">
        <v>1413</v>
      </c>
      <c r="B925" s="2" t="s">
        <v>10</v>
      </c>
      <c r="C925" s="3">
        <v>43862</v>
      </c>
      <c r="D925" t="s">
        <v>1414</v>
      </c>
      <c r="E925" s="2" t="s">
        <v>12</v>
      </c>
      <c r="F925" s="2" t="s">
        <v>12</v>
      </c>
      <c r="G925" t="s">
        <v>586</v>
      </c>
      <c r="H925" t="str">
        <f t="shared" si="28"/>
        <v>https://videplast.com.br/consulta-imobilizado?id=22003314&amp;nome=CAMISA%20SLEEVELOX%20ALUMINIO</v>
      </c>
      <c r="I925" t="e">
        <f t="shared" ca="1" si="29"/>
        <v>#NAME?</v>
      </c>
    </row>
    <row r="926" spans="1:9" x14ac:dyDescent="0.25">
      <c r="A926" s="2" t="s">
        <v>1415</v>
      </c>
      <c r="B926" s="2" t="s">
        <v>10</v>
      </c>
      <c r="C926" s="3">
        <v>43862</v>
      </c>
      <c r="D926" t="s">
        <v>1416</v>
      </c>
      <c r="E926" s="2" t="s">
        <v>12</v>
      </c>
      <c r="F926" s="2" t="s">
        <v>12</v>
      </c>
      <c r="G926" t="s">
        <v>586</v>
      </c>
      <c r="H926" t="str">
        <f t="shared" si="28"/>
        <v>https://videplast.com.br/consulta-imobilizado?id=22003315&amp;nome=04%20CAMISAS%20LAMIFLEX%20MANDRIL%20CONICO%20117,12MM</v>
      </c>
      <c r="I926" t="e">
        <f t="shared" ca="1" si="29"/>
        <v>#NAME?</v>
      </c>
    </row>
    <row r="927" spans="1:9" x14ac:dyDescent="0.25">
      <c r="A927" s="2" t="s">
        <v>1417</v>
      </c>
      <c r="B927" s="2" t="s">
        <v>10</v>
      </c>
      <c r="C927" s="3">
        <v>43862</v>
      </c>
      <c r="D927" t="s">
        <v>1418</v>
      </c>
      <c r="E927" s="2" t="s">
        <v>12</v>
      </c>
      <c r="F927" s="2" t="s">
        <v>12</v>
      </c>
      <c r="G927" t="s">
        <v>586</v>
      </c>
      <c r="H927" t="str">
        <f t="shared" si="28"/>
        <v>https://videplast.com.br/consulta-imobilizado?id=22003316&amp;nome=07%20CAMISA%20SLEEVELOX%20ALUMINIO</v>
      </c>
      <c r="I927" t="e">
        <f t="shared" ca="1" si="29"/>
        <v>#NAME?</v>
      </c>
    </row>
    <row r="928" spans="1:9" x14ac:dyDescent="0.25">
      <c r="A928" s="2" t="s">
        <v>1419</v>
      </c>
      <c r="B928" s="2" t="s">
        <v>10</v>
      </c>
      <c r="C928" s="3">
        <v>43862</v>
      </c>
      <c r="D928" t="s">
        <v>1414</v>
      </c>
      <c r="E928" s="2" t="s">
        <v>12</v>
      </c>
      <c r="F928" s="2" t="s">
        <v>12</v>
      </c>
      <c r="G928" t="s">
        <v>586</v>
      </c>
      <c r="H928" t="str">
        <f t="shared" si="28"/>
        <v>https://videplast.com.br/consulta-imobilizado?id=22003317&amp;nome=CAMISA%20SLEEVELOX%20ALUMINIO</v>
      </c>
      <c r="I928" t="e">
        <f t="shared" ca="1" si="29"/>
        <v>#NAME?</v>
      </c>
    </row>
    <row r="929" spans="1:9" x14ac:dyDescent="0.25">
      <c r="A929" s="2" t="s">
        <v>1420</v>
      </c>
      <c r="B929" s="2" t="s">
        <v>10</v>
      </c>
      <c r="C929" s="3">
        <v>43862</v>
      </c>
      <c r="D929" t="s">
        <v>1421</v>
      </c>
      <c r="E929" s="2" t="s">
        <v>12</v>
      </c>
      <c r="F929" s="2" t="s">
        <v>12</v>
      </c>
      <c r="G929" t="s">
        <v>586</v>
      </c>
      <c r="H929" t="str">
        <f t="shared" si="28"/>
        <v>https://videplast.com.br/consulta-imobilizado?id=22003318&amp;nome=16%20CAMISA%20PORTA%20CLICHE%20STARCOAT%20121,074X600X840</v>
      </c>
      <c r="I929" t="e">
        <f t="shared" ca="1" si="29"/>
        <v>#NAME?</v>
      </c>
    </row>
    <row r="930" spans="1:9" x14ac:dyDescent="0.25">
      <c r="A930" s="2" t="s">
        <v>1422</v>
      </c>
      <c r="B930" s="2" t="s">
        <v>10</v>
      </c>
      <c r="C930" s="3">
        <v>43862</v>
      </c>
      <c r="D930" t="s">
        <v>1423</v>
      </c>
      <c r="E930" s="2" t="s">
        <v>12</v>
      </c>
      <c r="F930" s="2" t="s">
        <v>1424</v>
      </c>
      <c r="G930" t="s">
        <v>586</v>
      </c>
      <c r="H930" t="str">
        <f t="shared" si="28"/>
        <v>https://videplast.com.br/consulta-imobilizado?id=22003319&amp;nome=CAMISA%20ANILOX%20SLEEVELOX-CARBONO</v>
      </c>
      <c r="I930" t="e">
        <f t="shared" ca="1" si="29"/>
        <v>#NAME?</v>
      </c>
    </row>
    <row r="931" spans="1:9" x14ac:dyDescent="0.25">
      <c r="A931" s="2" t="s">
        <v>1425</v>
      </c>
      <c r="B931" s="2" t="s">
        <v>10</v>
      </c>
      <c r="C931" s="3">
        <v>44335</v>
      </c>
      <c r="D931" t="s">
        <v>1426</v>
      </c>
      <c r="E931" s="2" t="s">
        <v>12</v>
      </c>
      <c r="F931" s="2" t="s">
        <v>1427</v>
      </c>
      <c r="G931" t="s">
        <v>586</v>
      </c>
      <c r="H931" t="str">
        <f t="shared" si="28"/>
        <v>https://videplast.com.br/consulta-imobilizado?id=22003381&amp;nome=CAMISA%20ANILOX%20FLEXO%20TECH%20800</v>
      </c>
      <c r="I931" t="e">
        <f t="shared" ca="1" si="29"/>
        <v>#NAME?</v>
      </c>
    </row>
    <row r="932" spans="1:9" x14ac:dyDescent="0.25">
      <c r="A932" s="2" t="s">
        <v>1428</v>
      </c>
      <c r="B932" s="2" t="s">
        <v>10</v>
      </c>
      <c r="C932" s="3">
        <v>44335</v>
      </c>
      <c r="D932" t="s">
        <v>1426</v>
      </c>
      <c r="E932" s="2" t="s">
        <v>12</v>
      </c>
      <c r="F932" s="2" t="s">
        <v>1429</v>
      </c>
      <c r="G932" t="s">
        <v>586</v>
      </c>
      <c r="H932" t="str">
        <f t="shared" si="28"/>
        <v>https://videplast.com.br/consulta-imobilizado?id=22003382&amp;nome=CAMISA%20ANILOX%20FLEXO%20TECH%20800</v>
      </c>
      <c r="I932" t="e">
        <f t="shared" ca="1" si="29"/>
        <v>#NAME?</v>
      </c>
    </row>
    <row r="933" spans="1:9" x14ac:dyDescent="0.25">
      <c r="A933" s="2" t="s">
        <v>1430</v>
      </c>
      <c r="B933" s="2" t="s">
        <v>10</v>
      </c>
      <c r="C933" s="3">
        <v>44335</v>
      </c>
      <c r="D933" t="s">
        <v>1426</v>
      </c>
      <c r="E933" s="2" t="s">
        <v>12</v>
      </c>
      <c r="F933" s="2" t="s">
        <v>1431</v>
      </c>
      <c r="G933" t="s">
        <v>586</v>
      </c>
      <c r="H933" t="str">
        <f t="shared" si="28"/>
        <v>https://videplast.com.br/consulta-imobilizado?id=22003383&amp;nome=CAMISA%20ANILOX%20FLEXO%20TECH%20800</v>
      </c>
      <c r="I933" t="e">
        <f t="shared" ca="1" si="29"/>
        <v>#NAME?</v>
      </c>
    </row>
    <row r="934" spans="1:9" x14ac:dyDescent="0.25">
      <c r="A934" s="2" t="s">
        <v>1432</v>
      </c>
      <c r="B934" s="2" t="s">
        <v>10</v>
      </c>
      <c r="C934" s="3">
        <v>44468</v>
      </c>
      <c r="D934" t="s">
        <v>1433</v>
      </c>
      <c r="E934" s="2" t="s">
        <v>12</v>
      </c>
      <c r="F934" s="2" t="s">
        <v>12</v>
      </c>
      <c r="G934" t="s">
        <v>586</v>
      </c>
      <c r="H934" t="str">
        <f t="shared" si="28"/>
        <v>https://videplast.com.br/consulta-imobilizado?id=22003832&amp;nome=CAMISA%20PORTA%20CLICHE%20PASSO%20540MM</v>
      </c>
      <c r="I934" t="e">
        <f t="shared" ca="1" si="29"/>
        <v>#NAME?</v>
      </c>
    </row>
    <row r="935" spans="1:9" x14ac:dyDescent="0.25">
      <c r="A935" s="2" t="s">
        <v>1434</v>
      </c>
      <c r="B935" s="2" t="s">
        <v>10</v>
      </c>
      <c r="C935" s="3">
        <v>44468</v>
      </c>
      <c r="D935" t="s">
        <v>1433</v>
      </c>
      <c r="E935" s="2" t="s">
        <v>12</v>
      </c>
      <c r="F935" s="2" t="s">
        <v>12</v>
      </c>
      <c r="G935" t="s">
        <v>586</v>
      </c>
      <c r="H935" t="str">
        <f t="shared" si="28"/>
        <v>https://videplast.com.br/consulta-imobilizado?id=22003833&amp;nome=CAMISA%20PORTA%20CLICHE%20PASSO%20540MM</v>
      </c>
      <c r="I935" t="e">
        <f t="shared" ca="1" si="29"/>
        <v>#NAME?</v>
      </c>
    </row>
    <row r="936" spans="1:9" x14ac:dyDescent="0.25">
      <c r="A936" s="2" t="s">
        <v>1435</v>
      </c>
      <c r="B936" s="2" t="s">
        <v>10</v>
      </c>
      <c r="C936" s="3">
        <v>44468</v>
      </c>
      <c r="D936" t="s">
        <v>1433</v>
      </c>
      <c r="E936" s="2" t="s">
        <v>12</v>
      </c>
      <c r="F936" s="2" t="s">
        <v>12</v>
      </c>
      <c r="G936" t="s">
        <v>586</v>
      </c>
      <c r="H936" t="str">
        <f t="shared" si="28"/>
        <v>https://videplast.com.br/consulta-imobilizado?id=22003834&amp;nome=CAMISA%20PORTA%20CLICHE%20PASSO%20540MM</v>
      </c>
      <c r="I936" t="e">
        <f t="shared" ca="1" si="29"/>
        <v>#NAME?</v>
      </c>
    </row>
    <row r="937" spans="1:9" x14ac:dyDescent="0.25">
      <c r="A937" s="2" t="s">
        <v>1436</v>
      </c>
      <c r="B937" s="2" t="s">
        <v>10</v>
      </c>
      <c r="C937" s="3">
        <v>44468</v>
      </c>
      <c r="D937" t="s">
        <v>1433</v>
      </c>
      <c r="E937" s="2" t="s">
        <v>12</v>
      </c>
      <c r="F937" s="2" t="s">
        <v>12</v>
      </c>
      <c r="G937" t="s">
        <v>586</v>
      </c>
      <c r="H937" t="str">
        <f t="shared" si="28"/>
        <v>https://videplast.com.br/consulta-imobilizado?id=22003835&amp;nome=CAMISA%20PORTA%20CLICHE%20PASSO%20540MM</v>
      </c>
      <c r="I937" t="e">
        <f t="shared" ca="1" si="29"/>
        <v>#NAME?</v>
      </c>
    </row>
    <row r="938" spans="1:9" x14ac:dyDescent="0.25">
      <c r="A938" s="2" t="s">
        <v>1437</v>
      </c>
      <c r="B938" s="2" t="s">
        <v>10</v>
      </c>
      <c r="C938" s="3">
        <v>44468</v>
      </c>
      <c r="D938" t="s">
        <v>1433</v>
      </c>
      <c r="E938" s="2" t="s">
        <v>12</v>
      </c>
      <c r="F938" s="2" t="s">
        <v>12</v>
      </c>
      <c r="G938" t="s">
        <v>586</v>
      </c>
      <c r="H938" t="str">
        <f t="shared" si="28"/>
        <v>https://videplast.com.br/consulta-imobilizado?id=22003836&amp;nome=CAMISA%20PORTA%20CLICHE%20PASSO%20540MM</v>
      </c>
      <c r="I938" t="e">
        <f t="shared" ca="1" si="29"/>
        <v>#NAME?</v>
      </c>
    </row>
    <row r="939" spans="1:9" x14ac:dyDescent="0.25">
      <c r="A939" s="2" t="s">
        <v>1438</v>
      </c>
      <c r="B939" s="2" t="s">
        <v>10</v>
      </c>
      <c r="C939" s="3">
        <v>44468</v>
      </c>
      <c r="D939" t="s">
        <v>1433</v>
      </c>
      <c r="E939" s="2" t="s">
        <v>12</v>
      </c>
      <c r="F939" s="2" t="s">
        <v>12</v>
      </c>
      <c r="G939" t="s">
        <v>586</v>
      </c>
      <c r="H939" t="str">
        <f t="shared" si="28"/>
        <v>https://videplast.com.br/consulta-imobilizado?id=22003837&amp;nome=CAMISA%20PORTA%20CLICHE%20PASSO%20540MM</v>
      </c>
      <c r="I939" t="e">
        <f t="shared" ca="1" si="29"/>
        <v>#NAME?</v>
      </c>
    </row>
    <row r="940" spans="1:9" x14ac:dyDescent="0.25">
      <c r="A940" s="2" t="s">
        <v>1439</v>
      </c>
      <c r="B940" s="2" t="s">
        <v>10</v>
      </c>
      <c r="C940" s="3">
        <v>44468</v>
      </c>
      <c r="D940" t="s">
        <v>1433</v>
      </c>
      <c r="E940" s="2" t="s">
        <v>12</v>
      </c>
      <c r="F940" s="2" t="s">
        <v>12</v>
      </c>
      <c r="G940" t="s">
        <v>586</v>
      </c>
      <c r="H940" t="str">
        <f t="shared" si="28"/>
        <v>https://videplast.com.br/consulta-imobilizado?id=22003838&amp;nome=CAMISA%20PORTA%20CLICHE%20PASSO%20540MM</v>
      </c>
      <c r="I940" t="e">
        <f t="shared" ca="1" si="29"/>
        <v>#NAME?</v>
      </c>
    </row>
    <row r="941" spans="1:9" x14ac:dyDescent="0.25">
      <c r="A941" s="2" t="s">
        <v>1440</v>
      </c>
      <c r="B941" s="2" t="s">
        <v>10</v>
      </c>
      <c r="C941" s="3">
        <v>44468</v>
      </c>
      <c r="D941" t="s">
        <v>1433</v>
      </c>
      <c r="E941" s="2" t="s">
        <v>12</v>
      </c>
      <c r="F941" s="2" t="s">
        <v>12</v>
      </c>
      <c r="G941" t="s">
        <v>586</v>
      </c>
      <c r="H941" t="str">
        <f t="shared" si="28"/>
        <v>https://videplast.com.br/consulta-imobilizado?id=22003839&amp;nome=CAMISA%20PORTA%20CLICHE%20PASSO%20540MM</v>
      </c>
      <c r="I941" t="e">
        <f t="shared" ca="1" si="29"/>
        <v>#NAME?</v>
      </c>
    </row>
    <row r="942" spans="1:9" x14ac:dyDescent="0.25">
      <c r="A942" s="2" t="s">
        <v>1441</v>
      </c>
      <c r="B942" s="2" t="s">
        <v>10</v>
      </c>
      <c r="C942" s="3">
        <v>44468</v>
      </c>
      <c r="D942" t="s">
        <v>1442</v>
      </c>
      <c r="E942" s="2" t="s">
        <v>12</v>
      </c>
      <c r="F942" s="2" t="s">
        <v>12</v>
      </c>
      <c r="G942" t="s">
        <v>586</v>
      </c>
      <c r="H942" t="str">
        <f t="shared" si="28"/>
        <v>https://videplast.com.br/consulta-imobilizado?id=22003840&amp;nome=CAMISA%20PORTA%20CLICHE%20PASSO%20550MM</v>
      </c>
      <c r="I942" t="e">
        <f t="shared" ca="1" si="29"/>
        <v>#NAME?</v>
      </c>
    </row>
    <row r="943" spans="1:9" x14ac:dyDescent="0.25">
      <c r="A943" s="2" t="s">
        <v>1443</v>
      </c>
      <c r="B943" s="2" t="s">
        <v>10</v>
      </c>
      <c r="C943" s="3">
        <v>44468</v>
      </c>
      <c r="D943" t="s">
        <v>1442</v>
      </c>
      <c r="E943" s="2" t="s">
        <v>12</v>
      </c>
      <c r="F943" s="2" t="s">
        <v>12</v>
      </c>
      <c r="G943" t="s">
        <v>586</v>
      </c>
      <c r="H943" t="str">
        <f t="shared" si="28"/>
        <v>https://videplast.com.br/consulta-imobilizado?id=22003841&amp;nome=CAMISA%20PORTA%20CLICHE%20PASSO%20550MM</v>
      </c>
      <c r="I943" t="e">
        <f t="shared" ca="1" si="29"/>
        <v>#NAME?</v>
      </c>
    </row>
    <row r="944" spans="1:9" x14ac:dyDescent="0.25">
      <c r="A944" s="2" t="s">
        <v>1444</v>
      </c>
      <c r="B944" s="2" t="s">
        <v>10</v>
      </c>
      <c r="C944" s="3">
        <v>44468</v>
      </c>
      <c r="D944" t="s">
        <v>1442</v>
      </c>
      <c r="E944" s="2" t="s">
        <v>12</v>
      </c>
      <c r="F944" s="2" t="s">
        <v>12</v>
      </c>
      <c r="G944" t="s">
        <v>586</v>
      </c>
      <c r="H944" t="str">
        <f t="shared" si="28"/>
        <v>https://videplast.com.br/consulta-imobilizado?id=22003842&amp;nome=CAMISA%20PORTA%20CLICHE%20PASSO%20550MM</v>
      </c>
      <c r="I944" t="e">
        <f t="shared" ca="1" si="29"/>
        <v>#NAME?</v>
      </c>
    </row>
    <row r="945" spans="1:9" x14ac:dyDescent="0.25">
      <c r="A945" s="2" t="s">
        <v>1445</v>
      </c>
      <c r="B945" s="2" t="s">
        <v>10</v>
      </c>
      <c r="C945" s="3">
        <v>44468</v>
      </c>
      <c r="D945" t="s">
        <v>1442</v>
      </c>
      <c r="E945" s="2" t="s">
        <v>12</v>
      </c>
      <c r="F945" s="2" t="s">
        <v>12</v>
      </c>
      <c r="G945" t="s">
        <v>586</v>
      </c>
      <c r="H945" t="str">
        <f t="shared" si="28"/>
        <v>https://videplast.com.br/consulta-imobilizado?id=22003843&amp;nome=CAMISA%20PORTA%20CLICHE%20PASSO%20550MM</v>
      </c>
      <c r="I945" t="e">
        <f t="shared" ca="1" si="29"/>
        <v>#NAME?</v>
      </c>
    </row>
    <row r="946" spans="1:9" x14ac:dyDescent="0.25">
      <c r="A946" s="2" t="s">
        <v>1446</v>
      </c>
      <c r="B946" s="2" t="s">
        <v>10</v>
      </c>
      <c r="C946" s="3">
        <v>44468</v>
      </c>
      <c r="D946" t="s">
        <v>1442</v>
      </c>
      <c r="E946" s="2" t="s">
        <v>12</v>
      </c>
      <c r="F946" s="2" t="s">
        <v>12</v>
      </c>
      <c r="G946" t="s">
        <v>586</v>
      </c>
      <c r="H946" t="str">
        <f t="shared" si="28"/>
        <v>https://videplast.com.br/consulta-imobilizado?id=22003844&amp;nome=CAMISA%20PORTA%20CLICHE%20PASSO%20550MM</v>
      </c>
      <c r="I946" t="e">
        <f t="shared" ca="1" si="29"/>
        <v>#NAME?</v>
      </c>
    </row>
    <row r="947" spans="1:9" x14ac:dyDescent="0.25">
      <c r="A947" s="2" t="s">
        <v>1447</v>
      </c>
      <c r="B947" s="2" t="s">
        <v>10</v>
      </c>
      <c r="C947" s="3">
        <v>44468</v>
      </c>
      <c r="D947" t="s">
        <v>1442</v>
      </c>
      <c r="E947" s="2" t="s">
        <v>12</v>
      </c>
      <c r="F947" s="2" t="s">
        <v>12</v>
      </c>
      <c r="G947" t="s">
        <v>586</v>
      </c>
      <c r="H947" t="str">
        <f t="shared" si="28"/>
        <v>https://videplast.com.br/consulta-imobilizado?id=22003845&amp;nome=CAMISA%20PORTA%20CLICHE%20PASSO%20550MM</v>
      </c>
      <c r="I947" t="e">
        <f t="shared" ca="1" si="29"/>
        <v>#NAME?</v>
      </c>
    </row>
    <row r="948" spans="1:9" x14ac:dyDescent="0.25">
      <c r="A948" s="2" t="s">
        <v>1448</v>
      </c>
      <c r="B948" s="2" t="s">
        <v>10</v>
      </c>
      <c r="C948" s="3">
        <v>44468</v>
      </c>
      <c r="D948" t="s">
        <v>1442</v>
      </c>
      <c r="E948" s="2" t="s">
        <v>12</v>
      </c>
      <c r="F948" s="2" t="s">
        <v>12</v>
      </c>
      <c r="G948" t="s">
        <v>586</v>
      </c>
      <c r="H948" t="str">
        <f t="shared" si="28"/>
        <v>https://videplast.com.br/consulta-imobilizado?id=22003846&amp;nome=CAMISA%20PORTA%20CLICHE%20PASSO%20550MM</v>
      </c>
      <c r="I948" t="e">
        <f t="shared" ca="1" si="29"/>
        <v>#NAME?</v>
      </c>
    </row>
    <row r="949" spans="1:9" x14ac:dyDescent="0.25">
      <c r="A949" s="2" t="s">
        <v>1449</v>
      </c>
      <c r="B949" s="2" t="s">
        <v>10</v>
      </c>
      <c r="C949" s="3">
        <v>44468</v>
      </c>
      <c r="D949" t="s">
        <v>1442</v>
      </c>
      <c r="E949" s="2" t="s">
        <v>12</v>
      </c>
      <c r="F949" s="2" t="s">
        <v>12</v>
      </c>
      <c r="G949" t="s">
        <v>586</v>
      </c>
      <c r="H949" t="str">
        <f t="shared" si="28"/>
        <v>https://videplast.com.br/consulta-imobilizado?id=22003847&amp;nome=CAMISA%20PORTA%20CLICHE%20PASSO%20550MM</v>
      </c>
      <c r="I949" t="e">
        <f t="shared" ca="1" si="29"/>
        <v>#NAME?</v>
      </c>
    </row>
    <row r="950" spans="1:9" x14ac:dyDescent="0.25">
      <c r="A950" s="2" t="s">
        <v>1450</v>
      </c>
      <c r="B950" s="2" t="s">
        <v>10</v>
      </c>
      <c r="C950" s="3">
        <v>44468</v>
      </c>
      <c r="D950" t="s">
        <v>1451</v>
      </c>
      <c r="E950" s="2" t="s">
        <v>12</v>
      </c>
      <c r="F950" s="2" t="s">
        <v>12</v>
      </c>
      <c r="G950" t="s">
        <v>586</v>
      </c>
      <c r="H950" t="str">
        <f t="shared" si="28"/>
        <v>https://videplast.com.br/consulta-imobilizado?id=22003848&amp;nome=CAMISA%20PORTA%20CLICHE%20PASSO%20580MM</v>
      </c>
      <c r="I950" t="e">
        <f t="shared" ca="1" si="29"/>
        <v>#NAME?</v>
      </c>
    </row>
    <row r="951" spans="1:9" x14ac:dyDescent="0.25">
      <c r="A951" s="2" t="s">
        <v>1452</v>
      </c>
      <c r="B951" s="2" t="s">
        <v>10</v>
      </c>
      <c r="C951" s="3">
        <v>44468</v>
      </c>
      <c r="D951" t="s">
        <v>1451</v>
      </c>
      <c r="E951" s="2" t="s">
        <v>12</v>
      </c>
      <c r="F951" s="2" t="s">
        <v>12</v>
      </c>
      <c r="G951" t="s">
        <v>586</v>
      </c>
      <c r="H951" t="str">
        <f t="shared" si="28"/>
        <v>https://videplast.com.br/consulta-imobilizado?id=22003849&amp;nome=CAMISA%20PORTA%20CLICHE%20PASSO%20580MM</v>
      </c>
      <c r="I951" t="e">
        <f t="shared" ca="1" si="29"/>
        <v>#NAME?</v>
      </c>
    </row>
    <row r="952" spans="1:9" x14ac:dyDescent="0.25">
      <c r="A952" s="2" t="s">
        <v>1453</v>
      </c>
      <c r="B952" s="2" t="s">
        <v>10</v>
      </c>
      <c r="C952" s="3">
        <v>44468</v>
      </c>
      <c r="D952" t="s">
        <v>1451</v>
      </c>
      <c r="E952" s="2" t="s">
        <v>12</v>
      </c>
      <c r="F952" s="2" t="s">
        <v>12</v>
      </c>
      <c r="G952" t="s">
        <v>586</v>
      </c>
      <c r="H952" t="str">
        <f t="shared" si="28"/>
        <v>https://videplast.com.br/consulta-imobilizado?id=22003850&amp;nome=CAMISA%20PORTA%20CLICHE%20PASSO%20580MM</v>
      </c>
      <c r="I952" t="e">
        <f t="shared" ca="1" si="29"/>
        <v>#NAME?</v>
      </c>
    </row>
    <row r="953" spans="1:9" x14ac:dyDescent="0.25">
      <c r="A953" s="2" t="s">
        <v>1454</v>
      </c>
      <c r="B953" s="2" t="s">
        <v>10</v>
      </c>
      <c r="C953" s="3">
        <v>44468</v>
      </c>
      <c r="D953" t="s">
        <v>1451</v>
      </c>
      <c r="E953" s="2" t="s">
        <v>12</v>
      </c>
      <c r="F953" s="2" t="s">
        <v>12</v>
      </c>
      <c r="G953" t="s">
        <v>586</v>
      </c>
      <c r="H953" t="str">
        <f t="shared" si="28"/>
        <v>https://videplast.com.br/consulta-imobilizado?id=22003851&amp;nome=CAMISA%20PORTA%20CLICHE%20PASSO%20580MM</v>
      </c>
      <c r="I953" t="e">
        <f t="shared" ca="1" si="29"/>
        <v>#NAME?</v>
      </c>
    </row>
    <row r="954" spans="1:9" x14ac:dyDescent="0.25">
      <c r="A954" s="2" t="s">
        <v>1455</v>
      </c>
      <c r="B954" s="2" t="s">
        <v>10</v>
      </c>
      <c r="C954" s="3">
        <v>44468</v>
      </c>
      <c r="D954" t="s">
        <v>1451</v>
      </c>
      <c r="E954" s="2" t="s">
        <v>12</v>
      </c>
      <c r="F954" s="2" t="s">
        <v>12</v>
      </c>
      <c r="G954" t="s">
        <v>586</v>
      </c>
      <c r="H954" t="str">
        <f t="shared" si="28"/>
        <v>https://videplast.com.br/consulta-imobilizado?id=22003852&amp;nome=CAMISA%20PORTA%20CLICHE%20PASSO%20580MM</v>
      </c>
      <c r="I954" t="e">
        <f t="shared" ca="1" si="29"/>
        <v>#NAME?</v>
      </c>
    </row>
    <row r="955" spans="1:9" x14ac:dyDescent="0.25">
      <c r="A955" s="2" t="s">
        <v>1456</v>
      </c>
      <c r="B955" s="2" t="s">
        <v>10</v>
      </c>
      <c r="C955" s="3">
        <v>44468</v>
      </c>
      <c r="D955" t="s">
        <v>1451</v>
      </c>
      <c r="E955" s="2" t="s">
        <v>12</v>
      </c>
      <c r="F955" s="2" t="s">
        <v>12</v>
      </c>
      <c r="G955" t="s">
        <v>586</v>
      </c>
      <c r="H955" t="str">
        <f t="shared" si="28"/>
        <v>https://videplast.com.br/consulta-imobilizado?id=22003853&amp;nome=CAMISA%20PORTA%20CLICHE%20PASSO%20580MM</v>
      </c>
      <c r="I955" t="e">
        <f t="shared" ca="1" si="29"/>
        <v>#NAME?</v>
      </c>
    </row>
    <row r="956" spans="1:9" x14ac:dyDescent="0.25">
      <c r="A956" s="2" t="s">
        <v>1457</v>
      </c>
      <c r="B956" s="2" t="s">
        <v>10</v>
      </c>
      <c r="C956" s="3">
        <v>44468</v>
      </c>
      <c r="D956" t="s">
        <v>1451</v>
      </c>
      <c r="E956" s="2" t="s">
        <v>12</v>
      </c>
      <c r="F956" s="2" t="s">
        <v>12</v>
      </c>
      <c r="G956" t="s">
        <v>586</v>
      </c>
      <c r="H956" t="str">
        <f t="shared" si="28"/>
        <v>https://videplast.com.br/consulta-imobilizado?id=22003854&amp;nome=CAMISA%20PORTA%20CLICHE%20PASSO%20580MM</v>
      </c>
      <c r="I956" t="e">
        <f t="shared" ca="1" si="29"/>
        <v>#NAME?</v>
      </c>
    </row>
    <row r="957" spans="1:9" x14ac:dyDescent="0.25">
      <c r="A957" s="2" t="s">
        <v>1458</v>
      </c>
      <c r="B957" s="2" t="s">
        <v>10</v>
      </c>
      <c r="C957" s="3">
        <v>44468</v>
      </c>
      <c r="D957" t="s">
        <v>1451</v>
      </c>
      <c r="E957" s="2" t="s">
        <v>12</v>
      </c>
      <c r="F957" s="2" t="s">
        <v>12</v>
      </c>
      <c r="G957" t="s">
        <v>586</v>
      </c>
      <c r="H957" t="str">
        <f t="shared" si="28"/>
        <v>https://videplast.com.br/consulta-imobilizado?id=22003855&amp;nome=CAMISA%20PORTA%20CLICHE%20PASSO%20580MM</v>
      </c>
      <c r="I957" t="e">
        <f t="shared" ca="1" si="29"/>
        <v>#NAME?</v>
      </c>
    </row>
    <row r="958" spans="1:9" x14ac:dyDescent="0.25">
      <c r="A958" s="2" t="s">
        <v>1459</v>
      </c>
      <c r="B958" s="2" t="s">
        <v>10</v>
      </c>
      <c r="C958" s="3">
        <v>44468</v>
      </c>
      <c r="D958" t="s">
        <v>1460</v>
      </c>
      <c r="E958" s="2" t="s">
        <v>12</v>
      </c>
      <c r="F958" s="2" t="s">
        <v>12</v>
      </c>
      <c r="G958" t="s">
        <v>586</v>
      </c>
      <c r="H958" t="str">
        <f t="shared" si="28"/>
        <v>https://videplast.com.br/consulta-imobilizado?id=22003856&amp;nome=CAMISA%20PORTA%20CLICHE%20PASSO%20700MM</v>
      </c>
      <c r="I958" t="e">
        <f t="shared" ca="1" si="29"/>
        <v>#NAME?</v>
      </c>
    </row>
    <row r="959" spans="1:9" x14ac:dyDescent="0.25">
      <c r="A959" s="2" t="s">
        <v>1461</v>
      </c>
      <c r="B959" s="2" t="s">
        <v>10</v>
      </c>
      <c r="C959" s="3">
        <v>44468</v>
      </c>
      <c r="D959" t="s">
        <v>1460</v>
      </c>
      <c r="E959" s="2" t="s">
        <v>12</v>
      </c>
      <c r="F959" s="2" t="s">
        <v>12</v>
      </c>
      <c r="G959" t="s">
        <v>586</v>
      </c>
      <c r="H959" t="str">
        <f t="shared" si="28"/>
        <v>https://videplast.com.br/consulta-imobilizado?id=22003857&amp;nome=CAMISA%20PORTA%20CLICHE%20PASSO%20700MM</v>
      </c>
      <c r="I959" t="e">
        <f t="shared" ca="1" si="29"/>
        <v>#NAME?</v>
      </c>
    </row>
    <row r="960" spans="1:9" x14ac:dyDescent="0.25">
      <c r="A960" s="2" t="s">
        <v>1462</v>
      </c>
      <c r="B960" s="2" t="s">
        <v>10</v>
      </c>
      <c r="C960" s="3">
        <v>44468</v>
      </c>
      <c r="D960" t="s">
        <v>1460</v>
      </c>
      <c r="E960" s="2" t="s">
        <v>12</v>
      </c>
      <c r="F960" s="2" t="s">
        <v>12</v>
      </c>
      <c r="G960" t="s">
        <v>586</v>
      </c>
      <c r="H960" t="str">
        <f t="shared" si="28"/>
        <v>https://videplast.com.br/consulta-imobilizado?id=22003858&amp;nome=CAMISA%20PORTA%20CLICHE%20PASSO%20700MM</v>
      </c>
      <c r="I960" t="e">
        <f t="shared" ca="1" si="29"/>
        <v>#NAME?</v>
      </c>
    </row>
    <row r="961" spans="1:9" x14ac:dyDescent="0.25">
      <c r="A961" s="2" t="s">
        <v>1463</v>
      </c>
      <c r="B961" s="2" t="s">
        <v>10</v>
      </c>
      <c r="C961" s="3">
        <v>44468</v>
      </c>
      <c r="D961" t="s">
        <v>1460</v>
      </c>
      <c r="E961" s="2" t="s">
        <v>12</v>
      </c>
      <c r="F961" s="2" t="s">
        <v>12</v>
      </c>
      <c r="G961" t="s">
        <v>586</v>
      </c>
      <c r="H961" t="str">
        <f t="shared" si="28"/>
        <v>https://videplast.com.br/consulta-imobilizado?id=22003859&amp;nome=CAMISA%20PORTA%20CLICHE%20PASSO%20700MM</v>
      </c>
      <c r="I961" t="e">
        <f t="shared" ca="1" si="29"/>
        <v>#NAME?</v>
      </c>
    </row>
    <row r="962" spans="1:9" x14ac:dyDescent="0.25">
      <c r="A962" s="2" t="s">
        <v>1464</v>
      </c>
      <c r="B962" s="2" t="s">
        <v>10</v>
      </c>
      <c r="C962" s="3">
        <v>44468</v>
      </c>
      <c r="D962" t="s">
        <v>1460</v>
      </c>
      <c r="E962" s="2" t="s">
        <v>12</v>
      </c>
      <c r="F962" s="2" t="s">
        <v>12</v>
      </c>
      <c r="G962" t="s">
        <v>586</v>
      </c>
      <c r="H962" t="str">
        <f t="shared" ref="H962:H1025" si="30" xml:space="preserve"> "https://videplast.com.br/consulta-imobilizado?id=" &amp; A962 &amp; "&amp;nome=" &amp; SUBSTITUTE(D962, " ", "%20")</f>
        <v>https://videplast.com.br/consulta-imobilizado?id=22003860&amp;nome=CAMISA%20PORTA%20CLICHE%20PASSO%20700MM</v>
      </c>
      <c r="I962" t="e">
        <f t="shared" ref="I962:I1025" ca="1" si="31">_xlfn.IMAGE("https://chart.googleapis.com/chart?chs=150x150&amp;cht=qr&amp;chl=" &amp; H962)</f>
        <v>#NAME?</v>
      </c>
    </row>
    <row r="963" spans="1:9" x14ac:dyDescent="0.25">
      <c r="A963" s="2" t="s">
        <v>1465</v>
      </c>
      <c r="B963" s="2" t="s">
        <v>10</v>
      </c>
      <c r="C963" s="3">
        <v>44468</v>
      </c>
      <c r="D963" t="s">
        <v>1460</v>
      </c>
      <c r="E963" s="2" t="s">
        <v>12</v>
      </c>
      <c r="F963" s="2" t="s">
        <v>12</v>
      </c>
      <c r="G963" t="s">
        <v>586</v>
      </c>
      <c r="H963" t="str">
        <f t="shared" si="30"/>
        <v>https://videplast.com.br/consulta-imobilizado?id=22003861&amp;nome=CAMISA%20PORTA%20CLICHE%20PASSO%20700MM</v>
      </c>
      <c r="I963" t="e">
        <f t="shared" ca="1" si="31"/>
        <v>#NAME?</v>
      </c>
    </row>
    <row r="964" spans="1:9" x14ac:dyDescent="0.25">
      <c r="A964" s="2" t="s">
        <v>1466</v>
      </c>
      <c r="B964" s="2" t="s">
        <v>10</v>
      </c>
      <c r="C964" s="3">
        <v>44468</v>
      </c>
      <c r="D964" t="s">
        <v>1460</v>
      </c>
      <c r="E964" s="2" t="s">
        <v>12</v>
      </c>
      <c r="F964" s="2" t="s">
        <v>12</v>
      </c>
      <c r="G964" t="s">
        <v>586</v>
      </c>
      <c r="H964" t="str">
        <f t="shared" si="30"/>
        <v>https://videplast.com.br/consulta-imobilizado?id=22003862&amp;nome=CAMISA%20PORTA%20CLICHE%20PASSO%20700MM</v>
      </c>
      <c r="I964" t="e">
        <f t="shared" ca="1" si="31"/>
        <v>#NAME?</v>
      </c>
    </row>
    <row r="965" spans="1:9" x14ac:dyDescent="0.25">
      <c r="A965" s="2" t="s">
        <v>1467</v>
      </c>
      <c r="B965" s="2" t="s">
        <v>10</v>
      </c>
      <c r="C965" s="3">
        <v>44468</v>
      </c>
      <c r="D965" t="s">
        <v>1460</v>
      </c>
      <c r="E965" s="2" t="s">
        <v>12</v>
      </c>
      <c r="F965" s="2" t="s">
        <v>12</v>
      </c>
      <c r="G965" t="s">
        <v>586</v>
      </c>
      <c r="H965" t="str">
        <f t="shared" si="30"/>
        <v>https://videplast.com.br/consulta-imobilizado?id=22003863&amp;nome=CAMISA%20PORTA%20CLICHE%20PASSO%20700MM</v>
      </c>
      <c r="I965" t="e">
        <f t="shared" ca="1" si="31"/>
        <v>#NAME?</v>
      </c>
    </row>
    <row r="966" spans="1:9" x14ac:dyDescent="0.25">
      <c r="A966" s="2" t="s">
        <v>1468</v>
      </c>
      <c r="B966" s="2" t="s">
        <v>10</v>
      </c>
      <c r="C966" s="3">
        <v>44468</v>
      </c>
      <c r="D966" t="s">
        <v>1469</v>
      </c>
      <c r="E966" s="2" t="s">
        <v>12</v>
      </c>
      <c r="F966" s="2" t="s">
        <v>12</v>
      </c>
      <c r="G966" t="s">
        <v>586</v>
      </c>
      <c r="H966" t="str">
        <f t="shared" si="30"/>
        <v>https://videplast.com.br/consulta-imobilizado?id=22003864&amp;nome=CAMISA%20PORTA%20CLICHE%20PASSO%20460MM</v>
      </c>
      <c r="I966" t="e">
        <f t="shared" ca="1" si="31"/>
        <v>#NAME?</v>
      </c>
    </row>
    <row r="967" spans="1:9" x14ac:dyDescent="0.25">
      <c r="A967" s="2" t="s">
        <v>1470</v>
      </c>
      <c r="B967" s="2" t="s">
        <v>10</v>
      </c>
      <c r="C967" s="3">
        <v>44468</v>
      </c>
      <c r="D967" t="s">
        <v>1469</v>
      </c>
      <c r="E967" s="2" t="s">
        <v>12</v>
      </c>
      <c r="F967" s="2" t="s">
        <v>12</v>
      </c>
      <c r="G967" t="s">
        <v>586</v>
      </c>
      <c r="H967" t="str">
        <f t="shared" si="30"/>
        <v>https://videplast.com.br/consulta-imobilizado?id=22003865&amp;nome=CAMISA%20PORTA%20CLICHE%20PASSO%20460MM</v>
      </c>
      <c r="I967" t="e">
        <f t="shared" ca="1" si="31"/>
        <v>#NAME?</v>
      </c>
    </row>
    <row r="968" spans="1:9" x14ac:dyDescent="0.25">
      <c r="A968" s="2" t="s">
        <v>1471</v>
      </c>
      <c r="B968" s="2" t="s">
        <v>10</v>
      </c>
      <c r="C968" s="3">
        <v>44468</v>
      </c>
      <c r="D968" t="s">
        <v>1469</v>
      </c>
      <c r="E968" s="2" t="s">
        <v>12</v>
      </c>
      <c r="F968" s="2" t="s">
        <v>12</v>
      </c>
      <c r="G968" t="s">
        <v>586</v>
      </c>
      <c r="H968" t="str">
        <f t="shared" si="30"/>
        <v>https://videplast.com.br/consulta-imobilizado?id=22003866&amp;nome=CAMISA%20PORTA%20CLICHE%20PASSO%20460MM</v>
      </c>
      <c r="I968" t="e">
        <f t="shared" ca="1" si="31"/>
        <v>#NAME?</v>
      </c>
    </row>
    <row r="969" spans="1:9" x14ac:dyDescent="0.25">
      <c r="A969" s="2" t="s">
        <v>1472</v>
      </c>
      <c r="B969" s="2" t="s">
        <v>10</v>
      </c>
      <c r="C969" s="3">
        <v>44468</v>
      </c>
      <c r="D969" t="s">
        <v>1469</v>
      </c>
      <c r="E969" s="2" t="s">
        <v>12</v>
      </c>
      <c r="F969" s="2" t="s">
        <v>12</v>
      </c>
      <c r="G969" t="s">
        <v>586</v>
      </c>
      <c r="H969" t="str">
        <f t="shared" si="30"/>
        <v>https://videplast.com.br/consulta-imobilizado?id=22003867&amp;nome=CAMISA%20PORTA%20CLICHE%20PASSO%20460MM</v>
      </c>
      <c r="I969" t="e">
        <f t="shared" ca="1" si="31"/>
        <v>#NAME?</v>
      </c>
    </row>
    <row r="970" spans="1:9" x14ac:dyDescent="0.25">
      <c r="A970" s="2" t="s">
        <v>1473</v>
      </c>
      <c r="B970" s="2" t="s">
        <v>10</v>
      </c>
      <c r="C970" s="3">
        <v>44468</v>
      </c>
      <c r="D970" t="s">
        <v>1469</v>
      </c>
      <c r="E970" s="2" t="s">
        <v>12</v>
      </c>
      <c r="F970" s="2" t="s">
        <v>12</v>
      </c>
      <c r="G970" t="s">
        <v>586</v>
      </c>
      <c r="H970" t="str">
        <f t="shared" si="30"/>
        <v>https://videplast.com.br/consulta-imobilizado?id=22003868&amp;nome=CAMISA%20PORTA%20CLICHE%20PASSO%20460MM</v>
      </c>
      <c r="I970" t="e">
        <f t="shared" ca="1" si="31"/>
        <v>#NAME?</v>
      </c>
    </row>
    <row r="971" spans="1:9" x14ac:dyDescent="0.25">
      <c r="A971" s="2" t="s">
        <v>1474</v>
      </c>
      <c r="B971" s="2" t="s">
        <v>10</v>
      </c>
      <c r="C971" s="3">
        <v>44468</v>
      </c>
      <c r="D971" t="s">
        <v>1469</v>
      </c>
      <c r="E971" s="2" t="s">
        <v>12</v>
      </c>
      <c r="F971" s="2" t="s">
        <v>12</v>
      </c>
      <c r="G971" t="s">
        <v>586</v>
      </c>
      <c r="H971" t="str">
        <f t="shared" si="30"/>
        <v>https://videplast.com.br/consulta-imobilizado?id=22003869&amp;nome=CAMISA%20PORTA%20CLICHE%20PASSO%20460MM</v>
      </c>
      <c r="I971" t="e">
        <f t="shared" ca="1" si="31"/>
        <v>#NAME?</v>
      </c>
    </row>
    <row r="972" spans="1:9" x14ac:dyDescent="0.25">
      <c r="A972" s="2" t="s">
        <v>1475</v>
      </c>
      <c r="B972" s="2" t="s">
        <v>10</v>
      </c>
      <c r="C972" s="3">
        <v>44468</v>
      </c>
      <c r="D972" t="s">
        <v>1469</v>
      </c>
      <c r="E972" s="2" t="s">
        <v>12</v>
      </c>
      <c r="F972" s="2" t="s">
        <v>12</v>
      </c>
      <c r="G972" t="s">
        <v>586</v>
      </c>
      <c r="H972" t="str">
        <f t="shared" si="30"/>
        <v>https://videplast.com.br/consulta-imobilizado?id=22003870&amp;nome=CAMISA%20PORTA%20CLICHE%20PASSO%20460MM</v>
      </c>
      <c r="I972" t="e">
        <f t="shared" ca="1" si="31"/>
        <v>#NAME?</v>
      </c>
    </row>
    <row r="973" spans="1:9" x14ac:dyDescent="0.25">
      <c r="A973" s="2" t="s">
        <v>1476</v>
      </c>
      <c r="B973" s="2" t="s">
        <v>10</v>
      </c>
      <c r="C973" s="3">
        <v>44468</v>
      </c>
      <c r="D973" t="s">
        <v>1469</v>
      </c>
      <c r="E973" s="2" t="s">
        <v>12</v>
      </c>
      <c r="F973" s="2" t="s">
        <v>12</v>
      </c>
      <c r="G973" t="s">
        <v>586</v>
      </c>
      <c r="H973" t="str">
        <f t="shared" si="30"/>
        <v>https://videplast.com.br/consulta-imobilizado?id=22003871&amp;nome=CAMISA%20PORTA%20CLICHE%20PASSO%20460MM</v>
      </c>
      <c r="I973" t="e">
        <f t="shared" ca="1" si="31"/>
        <v>#NAME?</v>
      </c>
    </row>
    <row r="974" spans="1:9" x14ac:dyDescent="0.25">
      <c r="A974" s="2" t="s">
        <v>1477</v>
      </c>
      <c r="B974" s="2" t="s">
        <v>10</v>
      </c>
      <c r="C974" s="3">
        <v>44468</v>
      </c>
      <c r="D974" t="s">
        <v>1478</v>
      </c>
      <c r="E974" s="2" t="s">
        <v>12</v>
      </c>
      <c r="F974" s="2" t="s">
        <v>12</v>
      </c>
      <c r="G974" t="s">
        <v>586</v>
      </c>
      <c r="H974" t="str">
        <f t="shared" si="30"/>
        <v>https://videplast.com.br/consulta-imobilizado?id=22003872&amp;nome=CAMISA%20PORTA%20CLICHE%20PASSO%20470MM</v>
      </c>
      <c r="I974" t="e">
        <f t="shared" ca="1" si="31"/>
        <v>#NAME?</v>
      </c>
    </row>
    <row r="975" spans="1:9" x14ac:dyDescent="0.25">
      <c r="A975" s="2" t="s">
        <v>1479</v>
      </c>
      <c r="B975" s="2" t="s">
        <v>10</v>
      </c>
      <c r="C975" s="3">
        <v>44468</v>
      </c>
      <c r="D975" t="s">
        <v>1478</v>
      </c>
      <c r="E975" s="2" t="s">
        <v>12</v>
      </c>
      <c r="F975" s="2" t="s">
        <v>12</v>
      </c>
      <c r="G975" t="s">
        <v>586</v>
      </c>
      <c r="H975" t="str">
        <f t="shared" si="30"/>
        <v>https://videplast.com.br/consulta-imobilizado?id=22003873&amp;nome=CAMISA%20PORTA%20CLICHE%20PASSO%20470MM</v>
      </c>
      <c r="I975" t="e">
        <f t="shared" ca="1" si="31"/>
        <v>#NAME?</v>
      </c>
    </row>
    <row r="976" spans="1:9" x14ac:dyDescent="0.25">
      <c r="A976" s="2" t="s">
        <v>1480</v>
      </c>
      <c r="B976" s="2" t="s">
        <v>10</v>
      </c>
      <c r="C976" s="3">
        <v>44468</v>
      </c>
      <c r="D976" t="s">
        <v>1478</v>
      </c>
      <c r="E976" s="2" t="s">
        <v>12</v>
      </c>
      <c r="F976" s="2" t="s">
        <v>12</v>
      </c>
      <c r="G976" t="s">
        <v>586</v>
      </c>
      <c r="H976" t="str">
        <f t="shared" si="30"/>
        <v>https://videplast.com.br/consulta-imobilizado?id=22003874&amp;nome=CAMISA%20PORTA%20CLICHE%20PASSO%20470MM</v>
      </c>
      <c r="I976" t="e">
        <f t="shared" ca="1" si="31"/>
        <v>#NAME?</v>
      </c>
    </row>
    <row r="977" spans="1:9" x14ac:dyDescent="0.25">
      <c r="A977" s="2" t="s">
        <v>1481</v>
      </c>
      <c r="B977" s="2" t="s">
        <v>10</v>
      </c>
      <c r="C977" s="3">
        <v>44468</v>
      </c>
      <c r="D977" t="s">
        <v>1478</v>
      </c>
      <c r="E977" s="2" t="s">
        <v>12</v>
      </c>
      <c r="F977" s="2" t="s">
        <v>12</v>
      </c>
      <c r="G977" t="s">
        <v>586</v>
      </c>
      <c r="H977" t="str">
        <f t="shared" si="30"/>
        <v>https://videplast.com.br/consulta-imobilizado?id=22003875&amp;nome=CAMISA%20PORTA%20CLICHE%20PASSO%20470MM</v>
      </c>
      <c r="I977" t="e">
        <f t="shared" ca="1" si="31"/>
        <v>#NAME?</v>
      </c>
    </row>
    <row r="978" spans="1:9" x14ac:dyDescent="0.25">
      <c r="A978" s="2" t="s">
        <v>1482</v>
      </c>
      <c r="B978" s="2" t="s">
        <v>10</v>
      </c>
      <c r="C978" s="3">
        <v>44468</v>
      </c>
      <c r="D978" t="s">
        <v>1478</v>
      </c>
      <c r="E978" s="2" t="s">
        <v>12</v>
      </c>
      <c r="F978" s="2" t="s">
        <v>12</v>
      </c>
      <c r="G978" t="s">
        <v>586</v>
      </c>
      <c r="H978" t="str">
        <f t="shared" si="30"/>
        <v>https://videplast.com.br/consulta-imobilizado?id=22003876&amp;nome=CAMISA%20PORTA%20CLICHE%20PASSO%20470MM</v>
      </c>
      <c r="I978" t="e">
        <f t="shared" ca="1" si="31"/>
        <v>#NAME?</v>
      </c>
    </row>
    <row r="979" spans="1:9" x14ac:dyDescent="0.25">
      <c r="A979" s="2" t="s">
        <v>1483</v>
      </c>
      <c r="B979" s="2" t="s">
        <v>10</v>
      </c>
      <c r="C979" s="3">
        <v>44468</v>
      </c>
      <c r="D979" t="s">
        <v>1478</v>
      </c>
      <c r="E979" s="2" t="s">
        <v>12</v>
      </c>
      <c r="F979" s="2" t="s">
        <v>12</v>
      </c>
      <c r="G979" t="s">
        <v>586</v>
      </c>
      <c r="H979" t="str">
        <f t="shared" si="30"/>
        <v>https://videplast.com.br/consulta-imobilizado?id=22003877&amp;nome=CAMISA%20PORTA%20CLICHE%20PASSO%20470MM</v>
      </c>
      <c r="I979" t="e">
        <f t="shared" ca="1" si="31"/>
        <v>#NAME?</v>
      </c>
    </row>
    <row r="980" spans="1:9" x14ac:dyDescent="0.25">
      <c r="A980" s="2" t="s">
        <v>1484</v>
      </c>
      <c r="B980" s="2" t="s">
        <v>10</v>
      </c>
      <c r="C980" s="3">
        <v>44468</v>
      </c>
      <c r="D980" t="s">
        <v>1478</v>
      </c>
      <c r="E980" s="2" t="s">
        <v>12</v>
      </c>
      <c r="F980" s="2" t="s">
        <v>12</v>
      </c>
      <c r="G980" t="s">
        <v>586</v>
      </c>
      <c r="H980" t="str">
        <f t="shared" si="30"/>
        <v>https://videplast.com.br/consulta-imobilizado?id=22003878&amp;nome=CAMISA%20PORTA%20CLICHE%20PASSO%20470MM</v>
      </c>
      <c r="I980" t="e">
        <f t="shared" ca="1" si="31"/>
        <v>#NAME?</v>
      </c>
    </row>
    <row r="981" spans="1:9" x14ac:dyDescent="0.25">
      <c r="A981" s="2" t="s">
        <v>1485</v>
      </c>
      <c r="B981" s="2" t="s">
        <v>10</v>
      </c>
      <c r="C981" s="3">
        <v>44468</v>
      </c>
      <c r="D981" t="s">
        <v>1478</v>
      </c>
      <c r="E981" s="2" t="s">
        <v>12</v>
      </c>
      <c r="F981" s="2" t="s">
        <v>12</v>
      </c>
      <c r="G981" t="s">
        <v>586</v>
      </c>
      <c r="H981" t="str">
        <f t="shared" si="30"/>
        <v>https://videplast.com.br/consulta-imobilizado?id=22003879&amp;nome=CAMISA%20PORTA%20CLICHE%20PASSO%20470MM</v>
      </c>
      <c r="I981" t="e">
        <f t="shared" ca="1" si="31"/>
        <v>#NAME?</v>
      </c>
    </row>
    <row r="982" spans="1:9" x14ac:dyDescent="0.25">
      <c r="A982" s="2" t="s">
        <v>1486</v>
      </c>
      <c r="B982" s="2" t="s">
        <v>10</v>
      </c>
      <c r="C982" s="3">
        <v>44468</v>
      </c>
      <c r="D982" t="s">
        <v>1487</v>
      </c>
      <c r="E982" s="2" t="s">
        <v>12</v>
      </c>
      <c r="F982" s="2" t="s">
        <v>12</v>
      </c>
      <c r="G982" t="s">
        <v>586</v>
      </c>
      <c r="H982" t="str">
        <f t="shared" si="30"/>
        <v>https://videplast.com.br/consulta-imobilizado?id=22003880&amp;nome=CAMISA%20PORTA%20CLICHE%20PASSO%20440MM</v>
      </c>
      <c r="I982" t="e">
        <f t="shared" ca="1" si="31"/>
        <v>#NAME?</v>
      </c>
    </row>
    <row r="983" spans="1:9" x14ac:dyDescent="0.25">
      <c r="A983" s="2" t="s">
        <v>1488</v>
      </c>
      <c r="B983" s="2" t="s">
        <v>10</v>
      </c>
      <c r="C983" s="3">
        <v>44468</v>
      </c>
      <c r="D983" t="s">
        <v>1487</v>
      </c>
      <c r="E983" s="2" t="s">
        <v>12</v>
      </c>
      <c r="F983" s="2" t="s">
        <v>12</v>
      </c>
      <c r="G983" t="s">
        <v>586</v>
      </c>
      <c r="H983" t="str">
        <f t="shared" si="30"/>
        <v>https://videplast.com.br/consulta-imobilizado?id=22003881&amp;nome=CAMISA%20PORTA%20CLICHE%20PASSO%20440MM</v>
      </c>
      <c r="I983" t="e">
        <f t="shared" ca="1" si="31"/>
        <v>#NAME?</v>
      </c>
    </row>
    <row r="984" spans="1:9" x14ac:dyDescent="0.25">
      <c r="A984" s="2" t="s">
        <v>1489</v>
      </c>
      <c r="B984" s="2" t="s">
        <v>10</v>
      </c>
      <c r="C984" s="3">
        <v>44468</v>
      </c>
      <c r="D984" t="s">
        <v>1487</v>
      </c>
      <c r="E984" s="2" t="s">
        <v>12</v>
      </c>
      <c r="F984" s="2" t="s">
        <v>12</v>
      </c>
      <c r="G984" t="s">
        <v>586</v>
      </c>
      <c r="H984" t="str">
        <f t="shared" si="30"/>
        <v>https://videplast.com.br/consulta-imobilizado?id=22003882&amp;nome=CAMISA%20PORTA%20CLICHE%20PASSO%20440MM</v>
      </c>
      <c r="I984" t="e">
        <f t="shared" ca="1" si="31"/>
        <v>#NAME?</v>
      </c>
    </row>
    <row r="985" spans="1:9" x14ac:dyDescent="0.25">
      <c r="A985" s="2" t="s">
        <v>1490</v>
      </c>
      <c r="B985" s="2" t="s">
        <v>10</v>
      </c>
      <c r="C985" s="3">
        <v>44468</v>
      </c>
      <c r="D985" t="s">
        <v>1487</v>
      </c>
      <c r="E985" s="2" t="s">
        <v>12</v>
      </c>
      <c r="F985" s="2" t="s">
        <v>12</v>
      </c>
      <c r="G985" t="s">
        <v>586</v>
      </c>
      <c r="H985" t="str">
        <f t="shared" si="30"/>
        <v>https://videplast.com.br/consulta-imobilizado?id=22003883&amp;nome=CAMISA%20PORTA%20CLICHE%20PASSO%20440MM</v>
      </c>
      <c r="I985" t="e">
        <f t="shared" ca="1" si="31"/>
        <v>#NAME?</v>
      </c>
    </row>
    <row r="986" spans="1:9" x14ac:dyDescent="0.25">
      <c r="A986" s="2" t="s">
        <v>1491</v>
      </c>
      <c r="B986" s="2" t="s">
        <v>10</v>
      </c>
      <c r="C986" s="3">
        <v>44468</v>
      </c>
      <c r="D986" t="s">
        <v>1487</v>
      </c>
      <c r="E986" s="2" t="s">
        <v>12</v>
      </c>
      <c r="F986" s="2" t="s">
        <v>12</v>
      </c>
      <c r="G986" t="s">
        <v>586</v>
      </c>
      <c r="H986" t="str">
        <f t="shared" si="30"/>
        <v>https://videplast.com.br/consulta-imobilizado?id=22003884&amp;nome=CAMISA%20PORTA%20CLICHE%20PASSO%20440MM</v>
      </c>
      <c r="I986" t="e">
        <f t="shared" ca="1" si="31"/>
        <v>#NAME?</v>
      </c>
    </row>
    <row r="987" spans="1:9" x14ac:dyDescent="0.25">
      <c r="A987" s="2" t="s">
        <v>1492</v>
      </c>
      <c r="B987" s="2" t="s">
        <v>10</v>
      </c>
      <c r="C987" s="3">
        <v>44468</v>
      </c>
      <c r="D987" t="s">
        <v>1487</v>
      </c>
      <c r="E987" s="2" t="s">
        <v>12</v>
      </c>
      <c r="F987" s="2" t="s">
        <v>12</v>
      </c>
      <c r="G987" t="s">
        <v>586</v>
      </c>
      <c r="H987" t="str">
        <f t="shared" si="30"/>
        <v>https://videplast.com.br/consulta-imobilizado?id=22003885&amp;nome=CAMISA%20PORTA%20CLICHE%20PASSO%20440MM</v>
      </c>
      <c r="I987" t="e">
        <f t="shared" ca="1" si="31"/>
        <v>#NAME?</v>
      </c>
    </row>
    <row r="988" spans="1:9" x14ac:dyDescent="0.25">
      <c r="A988" s="2" t="s">
        <v>1493</v>
      </c>
      <c r="B988" s="2" t="s">
        <v>10</v>
      </c>
      <c r="C988" s="3">
        <v>44468</v>
      </c>
      <c r="D988" t="s">
        <v>1487</v>
      </c>
      <c r="E988" s="2" t="s">
        <v>12</v>
      </c>
      <c r="F988" s="2" t="s">
        <v>12</v>
      </c>
      <c r="G988" t="s">
        <v>586</v>
      </c>
      <c r="H988" t="str">
        <f t="shared" si="30"/>
        <v>https://videplast.com.br/consulta-imobilizado?id=22003886&amp;nome=CAMISA%20PORTA%20CLICHE%20PASSO%20440MM</v>
      </c>
      <c r="I988" t="e">
        <f t="shared" ca="1" si="31"/>
        <v>#NAME?</v>
      </c>
    </row>
    <row r="989" spans="1:9" x14ac:dyDescent="0.25">
      <c r="A989" s="2" t="s">
        <v>1494</v>
      </c>
      <c r="B989" s="2" t="s">
        <v>10</v>
      </c>
      <c r="C989" s="3">
        <v>44468</v>
      </c>
      <c r="D989" t="s">
        <v>1487</v>
      </c>
      <c r="E989" s="2" t="s">
        <v>12</v>
      </c>
      <c r="F989" s="2" t="s">
        <v>12</v>
      </c>
      <c r="G989" t="s">
        <v>586</v>
      </c>
      <c r="H989" t="str">
        <f t="shared" si="30"/>
        <v>https://videplast.com.br/consulta-imobilizado?id=22003887&amp;nome=CAMISA%20PORTA%20CLICHE%20PASSO%20440MM</v>
      </c>
      <c r="I989" t="e">
        <f t="shared" ca="1" si="31"/>
        <v>#NAME?</v>
      </c>
    </row>
    <row r="990" spans="1:9" x14ac:dyDescent="0.25">
      <c r="A990" s="2" t="s">
        <v>1495</v>
      </c>
      <c r="B990" s="2" t="s">
        <v>10</v>
      </c>
      <c r="C990" s="3">
        <v>44468</v>
      </c>
      <c r="D990" t="s">
        <v>1496</v>
      </c>
      <c r="E990" s="2" t="s">
        <v>12</v>
      </c>
      <c r="F990" s="2" t="s">
        <v>12</v>
      </c>
      <c r="G990" t="s">
        <v>586</v>
      </c>
      <c r="H990" t="str">
        <f t="shared" si="30"/>
        <v>https://videplast.com.br/consulta-imobilizado?id=22003888&amp;nome=CAMISA%20PORTA%20CLICHE%20PASSO%20530MM</v>
      </c>
      <c r="I990" t="e">
        <f t="shared" ca="1" si="31"/>
        <v>#NAME?</v>
      </c>
    </row>
    <row r="991" spans="1:9" x14ac:dyDescent="0.25">
      <c r="A991" s="2" t="s">
        <v>1497</v>
      </c>
      <c r="B991" s="2" t="s">
        <v>10</v>
      </c>
      <c r="C991" s="3">
        <v>44468</v>
      </c>
      <c r="D991" t="s">
        <v>1496</v>
      </c>
      <c r="E991" s="2" t="s">
        <v>12</v>
      </c>
      <c r="F991" s="2" t="s">
        <v>12</v>
      </c>
      <c r="G991" t="s">
        <v>586</v>
      </c>
      <c r="H991" t="str">
        <f t="shared" si="30"/>
        <v>https://videplast.com.br/consulta-imobilizado?id=22003889&amp;nome=CAMISA%20PORTA%20CLICHE%20PASSO%20530MM</v>
      </c>
      <c r="I991" t="e">
        <f t="shared" ca="1" si="31"/>
        <v>#NAME?</v>
      </c>
    </row>
    <row r="992" spans="1:9" x14ac:dyDescent="0.25">
      <c r="A992" s="2" t="s">
        <v>1498</v>
      </c>
      <c r="B992" s="2" t="s">
        <v>10</v>
      </c>
      <c r="C992" s="3">
        <v>44468</v>
      </c>
      <c r="D992" t="s">
        <v>1496</v>
      </c>
      <c r="E992" s="2" t="s">
        <v>12</v>
      </c>
      <c r="F992" s="2" t="s">
        <v>12</v>
      </c>
      <c r="G992" t="s">
        <v>586</v>
      </c>
      <c r="H992" t="str">
        <f t="shared" si="30"/>
        <v>https://videplast.com.br/consulta-imobilizado?id=22003890&amp;nome=CAMISA%20PORTA%20CLICHE%20PASSO%20530MM</v>
      </c>
      <c r="I992" t="e">
        <f t="shared" ca="1" si="31"/>
        <v>#NAME?</v>
      </c>
    </row>
    <row r="993" spans="1:9" x14ac:dyDescent="0.25">
      <c r="A993" s="2" t="s">
        <v>1499</v>
      </c>
      <c r="B993" s="2" t="s">
        <v>10</v>
      </c>
      <c r="C993" s="3">
        <v>44468</v>
      </c>
      <c r="D993" t="s">
        <v>1496</v>
      </c>
      <c r="E993" s="2" t="s">
        <v>12</v>
      </c>
      <c r="F993" s="2" t="s">
        <v>12</v>
      </c>
      <c r="G993" t="s">
        <v>586</v>
      </c>
      <c r="H993" t="str">
        <f t="shared" si="30"/>
        <v>https://videplast.com.br/consulta-imobilizado?id=22003891&amp;nome=CAMISA%20PORTA%20CLICHE%20PASSO%20530MM</v>
      </c>
      <c r="I993" t="e">
        <f t="shared" ca="1" si="31"/>
        <v>#NAME?</v>
      </c>
    </row>
    <row r="994" spans="1:9" x14ac:dyDescent="0.25">
      <c r="A994" s="2" t="s">
        <v>1500</v>
      </c>
      <c r="B994" s="2" t="s">
        <v>10</v>
      </c>
      <c r="C994" s="3">
        <v>44468</v>
      </c>
      <c r="D994" t="s">
        <v>1496</v>
      </c>
      <c r="E994" s="2" t="s">
        <v>12</v>
      </c>
      <c r="F994" s="2" t="s">
        <v>12</v>
      </c>
      <c r="G994" t="s">
        <v>586</v>
      </c>
      <c r="H994" t="str">
        <f t="shared" si="30"/>
        <v>https://videplast.com.br/consulta-imobilizado?id=22003892&amp;nome=CAMISA%20PORTA%20CLICHE%20PASSO%20530MM</v>
      </c>
      <c r="I994" t="e">
        <f t="shared" ca="1" si="31"/>
        <v>#NAME?</v>
      </c>
    </row>
    <row r="995" spans="1:9" x14ac:dyDescent="0.25">
      <c r="A995" s="2" t="s">
        <v>1501</v>
      </c>
      <c r="B995" s="2" t="s">
        <v>10</v>
      </c>
      <c r="C995" s="3">
        <v>44468</v>
      </c>
      <c r="D995" t="s">
        <v>1496</v>
      </c>
      <c r="E995" s="2" t="s">
        <v>12</v>
      </c>
      <c r="F995" s="2" t="s">
        <v>12</v>
      </c>
      <c r="G995" t="s">
        <v>586</v>
      </c>
      <c r="H995" t="str">
        <f t="shared" si="30"/>
        <v>https://videplast.com.br/consulta-imobilizado?id=22003893&amp;nome=CAMISA%20PORTA%20CLICHE%20PASSO%20530MM</v>
      </c>
      <c r="I995" t="e">
        <f t="shared" ca="1" si="31"/>
        <v>#NAME?</v>
      </c>
    </row>
    <row r="996" spans="1:9" x14ac:dyDescent="0.25">
      <c r="A996" s="2" t="s">
        <v>1502</v>
      </c>
      <c r="B996" s="2" t="s">
        <v>10</v>
      </c>
      <c r="C996" s="3">
        <v>44468</v>
      </c>
      <c r="D996" t="s">
        <v>1496</v>
      </c>
      <c r="E996" s="2" t="s">
        <v>12</v>
      </c>
      <c r="F996" s="2" t="s">
        <v>12</v>
      </c>
      <c r="G996" t="s">
        <v>586</v>
      </c>
      <c r="H996" t="str">
        <f t="shared" si="30"/>
        <v>https://videplast.com.br/consulta-imobilizado?id=22003894&amp;nome=CAMISA%20PORTA%20CLICHE%20PASSO%20530MM</v>
      </c>
      <c r="I996" t="e">
        <f t="shared" ca="1" si="31"/>
        <v>#NAME?</v>
      </c>
    </row>
    <row r="997" spans="1:9" x14ac:dyDescent="0.25">
      <c r="A997" s="2" t="s">
        <v>1503</v>
      </c>
      <c r="B997" s="2" t="s">
        <v>10</v>
      </c>
      <c r="C997" s="3">
        <v>44468</v>
      </c>
      <c r="D997" t="s">
        <v>1496</v>
      </c>
      <c r="E997" s="2" t="s">
        <v>12</v>
      </c>
      <c r="F997" s="2" t="s">
        <v>12</v>
      </c>
      <c r="G997" t="s">
        <v>586</v>
      </c>
      <c r="H997" t="str">
        <f t="shared" si="30"/>
        <v>https://videplast.com.br/consulta-imobilizado?id=22003895&amp;nome=CAMISA%20PORTA%20CLICHE%20PASSO%20530MM</v>
      </c>
      <c r="I997" t="e">
        <f t="shared" ca="1" si="31"/>
        <v>#NAME?</v>
      </c>
    </row>
    <row r="998" spans="1:9" x14ac:dyDescent="0.25">
      <c r="A998" s="2" t="s">
        <v>1504</v>
      </c>
      <c r="B998" s="2" t="s">
        <v>10</v>
      </c>
      <c r="C998" s="3">
        <v>44830</v>
      </c>
      <c r="D998" t="s">
        <v>1505</v>
      </c>
      <c r="E998" s="2" t="s">
        <v>12</v>
      </c>
      <c r="F998" s="2" t="s">
        <v>1506</v>
      </c>
      <c r="G998" t="s">
        <v>586</v>
      </c>
      <c r="H998" t="str">
        <f t="shared" si="30"/>
        <v>https://videplast.com.br/consulta-imobilizado?id=22003996&amp;nome=CAMISA%20ANILOX%20CARBOLOX%20TBA%20162,340X143,356X1330</v>
      </c>
      <c r="I998" t="e">
        <f t="shared" ca="1" si="31"/>
        <v>#NAME?</v>
      </c>
    </row>
    <row r="999" spans="1:9" x14ac:dyDescent="0.25">
      <c r="A999" s="2" t="s">
        <v>1507</v>
      </c>
      <c r="B999" s="2" t="s">
        <v>10</v>
      </c>
      <c r="C999" s="3">
        <v>44830</v>
      </c>
      <c r="D999" t="s">
        <v>1505</v>
      </c>
      <c r="E999" s="2" t="s">
        <v>12</v>
      </c>
      <c r="F999" s="2" t="s">
        <v>1508</v>
      </c>
      <c r="G999" t="s">
        <v>586</v>
      </c>
      <c r="H999" t="str">
        <f t="shared" si="30"/>
        <v>https://videplast.com.br/consulta-imobilizado?id=22003997&amp;nome=CAMISA%20ANILOX%20CARBOLOX%20TBA%20162,340X143,356X1330</v>
      </c>
      <c r="I999" t="e">
        <f t="shared" ca="1" si="31"/>
        <v>#NAME?</v>
      </c>
    </row>
    <row r="1000" spans="1:9" x14ac:dyDescent="0.25">
      <c r="A1000" s="2" t="s">
        <v>1509</v>
      </c>
      <c r="B1000" s="2" t="s">
        <v>10</v>
      </c>
      <c r="C1000" s="3">
        <v>44869</v>
      </c>
      <c r="D1000" t="s">
        <v>1510</v>
      </c>
      <c r="E1000" s="2" t="s">
        <v>12</v>
      </c>
      <c r="F1000" s="2" t="s">
        <v>12</v>
      </c>
      <c r="G1000" t="s">
        <v>586</v>
      </c>
      <c r="H1000" t="str">
        <f t="shared" si="30"/>
        <v>https://videplast.com.br/consulta-imobilizado?id=22004052&amp;nome=CAMISA%20PORTA%20CLICHE%20510MM</v>
      </c>
      <c r="I1000" t="e">
        <f t="shared" ca="1" si="31"/>
        <v>#NAME?</v>
      </c>
    </row>
    <row r="1001" spans="1:9" x14ac:dyDescent="0.25">
      <c r="A1001" s="2" t="s">
        <v>1511</v>
      </c>
      <c r="B1001" s="2" t="s">
        <v>10</v>
      </c>
      <c r="C1001" s="3">
        <v>44869</v>
      </c>
      <c r="D1001" t="s">
        <v>1510</v>
      </c>
      <c r="E1001" s="2" t="s">
        <v>12</v>
      </c>
      <c r="F1001" s="2" t="s">
        <v>12</v>
      </c>
      <c r="G1001" t="s">
        <v>586</v>
      </c>
      <c r="H1001" t="str">
        <f t="shared" si="30"/>
        <v>https://videplast.com.br/consulta-imobilizado?id=22004053&amp;nome=CAMISA%20PORTA%20CLICHE%20510MM</v>
      </c>
      <c r="I1001" t="e">
        <f t="shared" ca="1" si="31"/>
        <v>#NAME?</v>
      </c>
    </row>
    <row r="1002" spans="1:9" x14ac:dyDescent="0.25">
      <c r="A1002" s="2" t="s">
        <v>1512</v>
      </c>
      <c r="B1002" s="2" t="s">
        <v>10</v>
      </c>
      <c r="C1002" s="3">
        <v>44869</v>
      </c>
      <c r="D1002" t="s">
        <v>1510</v>
      </c>
      <c r="E1002" s="2" t="s">
        <v>12</v>
      </c>
      <c r="F1002" s="2" t="s">
        <v>12</v>
      </c>
      <c r="G1002" t="s">
        <v>586</v>
      </c>
      <c r="H1002" t="str">
        <f t="shared" si="30"/>
        <v>https://videplast.com.br/consulta-imobilizado?id=22004054&amp;nome=CAMISA%20PORTA%20CLICHE%20510MM</v>
      </c>
      <c r="I1002" t="e">
        <f t="shared" ca="1" si="31"/>
        <v>#NAME?</v>
      </c>
    </row>
    <row r="1003" spans="1:9" x14ac:dyDescent="0.25">
      <c r="A1003" s="2" t="s">
        <v>1513</v>
      </c>
      <c r="B1003" s="2" t="s">
        <v>10</v>
      </c>
      <c r="C1003" s="3">
        <v>44869</v>
      </c>
      <c r="D1003" t="s">
        <v>1510</v>
      </c>
      <c r="E1003" s="2" t="s">
        <v>12</v>
      </c>
      <c r="F1003" s="2" t="s">
        <v>12</v>
      </c>
      <c r="G1003" t="s">
        <v>586</v>
      </c>
      <c r="H1003" t="str">
        <f t="shared" si="30"/>
        <v>https://videplast.com.br/consulta-imobilizado?id=22004055&amp;nome=CAMISA%20PORTA%20CLICHE%20510MM</v>
      </c>
      <c r="I1003" t="e">
        <f t="shared" ca="1" si="31"/>
        <v>#NAME?</v>
      </c>
    </row>
    <row r="1004" spans="1:9" x14ac:dyDescent="0.25">
      <c r="A1004" s="2" t="s">
        <v>1514</v>
      </c>
      <c r="B1004" s="2" t="s">
        <v>10</v>
      </c>
      <c r="C1004" s="3">
        <v>44869</v>
      </c>
      <c r="D1004" t="s">
        <v>1510</v>
      </c>
      <c r="E1004" s="2" t="s">
        <v>12</v>
      </c>
      <c r="F1004" s="2" t="s">
        <v>12</v>
      </c>
      <c r="G1004" t="s">
        <v>586</v>
      </c>
      <c r="H1004" t="str">
        <f t="shared" si="30"/>
        <v>https://videplast.com.br/consulta-imobilizado?id=22004056&amp;nome=CAMISA%20PORTA%20CLICHE%20510MM</v>
      </c>
      <c r="I1004" t="e">
        <f t="shared" ca="1" si="31"/>
        <v>#NAME?</v>
      </c>
    </row>
    <row r="1005" spans="1:9" x14ac:dyDescent="0.25">
      <c r="A1005" s="2" t="s">
        <v>1515</v>
      </c>
      <c r="B1005" s="2" t="s">
        <v>10</v>
      </c>
      <c r="C1005" s="3">
        <v>44869</v>
      </c>
      <c r="D1005" t="s">
        <v>1510</v>
      </c>
      <c r="E1005" s="2" t="s">
        <v>12</v>
      </c>
      <c r="F1005" s="2" t="s">
        <v>12</v>
      </c>
      <c r="G1005" t="s">
        <v>586</v>
      </c>
      <c r="H1005" t="str">
        <f t="shared" si="30"/>
        <v>https://videplast.com.br/consulta-imobilizado?id=22004057&amp;nome=CAMISA%20PORTA%20CLICHE%20510MM</v>
      </c>
      <c r="I1005" t="e">
        <f t="shared" ca="1" si="31"/>
        <v>#NAME?</v>
      </c>
    </row>
    <row r="1006" spans="1:9" x14ac:dyDescent="0.25">
      <c r="A1006" s="2" t="s">
        <v>1516</v>
      </c>
      <c r="B1006" s="2" t="s">
        <v>10</v>
      </c>
      <c r="C1006" s="3">
        <v>44869</v>
      </c>
      <c r="D1006" t="s">
        <v>1510</v>
      </c>
      <c r="E1006" s="2" t="s">
        <v>12</v>
      </c>
      <c r="F1006" s="2" t="s">
        <v>12</v>
      </c>
      <c r="G1006" t="s">
        <v>586</v>
      </c>
      <c r="H1006" t="str">
        <f t="shared" si="30"/>
        <v>https://videplast.com.br/consulta-imobilizado?id=22004058&amp;nome=CAMISA%20PORTA%20CLICHE%20510MM</v>
      </c>
      <c r="I1006" t="e">
        <f t="shared" ca="1" si="31"/>
        <v>#NAME?</v>
      </c>
    </row>
    <row r="1007" spans="1:9" x14ac:dyDescent="0.25">
      <c r="A1007" s="2" t="s">
        <v>1517</v>
      </c>
      <c r="B1007" s="2" t="s">
        <v>10</v>
      </c>
      <c r="C1007" s="3">
        <v>44869</v>
      </c>
      <c r="D1007" t="s">
        <v>1510</v>
      </c>
      <c r="E1007" s="2" t="s">
        <v>12</v>
      </c>
      <c r="F1007" s="2" t="s">
        <v>12</v>
      </c>
      <c r="G1007" t="s">
        <v>586</v>
      </c>
      <c r="H1007" t="str">
        <f t="shared" si="30"/>
        <v>https://videplast.com.br/consulta-imobilizado?id=22004059&amp;nome=CAMISA%20PORTA%20CLICHE%20510MM</v>
      </c>
      <c r="I1007" t="e">
        <f t="shared" ca="1" si="31"/>
        <v>#NAME?</v>
      </c>
    </row>
    <row r="1008" spans="1:9" x14ac:dyDescent="0.25">
      <c r="A1008" s="2" t="s">
        <v>1518</v>
      </c>
      <c r="B1008" s="2" t="s">
        <v>10</v>
      </c>
      <c r="C1008" s="3">
        <v>44869</v>
      </c>
      <c r="D1008" t="s">
        <v>1519</v>
      </c>
      <c r="E1008" s="2" t="s">
        <v>12</v>
      </c>
      <c r="F1008" s="2" t="s">
        <v>12</v>
      </c>
      <c r="G1008" t="s">
        <v>586</v>
      </c>
      <c r="H1008" t="str">
        <f t="shared" si="30"/>
        <v>https://videplast.com.br/consulta-imobilizado?id=22004060&amp;nome=CAMISA%20PORTA%20CLICHE%20440MM</v>
      </c>
      <c r="I1008" t="e">
        <f t="shared" ca="1" si="31"/>
        <v>#NAME?</v>
      </c>
    </row>
    <row r="1009" spans="1:9" x14ac:dyDescent="0.25">
      <c r="A1009" s="2" t="s">
        <v>1520</v>
      </c>
      <c r="B1009" s="2" t="s">
        <v>10</v>
      </c>
      <c r="C1009" s="3">
        <v>44869</v>
      </c>
      <c r="D1009" t="s">
        <v>1519</v>
      </c>
      <c r="E1009" s="2" t="s">
        <v>12</v>
      </c>
      <c r="F1009" s="2" t="s">
        <v>12</v>
      </c>
      <c r="G1009" t="s">
        <v>586</v>
      </c>
      <c r="H1009" t="str">
        <f t="shared" si="30"/>
        <v>https://videplast.com.br/consulta-imobilizado?id=22004061&amp;nome=CAMISA%20PORTA%20CLICHE%20440MM</v>
      </c>
      <c r="I1009" t="e">
        <f t="shared" ca="1" si="31"/>
        <v>#NAME?</v>
      </c>
    </row>
    <row r="1010" spans="1:9" x14ac:dyDescent="0.25">
      <c r="A1010" s="2" t="s">
        <v>1521</v>
      </c>
      <c r="B1010" s="2" t="s">
        <v>10</v>
      </c>
      <c r="C1010" s="3">
        <v>44869</v>
      </c>
      <c r="D1010" t="s">
        <v>1519</v>
      </c>
      <c r="E1010" s="2" t="s">
        <v>12</v>
      </c>
      <c r="F1010" s="2" t="s">
        <v>12</v>
      </c>
      <c r="G1010" t="s">
        <v>586</v>
      </c>
      <c r="H1010" t="str">
        <f t="shared" si="30"/>
        <v>https://videplast.com.br/consulta-imobilizado?id=22004062&amp;nome=CAMISA%20PORTA%20CLICHE%20440MM</v>
      </c>
      <c r="I1010" t="e">
        <f t="shared" ca="1" si="31"/>
        <v>#NAME?</v>
      </c>
    </row>
    <row r="1011" spans="1:9" x14ac:dyDescent="0.25">
      <c r="A1011" s="2" t="s">
        <v>1522</v>
      </c>
      <c r="B1011" s="2" t="s">
        <v>10</v>
      </c>
      <c r="C1011" s="3">
        <v>44869</v>
      </c>
      <c r="D1011" t="s">
        <v>1519</v>
      </c>
      <c r="E1011" s="2" t="s">
        <v>12</v>
      </c>
      <c r="F1011" s="2" t="s">
        <v>12</v>
      </c>
      <c r="G1011" t="s">
        <v>586</v>
      </c>
      <c r="H1011" t="str">
        <f t="shared" si="30"/>
        <v>https://videplast.com.br/consulta-imobilizado?id=22004063&amp;nome=CAMISA%20PORTA%20CLICHE%20440MM</v>
      </c>
      <c r="I1011" t="e">
        <f t="shared" ca="1" si="31"/>
        <v>#NAME?</v>
      </c>
    </row>
    <row r="1012" spans="1:9" x14ac:dyDescent="0.25">
      <c r="A1012" s="2" t="s">
        <v>1523</v>
      </c>
      <c r="B1012" s="2" t="s">
        <v>10</v>
      </c>
      <c r="C1012" s="3">
        <v>44869</v>
      </c>
      <c r="D1012" t="s">
        <v>1519</v>
      </c>
      <c r="E1012" s="2" t="s">
        <v>12</v>
      </c>
      <c r="F1012" s="2" t="s">
        <v>12</v>
      </c>
      <c r="G1012" t="s">
        <v>586</v>
      </c>
      <c r="H1012" t="str">
        <f t="shared" si="30"/>
        <v>https://videplast.com.br/consulta-imobilizado?id=22004064&amp;nome=CAMISA%20PORTA%20CLICHE%20440MM</v>
      </c>
      <c r="I1012" t="e">
        <f t="shared" ca="1" si="31"/>
        <v>#NAME?</v>
      </c>
    </row>
    <row r="1013" spans="1:9" x14ac:dyDescent="0.25">
      <c r="A1013" s="2" t="s">
        <v>1524</v>
      </c>
      <c r="B1013" s="2" t="s">
        <v>10</v>
      </c>
      <c r="C1013" s="3">
        <v>44869</v>
      </c>
      <c r="D1013" t="s">
        <v>1519</v>
      </c>
      <c r="E1013" s="2" t="s">
        <v>12</v>
      </c>
      <c r="F1013" s="2" t="s">
        <v>12</v>
      </c>
      <c r="G1013" t="s">
        <v>586</v>
      </c>
      <c r="H1013" t="str">
        <f t="shared" si="30"/>
        <v>https://videplast.com.br/consulta-imobilizado?id=22004065&amp;nome=CAMISA%20PORTA%20CLICHE%20440MM</v>
      </c>
      <c r="I1013" t="e">
        <f t="shared" ca="1" si="31"/>
        <v>#NAME?</v>
      </c>
    </row>
    <row r="1014" spans="1:9" x14ac:dyDescent="0.25">
      <c r="A1014" s="2" t="s">
        <v>1525</v>
      </c>
      <c r="B1014" s="2" t="s">
        <v>10</v>
      </c>
      <c r="C1014" s="3">
        <v>44869</v>
      </c>
      <c r="D1014" t="s">
        <v>1519</v>
      </c>
      <c r="E1014" s="2" t="s">
        <v>12</v>
      </c>
      <c r="F1014" s="2" t="s">
        <v>12</v>
      </c>
      <c r="G1014" t="s">
        <v>586</v>
      </c>
      <c r="H1014" t="str">
        <f t="shared" si="30"/>
        <v>https://videplast.com.br/consulta-imobilizado?id=22004066&amp;nome=CAMISA%20PORTA%20CLICHE%20440MM</v>
      </c>
      <c r="I1014" t="e">
        <f t="shared" ca="1" si="31"/>
        <v>#NAME?</v>
      </c>
    </row>
    <row r="1015" spans="1:9" x14ac:dyDescent="0.25">
      <c r="A1015" s="2" t="s">
        <v>1526</v>
      </c>
      <c r="B1015" s="2" t="s">
        <v>10</v>
      </c>
      <c r="C1015" s="3">
        <v>44869</v>
      </c>
      <c r="D1015" t="s">
        <v>1519</v>
      </c>
      <c r="E1015" s="2" t="s">
        <v>12</v>
      </c>
      <c r="F1015" s="2" t="s">
        <v>12</v>
      </c>
      <c r="G1015" t="s">
        <v>586</v>
      </c>
      <c r="H1015" t="str">
        <f t="shared" si="30"/>
        <v>https://videplast.com.br/consulta-imobilizado?id=22004067&amp;nome=CAMISA%20PORTA%20CLICHE%20440MM</v>
      </c>
      <c r="I1015" t="e">
        <f t="shared" ca="1" si="31"/>
        <v>#NAME?</v>
      </c>
    </row>
    <row r="1016" spans="1:9" x14ac:dyDescent="0.25">
      <c r="A1016" s="2" t="s">
        <v>1527</v>
      </c>
      <c r="B1016" s="2" t="s">
        <v>10</v>
      </c>
      <c r="C1016" s="3">
        <v>44777</v>
      </c>
      <c r="D1016" t="s">
        <v>1528</v>
      </c>
      <c r="E1016" s="2" t="s">
        <v>12</v>
      </c>
      <c r="F1016" s="2" t="s">
        <v>12</v>
      </c>
      <c r="G1016" t="s">
        <v>586</v>
      </c>
      <c r="H1016" t="str">
        <f t="shared" si="30"/>
        <v>https://videplast.com.br/consulta-imobilizado?id=22004068&amp;nome=CAMISA%20PORTA%20CLICHE%20TIPO%20STARCOAT%20121074x500x840</v>
      </c>
      <c r="I1016" t="e">
        <f t="shared" ca="1" si="31"/>
        <v>#NAME?</v>
      </c>
    </row>
    <row r="1017" spans="1:9" x14ac:dyDescent="0.25">
      <c r="A1017" s="2" t="s">
        <v>1529</v>
      </c>
      <c r="B1017" s="2" t="s">
        <v>10</v>
      </c>
      <c r="C1017" s="3">
        <v>44777</v>
      </c>
      <c r="D1017" t="s">
        <v>1528</v>
      </c>
      <c r="E1017" s="2" t="s">
        <v>12</v>
      </c>
      <c r="F1017" s="2" t="s">
        <v>12</v>
      </c>
      <c r="G1017" t="s">
        <v>586</v>
      </c>
      <c r="H1017" t="str">
        <f t="shared" si="30"/>
        <v>https://videplast.com.br/consulta-imobilizado?id=22004069&amp;nome=CAMISA%20PORTA%20CLICHE%20TIPO%20STARCOAT%20121074x500x840</v>
      </c>
      <c r="I1017" t="e">
        <f t="shared" ca="1" si="31"/>
        <v>#NAME?</v>
      </c>
    </row>
    <row r="1018" spans="1:9" x14ac:dyDescent="0.25">
      <c r="A1018" s="2" t="s">
        <v>1530</v>
      </c>
      <c r="B1018" s="2" t="s">
        <v>10</v>
      </c>
      <c r="C1018" s="3">
        <v>44978</v>
      </c>
      <c r="D1018" t="s">
        <v>1531</v>
      </c>
      <c r="E1018" s="2" t="s">
        <v>12</v>
      </c>
      <c r="F1018" s="2" t="s">
        <v>1532</v>
      </c>
      <c r="G1018" t="s">
        <v>586</v>
      </c>
      <c r="H1018" t="str">
        <f t="shared" si="30"/>
        <v>https://videplast.com.br/consulta-imobilizado?id=22004121&amp;nome=CAMISA%20PORTA%20CLICHE%201,14%20%20108,34X1290MM</v>
      </c>
      <c r="I1018" t="e">
        <f t="shared" ca="1" si="31"/>
        <v>#NAME?</v>
      </c>
    </row>
    <row r="1019" spans="1:9" x14ac:dyDescent="0.25">
      <c r="A1019" s="2" t="s">
        <v>1533</v>
      </c>
      <c r="B1019" s="2" t="s">
        <v>10</v>
      </c>
      <c r="C1019" s="3">
        <v>44978</v>
      </c>
      <c r="D1019" t="s">
        <v>1531</v>
      </c>
      <c r="E1019" s="2" t="s">
        <v>12</v>
      </c>
      <c r="F1019" s="2" t="s">
        <v>1534</v>
      </c>
      <c r="G1019" t="s">
        <v>586</v>
      </c>
      <c r="H1019" t="str">
        <f t="shared" si="30"/>
        <v>https://videplast.com.br/consulta-imobilizado?id=22004122&amp;nome=CAMISA%20PORTA%20CLICHE%201,14%20%20108,34X1290MM</v>
      </c>
      <c r="I1019" t="e">
        <f t="shared" ca="1" si="31"/>
        <v>#NAME?</v>
      </c>
    </row>
    <row r="1020" spans="1:9" x14ac:dyDescent="0.25">
      <c r="A1020" s="2" t="s">
        <v>1535</v>
      </c>
      <c r="B1020" s="2" t="s">
        <v>10</v>
      </c>
      <c r="C1020" s="3">
        <v>44978</v>
      </c>
      <c r="D1020" t="s">
        <v>1531</v>
      </c>
      <c r="E1020" s="2" t="s">
        <v>12</v>
      </c>
      <c r="F1020" s="2" t="s">
        <v>1536</v>
      </c>
      <c r="G1020" t="s">
        <v>586</v>
      </c>
      <c r="H1020" t="str">
        <f t="shared" si="30"/>
        <v>https://videplast.com.br/consulta-imobilizado?id=22004123&amp;nome=CAMISA%20PORTA%20CLICHE%201,14%20%20108,34X1290MM</v>
      </c>
      <c r="I1020" t="e">
        <f t="shared" ca="1" si="31"/>
        <v>#NAME?</v>
      </c>
    </row>
    <row r="1021" spans="1:9" x14ac:dyDescent="0.25">
      <c r="A1021" s="2" t="s">
        <v>1537</v>
      </c>
      <c r="B1021" s="2" t="s">
        <v>10</v>
      </c>
      <c r="C1021" s="3">
        <v>44978</v>
      </c>
      <c r="D1021" t="s">
        <v>1531</v>
      </c>
      <c r="E1021" s="2" t="s">
        <v>12</v>
      </c>
      <c r="F1021" s="2" t="s">
        <v>1538</v>
      </c>
      <c r="G1021" t="s">
        <v>586</v>
      </c>
      <c r="H1021" t="str">
        <f t="shared" si="30"/>
        <v>https://videplast.com.br/consulta-imobilizado?id=22004124&amp;nome=CAMISA%20PORTA%20CLICHE%201,14%20%20108,34X1290MM</v>
      </c>
      <c r="I1021" t="e">
        <f t="shared" ca="1" si="31"/>
        <v>#NAME?</v>
      </c>
    </row>
    <row r="1022" spans="1:9" x14ac:dyDescent="0.25">
      <c r="A1022" s="2" t="s">
        <v>1539</v>
      </c>
      <c r="B1022" s="2" t="s">
        <v>10</v>
      </c>
      <c r="C1022" s="3">
        <v>44978</v>
      </c>
      <c r="D1022" t="s">
        <v>1531</v>
      </c>
      <c r="E1022" s="2" t="s">
        <v>12</v>
      </c>
      <c r="F1022" s="2" t="s">
        <v>1540</v>
      </c>
      <c r="G1022" t="s">
        <v>586</v>
      </c>
      <c r="H1022" t="str">
        <f t="shared" si="30"/>
        <v>https://videplast.com.br/consulta-imobilizado?id=22004125&amp;nome=CAMISA%20PORTA%20CLICHE%201,14%20%20108,34X1290MM</v>
      </c>
      <c r="I1022" t="e">
        <f t="shared" ca="1" si="31"/>
        <v>#NAME?</v>
      </c>
    </row>
    <row r="1023" spans="1:9" x14ac:dyDescent="0.25">
      <c r="A1023" s="2" t="s">
        <v>1541</v>
      </c>
      <c r="B1023" s="2" t="s">
        <v>10</v>
      </c>
      <c r="C1023" s="3">
        <v>44978</v>
      </c>
      <c r="D1023" t="s">
        <v>1531</v>
      </c>
      <c r="E1023" s="2" t="s">
        <v>12</v>
      </c>
      <c r="F1023" s="2" t="s">
        <v>1542</v>
      </c>
      <c r="G1023" t="s">
        <v>586</v>
      </c>
      <c r="H1023" t="str">
        <f t="shared" si="30"/>
        <v>https://videplast.com.br/consulta-imobilizado?id=22004126&amp;nome=CAMISA%20PORTA%20CLICHE%201,14%20%20108,34X1290MM</v>
      </c>
      <c r="I1023" t="e">
        <f t="shared" ca="1" si="31"/>
        <v>#NAME?</v>
      </c>
    </row>
    <row r="1024" spans="1:9" x14ac:dyDescent="0.25">
      <c r="A1024" s="2" t="s">
        <v>1543</v>
      </c>
      <c r="B1024" s="2" t="s">
        <v>10</v>
      </c>
      <c r="C1024" s="3">
        <v>44978</v>
      </c>
      <c r="D1024" t="s">
        <v>1531</v>
      </c>
      <c r="E1024" s="2" t="s">
        <v>12</v>
      </c>
      <c r="F1024" s="2" t="s">
        <v>1544</v>
      </c>
      <c r="G1024" t="s">
        <v>586</v>
      </c>
      <c r="H1024" t="str">
        <f t="shared" si="30"/>
        <v>https://videplast.com.br/consulta-imobilizado?id=22004127&amp;nome=CAMISA%20PORTA%20CLICHE%201,14%20%20108,34X1290MM</v>
      </c>
      <c r="I1024" t="e">
        <f t="shared" ca="1" si="31"/>
        <v>#NAME?</v>
      </c>
    </row>
    <row r="1025" spans="1:9" x14ac:dyDescent="0.25">
      <c r="A1025" s="2" t="s">
        <v>1545</v>
      </c>
      <c r="B1025" s="2" t="s">
        <v>10</v>
      </c>
      <c r="C1025" s="3">
        <v>44978</v>
      </c>
      <c r="D1025" t="s">
        <v>1531</v>
      </c>
      <c r="E1025" s="2" t="s">
        <v>12</v>
      </c>
      <c r="F1025" s="2" t="s">
        <v>1546</v>
      </c>
      <c r="G1025" t="s">
        <v>586</v>
      </c>
      <c r="H1025" t="str">
        <f t="shared" si="30"/>
        <v>https://videplast.com.br/consulta-imobilizado?id=22004128&amp;nome=CAMISA%20PORTA%20CLICHE%201,14%20%20108,34X1290MM</v>
      </c>
      <c r="I1025" t="e">
        <f t="shared" ca="1" si="31"/>
        <v>#NAME?</v>
      </c>
    </row>
    <row r="1026" spans="1:9" x14ac:dyDescent="0.25">
      <c r="A1026" s="2" t="s">
        <v>1547</v>
      </c>
      <c r="B1026" s="2" t="s">
        <v>10</v>
      </c>
      <c r="C1026" s="3">
        <v>44967</v>
      </c>
      <c r="D1026" t="s">
        <v>1548</v>
      </c>
      <c r="E1026" s="2" t="s">
        <v>12</v>
      </c>
      <c r="F1026" s="2" t="s">
        <v>12</v>
      </c>
      <c r="G1026" t="s">
        <v>586</v>
      </c>
      <c r="H1026" t="str">
        <f t="shared" ref="H1026:H1089" si="32" xml:space="preserve"> "https://videplast.com.br/consulta-imobilizado?id=" &amp; A1026 &amp; "&amp;nome=" &amp; SUBSTITUTE(D1026, " ", "%20")</f>
        <v>https://videplast.com.br/consulta-imobilizado?id=22004133&amp;nome=CAMISA%20CARBOLOX%20149,606X121,074X890,00%20160%207,2</v>
      </c>
      <c r="I1026" t="e">
        <f t="shared" ref="I1026:I1089" ca="1" si="33">_xlfn.IMAGE("https://chart.googleapis.com/chart?chs=150x150&amp;cht=qr&amp;chl=" &amp; H1026)</f>
        <v>#NAME?</v>
      </c>
    </row>
    <row r="1027" spans="1:9" x14ac:dyDescent="0.25">
      <c r="A1027" s="2" t="s">
        <v>1549</v>
      </c>
      <c r="B1027" s="2" t="s">
        <v>10</v>
      </c>
      <c r="C1027" s="3">
        <v>44967</v>
      </c>
      <c r="D1027" t="s">
        <v>1550</v>
      </c>
      <c r="E1027" s="2" t="s">
        <v>12</v>
      </c>
      <c r="F1027" s="2" t="s">
        <v>12</v>
      </c>
      <c r="G1027" t="s">
        <v>586</v>
      </c>
      <c r="H1027" t="str">
        <f t="shared" si="32"/>
        <v>https://videplast.com.br/consulta-imobilizado?id=22004134&amp;nome=CAMISA%20CARBOLOX%20149,606X121,074X890,00%20180%206,6</v>
      </c>
      <c r="I1027" t="e">
        <f t="shared" ca="1" si="33"/>
        <v>#NAME?</v>
      </c>
    </row>
    <row r="1028" spans="1:9" x14ac:dyDescent="0.25">
      <c r="A1028" s="2" t="s">
        <v>1551</v>
      </c>
      <c r="B1028" s="2" t="s">
        <v>10</v>
      </c>
      <c r="C1028" s="3">
        <v>44967</v>
      </c>
      <c r="D1028" t="s">
        <v>1552</v>
      </c>
      <c r="E1028" s="2" t="s">
        <v>12</v>
      </c>
      <c r="F1028" s="2" t="s">
        <v>12</v>
      </c>
      <c r="G1028" t="s">
        <v>586</v>
      </c>
      <c r="H1028" t="str">
        <f t="shared" si="32"/>
        <v>https://videplast.com.br/consulta-imobilizado?id=22004135&amp;nome=CAMISA%20CARBOLOX%20149,606X121,074X890,00%20220%205,4</v>
      </c>
      <c r="I1028" t="e">
        <f t="shared" ca="1" si="33"/>
        <v>#NAME?</v>
      </c>
    </row>
    <row r="1029" spans="1:9" x14ac:dyDescent="0.25">
      <c r="A1029" s="2" t="s">
        <v>1553</v>
      </c>
      <c r="B1029" s="2" t="s">
        <v>10</v>
      </c>
      <c r="C1029" s="3">
        <v>44967</v>
      </c>
      <c r="D1029" t="s">
        <v>1552</v>
      </c>
      <c r="E1029" s="2" t="s">
        <v>12</v>
      </c>
      <c r="F1029" s="2" t="s">
        <v>12</v>
      </c>
      <c r="G1029" t="s">
        <v>586</v>
      </c>
      <c r="H1029" t="str">
        <f t="shared" si="32"/>
        <v>https://videplast.com.br/consulta-imobilizado?id=22004136&amp;nome=CAMISA%20CARBOLOX%20149,606X121,074X890,00%20220%205,4</v>
      </c>
      <c r="I1029" t="e">
        <f t="shared" ca="1" si="33"/>
        <v>#NAME?</v>
      </c>
    </row>
    <row r="1030" spans="1:9" x14ac:dyDescent="0.25">
      <c r="A1030" s="2" t="s">
        <v>1554</v>
      </c>
      <c r="B1030" s="2" t="s">
        <v>10</v>
      </c>
      <c r="C1030" s="3">
        <v>45103</v>
      </c>
      <c r="D1030" t="s">
        <v>1555</v>
      </c>
      <c r="E1030" s="2" t="s">
        <v>12</v>
      </c>
      <c r="F1030" s="2" t="s">
        <v>1556</v>
      </c>
      <c r="G1030" t="s">
        <v>586</v>
      </c>
      <c r="H1030" t="str">
        <f t="shared" si="32"/>
        <v>https://videplast.com.br/consulta-imobilizado?id=22004146&amp;nome=CAMISA%20ANILOX%20405%20DIAMETRO%20125,635MM</v>
      </c>
      <c r="I1030" t="e">
        <f t="shared" ca="1" si="33"/>
        <v>#NAME?</v>
      </c>
    </row>
    <row r="1031" spans="1:9" x14ac:dyDescent="0.25">
      <c r="A1031" s="2" t="s">
        <v>1554</v>
      </c>
      <c r="B1031" s="2" t="s">
        <v>26</v>
      </c>
      <c r="C1031" s="3">
        <v>45103</v>
      </c>
      <c r="D1031" t="s">
        <v>1557</v>
      </c>
      <c r="E1031" s="2" t="s">
        <v>12</v>
      </c>
      <c r="F1031" s="2" t="s">
        <v>12</v>
      </c>
      <c r="G1031" t="s">
        <v>586</v>
      </c>
      <c r="H1031" t="str">
        <f t="shared" si="32"/>
        <v>https://videplast.com.br/consulta-imobilizado?id=22004146&amp;nome=FRETE%20CAMISA%20ANILOX%20405</v>
      </c>
      <c r="I1031" t="e">
        <f t="shared" ca="1" si="33"/>
        <v>#NAME?</v>
      </c>
    </row>
    <row r="1032" spans="1:9" x14ac:dyDescent="0.25">
      <c r="A1032" s="2" t="s">
        <v>1558</v>
      </c>
      <c r="B1032" s="2" t="s">
        <v>10</v>
      </c>
      <c r="C1032" s="3">
        <v>45103</v>
      </c>
      <c r="D1032" t="s">
        <v>1555</v>
      </c>
      <c r="E1032" s="2" t="s">
        <v>12</v>
      </c>
      <c r="F1032" s="2" t="s">
        <v>1559</v>
      </c>
      <c r="G1032" t="s">
        <v>586</v>
      </c>
      <c r="H1032" t="str">
        <f t="shared" si="32"/>
        <v>https://videplast.com.br/consulta-imobilizado?id=22004147&amp;nome=CAMISA%20ANILOX%20405%20DIAMETRO%20125,635MM</v>
      </c>
      <c r="I1032" t="e">
        <f t="shared" ca="1" si="33"/>
        <v>#NAME?</v>
      </c>
    </row>
    <row r="1033" spans="1:9" x14ac:dyDescent="0.25">
      <c r="A1033" s="2" t="s">
        <v>1560</v>
      </c>
      <c r="B1033" s="2" t="s">
        <v>10</v>
      </c>
      <c r="C1033" s="3">
        <v>45103</v>
      </c>
      <c r="D1033" t="s">
        <v>1555</v>
      </c>
      <c r="E1033" s="2" t="s">
        <v>12</v>
      </c>
      <c r="F1033" s="2" t="s">
        <v>1561</v>
      </c>
      <c r="G1033" t="s">
        <v>586</v>
      </c>
      <c r="H1033" t="str">
        <f t="shared" si="32"/>
        <v>https://videplast.com.br/consulta-imobilizado?id=22004148&amp;nome=CAMISA%20ANILOX%20405%20DIAMETRO%20125,635MM</v>
      </c>
      <c r="I1033" t="e">
        <f t="shared" ca="1" si="33"/>
        <v>#NAME?</v>
      </c>
    </row>
    <row r="1034" spans="1:9" x14ac:dyDescent="0.25">
      <c r="A1034" s="2" t="s">
        <v>1562</v>
      </c>
      <c r="B1034" s="2" t="s">
        <v>10</v>
      </c>
      <c r="C1034" s="3">
        <v>45103</v>
      </c>
      <c r="D1034" t="s">
        <v>1555</v>
      </c>
      <c r="E1034" s="2" t="s">
        <v>12</v>
      </c>
      <c r="F1034" s="2" t="s">
        <v>1563</v>
      </c>
      <c r="G1034" t="s">
        <v>586</v>
      </c>
      <c r="H1034" t="str">
        <f t="shared" si="32"/>
        <v>https://videplast.com.br/consulta-imobilizado?id=22004149&amp;nome=CAMISA%20ANILOX%20405%20DIAMETRO%20125,635MM</v>
      </c>
      <c r="I1034" t="e">
        <f t="shared" ca="1" si="33"/>
        <v>#NAME?</v>
      </c>
    </row>
    <row r="1035" spans="1:9" x14ac:dyDescent="0.25">
      <c r="A1035" s="2" t="s">
        <v>1564</v>
      </c>
      <c r="B1035" s="2" t="s">
        <v>10</v>
      </c>
      <c r="C1035" s="3">
        <v>45103</v>
      </c>
      <c r="D1035" t="s">
        <v>1555</v>
      </c>
      <c r="E1035" s="2" t="s">
        <v>12</v>
      </c>
      <c r="F1035" s="2" t="s">
        <v>1565</v>
      </c>
      <c r="G1035" t="s">
        <v>586</v>
      </c>
      <c r="H1035" t="str">
        <f t="shared" si="32"/>
        <v>https://videplast.com.br/consulta-imobilizado?id=22004150&amp;nome=CAMISA%20ANILOX%20405%20DIAMETRO%20125,635MM</v>
      </c>
      <c r="I1035" t="e">
        <f t="shared" ca="1" si="33"/>
        <v>#NAME?</v>
      </c>
    </row>
    <row r="1036" spans="1:9" x14ac:dyDescent="0.25">
      <c r="A1036" s="2" t="s">
        <v>1566</v>
      </c>
      <c r="B1036" s="2" t="s">
        <v>10</v>
      </c>
      <c r="C1036" s="3">
        <v>45103</v>
      </c>
      <c r="D1036" t="s">
        <v>1555</v>
      </c>
      <c r="E1036" s="2" t="s">
        <v>12</v>
      </c>
      <c r="F1036" s="2" t="s">
        <v>1567</v>
      </c>
      <c r="G1036" t="s">
        <v>586</v>
      </c>
      <c r="H1036" t="str">
        <f t="shared" si="32"/>
        <v>https://videplast.com.br/consulta-imobilizado?id=22004151&amp;nome=CAMISA%20ANILOX%20405%20DIAMETRO%20125,635MM</v>
      </c>
      <c r="I1036" t="e">
        <f t="shared" ca="1" si="33"/>
        <v>#NAME?</v>
      </c>
    </row>
    <row r="1037" spans="1:9" x14ac:dyDescent="0.25">
      <c r="A1037" s="2" t="s">
        <v>1568</v>
      </c>
      <c r="B1037" s="2" t="s">
        <v>10</v>
      </c>
      <c r="C1037" s="3">
        <v>45103</v>
      </c>
      <c r="D1037" t="s">
        <v>1555</v>
      </c>
      <c r="E1037" s="2" t="s">
        <v>12</v>
      </c>
      <c r="F1037" s="2" t="s">
        <v>1569</v>
      </c>
      <c r="G1037" t="s">
        <v>586</v>
      </c>
      <c r="H1037" t="str">
        <f t="shared" si="32"/>
        <v>https://videplast.com.br/consulta-imobilizado?id=22004152&amp;nome=CAMISA%20ANILOX%20405%20DIAMETRO%20125,635MM</v>
      </c>
      <c r="I1037" t="e">
        <f t="shared" ca="1" si="33"/>
        <v>#NAME?</v>
      </c>
    </row>
    <row r="1038" spans="1:9" x14ac:dyDescent="0.25">
      <c r="A1038" s="2" t="s">
        <v>1570</v>
      </c>
      <c r="B1038" s="2" t="s">
        <v>10</v>
      </c>
      <c r="C1038" s="3">
        <v>45103</v>
      </c>
      <c r="D1038" t="s">
        <v>1555</v>
      </c>
      <c r="E1038" s="2" t="s">
        <v>12</v>
      </c>
      <c r="F1038" s="2" t="s">
        <v>1571</v>
      </c>
      <c r="G1038" t="s">
        <v>586</v>
      </c>
      <c r="H1038" t="str">
        <f t="shared" si="32"/>
        <v>https://videplast.com.br/consulta-imobilizado?id=22004153&amp;nome=CAMISA%20ANILOX%20405%20DIAMETRO%20125,635MM</v>
      </c>
      <c r="I1038" t="e">
        <f t="shared" ca="1" si="33"/>
        <v>#NAME?</v>
      </c>
    </row>
    <row r="1039" spans="1:9" x14ac:dyDescent="0.25">
      <c r="A1039" s="2" t="s">
        <v>1572</v>
      </c>
      <c r="B1039" s="2" t="s">
        <v>10</v>
      </c>
      <c r="C1039" s="3">
        <v>45156</v>
      </c>
      <c r="D1039" t="s">
        <v>1573</v>
      </c>
      <c r="E1039" s="2" t="s">
        <v>12</v>
      </c>
      <c r="F1039" s="2" t="s">
        <v>1574</v>
      </c>
      <c r="G1039" t="s">
        <v>586</v>
      </c>
      <c r="H1039" t="str">
        <f t="shared" si="32"/>
        <v>https://videplast.com.br/consulta-imobilizado?id=22004156&amp;nome=CAMISA%20PORTA%20CLICHE%20ROSSINI%20520MM%20SOB%20PONTE</v>
      </c>
      <c r="I1039" t="e">
        <f t="shared" ca="1" si="33"/>
        <v>#NAME?</v>
      </c>
    </row>
    <row r="1040" spans="1:9" x14ac:dyDescent="0.25">
      <c r="A1040" s="2" t="s">
        <v>1572</v>
      </c>
      <c r="B1040" s="2" t="s">
        <v>26</v>
      </c>
      <c r="C1040" s="3">
        <v>45156</v>
      </c>
      <c r="D1040" t="s">
        <v>1575</v>
      </c>
      <c r="E1040" s="2" t="s">
        <v>12</v>
      </c>
      <c r="F1040" s="2" t="s">
        <v>12</v>
      </c>
      <c r="G1040" t="s">
        <v>586</v>
      </c>
      <c r="H1040" t="str">
        <f t="shared" si="32"/>
        <v>https://videplast.com.br/consulta-imobilizado?id=22004156&amp;nome=FRETE%20CAMISA%20PORTA%20CLICHE</v>
      </c>
      <c r="I1040" t="e">
        <f t="shared" ca="1" si="33"/>
        <v>#NAME?</v>
      </c>
    </row>
    <row r="1041" spans="1:9" x14ac:dyDescent="0.25">
      <c r="A1041" s="2" t="s">
        <v>1576</v>
      </c>
      <c r="B1041" s="2" t="s">
        <v>10</v>
      </c>
      <c r="C1041" s="3">
        <v>45156</v>
      </c>
      <c r="D1041" t="s">
        <v>1573</v>
      </c>
      <c r="E1041" s="2" t="s">
        <v>12</v>
      </c>
      <c r="F1041" s="2" t="s">
        <v>1577</v>
      </c>
      <c r="G1041" t="s">
        <v>586</v>
      </c>
      <c r="H1041" t="str">
        <f t="shared" si="32"/>
        <v>https://videplast.com.br/consulta-imobilizado?id=22004157&amp;nome=CAMISA%20PORTA%20CLICHE%20ROSSINI%20520MM%20SOB%20PONTE</v>
      </c>
      <c r="I1041" t="e">
        <f t="shared" ca="1" si="33"/>
        <v>#NAME?</v>
      </c>
    </row>
    <row r="1042" spans="1:9" x14ac:dyDescent="0.25">
      <c r="A1042" s="2" t="s">
        <v>1576</v>
      </c>
      <c r="B1042" s="2" t="s">
        <v>26</v>
      </c>
      <c r="C1042" s="3">
        <v>45156</v>
      </c>
      <c r="D1042" t="s">
        <v>1575</v>
      </c>
      <c r="E1042" s="2" t="s">
        <v>12</v>
      </c>
      <c r="F1042" s="2" t="s">
        <v>12</v>
      </c>
      <c r="G1042" t="s">
        <v>586</v>
      </c>
      <c r="H1042" t="str">
        <f t="shared" si="32"/>
        <v>https://videplast.com.br/consulta-imobilizado?id=22004157&amp;nome=FRETE%20CAMISA%20PORTA%20CLICHE</v>
      </c>
      <c r="I1042" t="e">
        <f t="shared" ca="1" si="33"/>
        <v>#NAME?</v>
      </c>
    </row>
    <row r="1043" spans="1:9" x14ac:dyDescent="0.25">
      <c r="A1043" s="2" t="s">
        <v>1578</v>
      </c>
      <c r="B1043" s="2" t="s">
        <v>10</v>
      </c>
      <c r="C1043" s="3">
        <v>45156</v>
      </c>
      <c r="D1043" t="s">
        <v>1573</v>
      </c>
      <c r="E1043" s="2" t="s">
        <v>12</v>
      </c>
      <c r="F1043" s="2" t="s">
        <v>1579</v>
      </c>
      <c r="G1043" t="s">
        <v>586</v>
      </c>
      <c r="H1043" t="str">
        <f t="shared" si="32"/>
        <v>https://videplast.com.br/consulta-imobilizado?id=22004158&amp;nome=CAMISA%20PORTA%20CLICHE%20ROSSINI%20520MM%20SOB%20PONTE</v>
      </c>
      <c r="I1043" t="e">
        <f t="shared" ca="1" si="33"/>
        <v>#NAME?</v>
      </c>
    </row>
    <row r="1044" spans="1:9" x14ac:dyDescent="0.25">
      <c r="A1044" s="2" t="s">
        <v>1578</v>
      </c>
      <c r="B1044" s="2" t="s">
        <v>26</v>
      </c>
      <c r="C1044" s="3">
        <v>45156</v>
      </c>
      <c r="D1044" t="s">
        <v>1575</v>
      </c>
      <c r="E1044" s="2" t="s">
        <v>12</v>
      </c>
      <c r="F1044" s="2" t="s">
        <v>12</v>
      </c>
      <c r="G1044" t="s">
        <v>586</v>
      </c>
      <c r="H1044" t="str">
        <f t="shared" si="32"/>
        <v>https://videplast.com.br/consulta-imobilizado?id=22004158&amp;nome=FRETE%20CAMISA%20PORTA%20CLICHE</v>
      </c>
      <c r="I1044" t="e">
        <f t="shared" ca="1" si="33"/>
        <v>#NAME?</v>
      </c>
    </row>
    <row r="1045" spans="1:9" x14ac:dyDescent="0.25">
      <c r="A1045" s="2" t="s">
        <v>1580</v>
      </c>
      <c r="B1045" s="2" t="s">
        <v>10</v>
      </c>
      <c r="C1045" s="3">
        <v>45156</v>
      </c>
      <c r="D1045" t="s">
        <v>1573</v>
      </c>
      <c r="E1045" s="2" t="s">
        <v>12</v>
      </c>
      <c r="F1045" s="2" t="s">
        <v>1581</v>
      </c>
      <c r="G1045" t="s">
        <v>586</v>
      </c>
      <c r="H1045" t="str">
        <f t="shared" si="32"/>
        <v>https://videplast.com.br/consulta-imobilizado?id=22004159&amp;nome=CAMISA%20PORTA%20CLICHE%20ROSSINI%20520MM%20SOB%20PONTE</v>
      </c>
      <c r="I1045" t="e">
        <f t="shared" ca="1" si="33"/>
        <v>#NAME?</v>
      </c>
    </row>
    <row r="1046" spans="1:9" x14ac:dyDescent="0.25">
      <c r="A1046" s="2" t="s">
        <v>1580</v>
      </c>
      <c r="B1046" s="2" t="s">
        <v>26</v>
      </c>
      <c r="C1046" s="3">
        <v>45156</v>
      </c>
      <c r="D1046" t="s">
        <v>1575</v>
      </c>
      <c r="E1046" s="2" t="s">
        <v>12</v>
      </c>
      <c r="F1046" s="2" t="s">
        <v>12</v>
      </c>
      <c r="G1046" t="s">
        <v>586</v>
      </c>
      <c r="H1046" t="str">
        <f t="shared" si="32"/>
        <v>https://videplast.com.br/consulta-imobilizado?id=22004159&amp;nome=FRETE%20CAMISA%20PORTA%20CLICHE</v>
      </c>
      <c r="I1046" t="e">
        <f t="shared" ca="1" si="33"/>
        <v>#NAME?</v>
      </c>
    </row>
    <row r="1047" spans="1:9" x14ac:dyDescent="0.25">
      <c r="A1047" s="2" t="s">
        <v>1582</v>
      </c>
      <c r="B1047" s="2" t="s">
        <v>10</v>
      </c>
      <c r="C1047" s="3">
        <v>45156</v>
      </c>
      <c r="D1047" t="s">
        <v>1573</v>
      </c>
      <c r="E1047" s="2" t="s">
        <v>12</v>
      </c>
      <c r="F1047" s="2" t="s">
        <v>1583</v>
      </c>
      <c r="G1047" t="s">
        <v>586</v>
      </c>
      <c r="H1047" t="str">
        <f t="shared" si="32"/>
        <v>https://videplast.com.br/consulta-imobilizado?id=22004160&amp;nome=CAMISA%20PORTA%20CLICHE%20ROSSINI%20520MM%20SOB%20PONTE</v>
      </c>
      <c r="I1047" t="e">
        <f t="shared" ca="1" si="33"/>
        <v>#NAME?</v>
      </c>
    </row>
    <row r="1048" spans="1:9" x14ac:dyDescent="0.25">
      <c r="A1048" s="2" t="s">
        <v>1582</v>
      </c>
      <c r="B1048" s="2" t="s">
        <v>26</v>
      </c>
      <c r="C1048" s="3">
        <v>45156</v>
      </c>
      <c r="D1048" t="s">
        <v>1575</v>
      </c>
      <c r="E1048" s="2" t="s">
        <v>12</v>
      </c>
      <c r="F1048" s="2" t="s">
        <v>12</v>
      </c>
      <c r="G1048" t="s">
        <v>586</v>
      </c>
      <c r="H1048" t="str">
        <f t="shared" si="32"/>
        <v>https://videplast.com.br/consulta-imobilizado?id=22004160&amp;nome=FRETE%20CAMISA%20PORTA%20CLICHE</v>
      </c>
      <c r="I1048" t="e">
        <f t="shared" ca="1" si="33"/>
        <v>#NAME?</v>
      </c>
    </row>
    <row r="1049" spans="1:9" x14ac:dyDescent="0.25">
      <c r="A1049" s="2" t="s">
        <v>1584</v>
      </c>
      <c r="B1049" s="2" t="s">
        <v>10</v>
      </c>
      <c r="C1049" s="3">
        <v>45156</v>
      </c>
      <c r="D1049" t="s">
        <v>1573</v>
      </c>
      <c r="E1049" s="2" t="s">
        <v>12</v>
      </c>
      <c r="F1049" s="2" t="s">
        <v>1585</v>
      </c>
      <c r="G1049" t="s">
        <v>586</v>
      </c>
      <c r="H1049" t="str">
        <f t="shared" si="32"/>
        <v>https://videplast.com.br/consulta-imobilizado?id=22004161&amp;nome=CAMISA%20PORTA%20CLICHE%20ROSSINI%20520MM%20SOB%20PONTE</v>
      </c>
      <c r="I1049" t="e">
        <f t="shared" ca="1" si="33"/>
        <v>#NAME?</v>
      </c>
    </row>
    <row r="1050" spans="1:9" x14ac:dyDescent="0.25">
      <c r="A1050" s="2" t="s">
        <v>1584</v>
      </c>
      <c r="B1050" s="2" t="s">
        <v>26</v>
      </c>
      <c r="C1050" s="3">
        <v>45156</v>
      </c>
      <c r="D1050" t="s">
        <v>1575</v>
      </c>
      <c r="E1050" s="2" t="s">
        <v>12</v>
      </c>
      <c r="F1050" s="2" t="s">
        <v>12</v>
      </c>
      <c r="G1050" t="s">
        <v>586</v>
      </c>
      <c r="H1050" t="str">
        <f t="shared" si="32"/>
        <v>https://videplast.com.br/consulta-imobilizado?id=22004161&amp;nome=FRETE%20CAMISA%20PORTA%20CLICHE</v>
      </c>
      <c r="I1050" t="e">
        <f t="shared" ca="1" si="33"/>
        <v>#NAME?</v>
      </c>
    </row>
    <row r="1051" spans="1:9" x14ac:dyDescent="0.25">
      <c r="A1051" s="2" t="s">
        <v>1586</v>
      </c>
      <c r="B1051" s="2" t="s">
        <v>10</v>
      </c>
      <c r="C1051" s="3">
        <v>45156</v>
      </c>
      <c r="D1051" t="s">
        <v>1573</v>
      </c>
      <c r="E1051" s="2" t="s">
        <v>12</v>
      </c>
      <c r="F1051" s="2" t="s">
        <v>1587</v>
      </c>
      <c r="G1051" t="s">
        <v>586</v>
      </c>
      <c r="H1051" t="str">
        <f t="shared" si="32"/>
        <v>https://videplast.com.br/consulta-imobilizado?id=22004162&amp;nome=CAMISA%20PORTA%20CLICHE%20ROSSINI%20520MM%20SOB%20PONTE</v>
      </c>
      <c r="I1051" t="e">
        <f t="shared" ca="1" si="33"/>
        <v>#NAME?</v>
      </c>
    </row>
    <row r="1052" spans="1:9" x14ac:dyDescent="0.25">
      <c r="A1052" s="2" t="s">
        <v>1586</v>
      </c>
      <c r="B1052" s="2" t="s">
        <v>26</v>
      </c>
      <c r="C1052" s="3">
        <v>45156</v>
      </c>
      <c r="D1052" t="s">
        <v>1575</v>
      </c>
      <c r="E1052" s="2" t="s">
        <v>12</v>
      </c>
      <c r="F1052" s="2" t="s">
        <v>12</v>
      </c>
      <c r="G1052" t="s">
        <v>586</v>
      </c>
      <c r="H1052" t="str">
        <f t="shared" si="32"/>
        <v>https://videplast.com.br/consulta-imobilizado?id=22004162&amp;nome=FRETE%20CAMISA%20PORTA%20CLICHE</v>
      </c>
      <c r="I1052" t="e">
        <f t="shared" ca="1" si="33"/>
        <v>#NAME?</v>
      </c>
    </row>
    <row r="1053" spans="1:9" x14ac:dyDescent="0.25">
      <c r="A1053" s="2" t="s">
        <v>1588</v>
      </c>
      <c r="B1053" s="2" t="s">
        <v>10</v>
      </c>
      <c r="C1053" s="3">
        <v>45156</v>
      </c>
      <c r="D1053" t="s">
        <v>1573</v>
      </c>
      <c r="E1053" s="2" t="s">
        <v>12</v>
      </c>
      <c r="F1053" s="2" t="s">
        <v>1589</v>
      </c>
      <c r="G1053" t="s">
        <v>586</v>
      </c>
      <c r="H1053" t="str">
        <f t="shared" si="32"/>
        <v>https://videplast.com.br/consulta-imobilizado?id=22004163&amp;nome=CAMISA%20PORTA%20CLICHE%20ROSSINI%20520MM%20SOB%20PONTE</v>
      </c>
      <c r="I1053" t="e">
        <f t="shared" ca="1" si="33"/>
        <v>#NAME?</v>
      </c>
    </row>
    <row r="1054" spans="1:9" x14ac:dyDescent="0.25">
      <c r="A1054" s="2" t="s">
        <v>1588</v>
      </c>
      <c r="B1054" s="2" t="s">
        <v>26</v>
      </c>
      <c r="C1054" s="3">
        <v>45156</v>
      </c>
      <c r="D1054" t="s">
        <v>1575</v>
      </c>
      <c r="E1054" s="2" t="s">
        <v>12</v>
      </c>
      <c r="F1054" s="2" t="s">
        <v>12</v>
      </c>
      <c r="G1054" t="s">
        <v>586</v>
      </c>
      <c r="H1054" t="str">
        <f t="shared" si="32"/>
        <v>https://videplast.com.br/consulta-imobilizado?id=22004163&amp;nome=FRETE%20CAMISA%20PORTA%20CLICHE</v>
      </c>
      <c r="I1054" t="e">
        <f t="shared" ca="1" si="33"/>
        <v>#NAME?</v>
      </c>
    </row>
    <row r="1055" spans="1:9" x14ac:dyDescent="0.25">
      <c r="A1055" s="2" t="s">
        <v>1590</v>
      </c>
      <c r="B1055" s="2" t="s">
        <v>10</v>
      </c>
      <c r="C1055" s="3">
        <v>45156</v>
      </c>
      <c r="D1055" t="s">
        <v>1591</v>
      </c>
      <c r="E1055" s="2" t="s">
        <v>12</v>
      </c>
      <c r="F1055" s="2" t="s">
        <v>1592</v>
      </c>
      <c r="G1055" t="s">
        <v>586</v>
      </c>
      <c r="H1055" t="str">
        <f t="shared" si="32"/>
        <v>https://videplast.com.br/consulta-imobilizado?id=22004164&amp;nome=CAMISA%20PORTA%20CLICHE%20ROSSINI%20730MM%20SOB%20PONTE</v>
      </c>
      <c r="I1055" t="e">
        <f t="shared" ca="1" si="33"/>
        <v>#NAME?</v>
      </c>
    </row>
    <row r="1056" spans="1:9" x14ac:dyDescent="0.25">
      <c r="A1056" s="2" t="s">
        <v>1593</v>
      </c>
      <c r="B1056" s="2" t="s">
        <v>10</v>
      </c>
      <c r="C1056" s="3">
        <v>45156</v>
      </c>
      <c r="D1056" t="s">
        <v>1591</v>
      </c>
      <c r="E1056" s="2" t="s">
        <v>12</v>
      </c>
      <c r="F1056" s="2" t="s">
        <v>1594</v>
      </c>
      <c r="G1056" t="s">
        <v>586</v>
      </c>
      <c r="H1056" t="str">
        <f t="shared" si="32"/>
        <v>https://videplast.com.br/consulta-imobilizado?id=22004165&amp;nome=CAMISA%20PORTA%20CLICHE%20ROSSINI%20730MM%20SOB%20PONTE</v>
      </c>
      <c r="I1056" t="e">
        <f t="shared" ca="1" si="33"/>
        <v>#NAME?</v>
      </c>
    </row>
    <row r="1057" spans="1:9" x14ac:dyDescent="0.25">
      <c r="A1057" s="2" t="s">
        <v>1595</v>
      </c>
      <c r="B1057" s="2" t="s">
        <v>10</v>
      </c>
      <c r="C1057" s="3">
        <v>45156</v>
      </c>
      <c r="D1057" t="s">
        <v>1591</v>
      </c>
      <c r="E1057" s="2" t="s">
        <v>12</v>
      </c>
      <c r="F1057" s="2" t="s">
        <v>1596</v>
      </c>
      <c r="G1057" t="s">
        <v>586</v>
      </c>
      <c r="H1057" t="str">
        <f t="shared" si="32"/>
        <v>https://videplast.com.br/consulta-imobilizado?id=22004166&amp;nome=CAMISA%20PORTA%20CLICHE%20ROSSINI%20730MM%20SOB%20PONTE</v>
      </c>
      <c r="I1057" t="e">
        <f t="shared" ca="1" si="33"/>
        <v>#NAME?</v>
      </c>
    </row>
    <row r="1058" spans="1:9" x14ac:dyDescent="0.25">
      <c r="A1058" s="2" t="s">
        <v>1597</v>
      </c>
      <c r="B1058" s="2" t="s">
        <v>10</v>
      </c>
      <c r="C1058" s="3">
        <v>45156</v>
      </c>
      <c r="D1058" t="s">
        <v>1591</v>
      </c>
      <c r="E1058" s="2" t="s">
        <v>12</v>
      </c>
      <c r="F1058" s="2" t="s">
        <v>1598</v>
      </c>
      <c r="G1058" t="s">
        <v>586</v>
      </c>
      <c r="H1058" t="str">
        <f t="shared" si="32"/>
        <v>https://videplast.com.br/consulta-imobilizado?id=22004167&amp;nome=CAMISA%20PORTA%20CLICHE%20ROSSINI%20730MM%20SOB%20PONTE</v>
      </c>
      <c r="I1058" t="e">
        <f t="shared" ca="1" si="33"/>
        <v>#NAME?</v>
      </c>
    </row>
    <row r="1059" spans="1:9" x14ac:dyDescent="0.25">
      <c r="A1059" s="2" t="s">
        <v>1599</v>
      </c>
      <c r="B1059" s="2" t="s">
        <v>10</v>
      </c>
      <c r="C1059" s="3">
        <v>45156</v>
      </c>
      <c r="D1059" t="s">
        <v>1591</v>
      </c>
      <c r="E1059" s="2" t="s">
        <v>12</v>
      </c>
      <c r="F1059" s="2" t="s">
        <v>1600</v>
      </c>
      <c r="G1059" t="s">
        <v>586</v>
      </c>
      <c r="H1059" t="str">
        <f t="shared" si="32"/>
        <v>https://videplast.com.br/consulta-imobilizado?id=22004168&amp;nome=CAMISA%20PORTA%20CLICHE%20ROSSINI%20730MM%20SOB%20PONTE</v>
      </c>
      <c r="I1059" t="e">
        <f t="shared" ca="1" si="33"/>
        <v>#NAME?</v>
      </c>
    </row>
    <row r="1060" spans="1:9" x14ac:dyDescent="0.25">
      <c r="A1060" s="2" t="s">
        <v>1601</v>
      </c>
      <c r="B1060" s="2" t="s">
        <v>10</v>
      </c>
      <c r="C1060" s="3">
        <v>45156</v>
      </c>
      <c r="D1060" t="s">
        <v>1591</v>
      </c>
      <c r="E1060" s="2" t="s">
        <v>12</v>
      </c>
      <c r="F1060" s="2" t="s">
        <v>1602</v>
      </c>
      <c r="G1060" t="s">
        <v>586</v>
      </c>
      <c r="H1060" t="str">
        <f t="shared" si="32"/>
        <v>https://videplast.com.br/consulta-imobilizado?id=22004169&amp;nome=CAMISA%20PORTA%20CLICHE%20ROSSINI%20730MM%20SOB%20PONTE</v>
      </c>
      <c r="I1060" t="e">
        <f t="shared" ca="1" si="33"/>
        <v>#NAME?</v>
      </c>
    </row>
    <row r="1061" spans="1:9" x14ac:dyDescent="0.25">
      <c r="A1061" s="2" t="s">
        <v>1603</v>
      </c>
      <c r="B1061" s="2" t="s">
        <v>10</v>
      </c>
      <c r="C1061" s="3">
        <v>45156</v>
      </c>
      <c r="D1061" t="s">
        <v>1591</v>
      </c>
      <c r="E1061" s="2" t="s">
        <v>12</v>
      </c>
      <c r="F1061" s="2" t="s">
        <v>1604</v>
      </c>
      <c r="G1061" t="s">
        <v>586</v>
      </c>
      <c r="H1061" t="str">
        <f t="shared" si="32"/>
        <v>https://videplast.com.br/consulta-imobilizado?id=22004170&amp;nome=CAMISA%20PORTA%20CLICHE%20ROSSINI%20730MM%20SOB%20PONTE</v>
      </c>
      <c r="I1061" t="e">
        <f t="shared" ca="1" si="33"/>
        <v>#NAME?</v>
      </c>
    </row>
    <row r="1062" spans="1:9" x14ac:dyDescent="0.25">
      <c r="A1062" s="2" t="s">
        <v>1605</v>
      </c>
      <c r="B1062" s="2" t="s">
        <v>10</v>
      </c>
      <c r="C1062" s="3">
        <v>45156</v>
      </c>
      <c r="D1062" t="s">
        <v>1591</v>
      </c>
      <c r="E1062" s="2" t="s">
        <v>12</v>
      </c>
      <c r="F1062" s="2" t="s">
        <v>1606</v>
      </c>
      <c r="G1062" t="s">
        <v>586</v>
      </c>
      <c r="H1062" t="str">
        <f t="shared" si="32"/>
        <v>https://videplast.com.br/consulta-imobilizado?id=22004171&amp;nome=CAMISA%20PORTA%20CLICHE%20ROSSINI%20730MM%20SOB%20PONTE</v>
      </c>
      <c r="I1062" t="e">
        <f t="shared" ca="1" si="33"/>
        <v>#NAME?</v>
      </c>
    </row>
    <row r="1063" spans="1:9" x14ac:dyDescent="0.25">
      <c r="A1063" s="2" t="s">
        <v>1607</v>
      </c>
      <c r="B1063" s="2" t="s">
        <v>10</v>
      </c>
      <c r="C1063" s="3">
        <v>45180</v>
      </c>
      <c r="D1063" t="s">
        <v>1608</v>
      </c>
      <c r="E1063" s="2" t="s">
        <v>12</v>
      </c>
      <c r="F1063" s="2" t="s">
        <v>1609</v>
      </c>
      <c r="G1063" t="s">
        <v>586</v>
      </c>
      <c r="H1063" t="str">
        <f t="shared" si="32"/>
        <v>https://videplast.com.br/consulta-imobilizado?id=22004182&amp;nome=CAMISA%20PONTE%20CARBO%20BRIDGE%20111,53X152,91X1295</v>
      </c>
      <c r="I1063" t="e">
        <f t="shared" ca="1" si="33"/>
        <v>#NAME?</v>
      </c>
    </row>
    <row r="1064" spans="1:9" x14ac:dyDescent="0.25">
      <c r="A1064" s="2" t="s">
        <v>1610</v>
      </c>
      <c r="B1064" s="2" t="s">
        <v>10</v>
      </c>
      <c r="C1064" s="3">
        <v>45180</v>
      </c>
      <c r="D1064" t="s">
        <v>1608</v>
      </c>
      <c r="E1064" s="2" t="s">
        <v>12</v>
      </c>
      <c r="F1064" s="2" t="s">
        <v>1611</v>
      </c>
      <c r="G1064" t="s">
        <v>586</v>
      </c>
      <c r="H1064" t="str">
        <f t="shared" si="32"/>
        <v>https://videplast.com.br/consulta-imobilizado?id=22004183&amp;nome=CAMISA%20PONTE%20CARBO%20BRIDGE%20111,53X152,91X1295</v>
      </c>
      <c r="I1064" t="e">
        <f t="shared" ca="1" si="33"/>
        <v>#NAME?</v>
      </c>
    </row>
    <row r="1065" spans="1:9" x14ac:dyDescent="0.25">
      <c r="A1065" s="2" t="s">
        <v>1612</v>
      </c>
      <c r="B1065" s="2" t="s">
        <v>10</v>
      </c>
      <c r="C1065" s="3">
        <v>45180</v>
      </c>
      <c r="D1065" t="s">
        <v>1608</v>
      </c>
      <c r="E1065" s="2" t="s">
        <v>12</v>
      </c>
      <c r="F1065" s="2" t="s">
        <v>1613</v>
      </c>
      <c r="G1065" t="s">
        <v>586</v>
      </c>
      <c r="H1065" t="str">
        <f t="shared" si="32"/>
        <v>https://videplast.com.br/consulta-imobilizado?id=22004184&amp;nome=CAMISA%20PONTE%20CARBO%20BRIDGE%20111,53X152,91X1295</v>
      </c>
      <c r="I1065" t="e">
        <f t="shared" ca="1" si="33"/>
        <v>#NAME?</v>
      </c>
    </row>
    <row r="1066" spans="1:9" x14ac:dyDescent="0.25">
      <c r="A1066" s="2" t="s">
        <v>1614</v>
      </c>
      <c r="B1066" s="2" t="s">
        <v>10</v>
      </c>
      <c r="C1066" s="3">
        <v>45180</v>
      </c>
      <c r="D1066" t="s">
        <v>1608</v>
      </c>
      <c r="E1066" s="2" t="s">
        <v>12</v>
      </c>
      <c r="F1066" s="2" t="s">
        <v>1615</v>
      </c>
      <c r="G1066" t="s">
        <v>586</v>
      </c>
      <c r="H1066" t="str">
        <f t="shared" si="32"/>
        <v>https://videplast.com.br/consulta-imobilizado?id=22004185&amp;nome=CAMISA%20PONTE%20CARBO%20BRIDGE%20111,53X152,91X1295</v>
      </c>
      <c r="I1066" t="e">
        <f t="shared" ca="1" si="33"/>
        <v>#NAME?</v>
      </c>
    </row>
    <row r="1067" spans="1:9" x14ac:dyDescent="0.25">
      <c r="A1067" s="2" t="s">
        <v>1616</v>
      </c>
      <c r="B1067" s="2" t="s">
        <v>10</v>
      </c>
      <c r="C1067" s="3">
        <v>45215</v>
      </c>
      <c r="D1067" t="s">
        <v>1617</v>
      </c>
      <c r="E1067" s="2" t="s">
        <v>12</v>
      </c>
      <c r="F1067" s="2" t="s">
        <v>1618</v>
      </c>
      <c r="G1067" t="s">
        <v>586</v>
      </c>
      <c r="H1067" t="str">
        <f t="shared" si="32"/>
        <v>https://videplast.com.br/consulta-imobilizado?id=22004228&amp;nome=CAMISA%20PORTA%20CLICHE%20STARCOAT%20216,85X152,91X1,29</v>
      </c>
      <c r="I1067" t="e">
        <f t="shared" ca="1" si="33"/>
        <v>#NAME?</v>
      </c>
    </row>
    <row r="1068" spans="1:9" x14ac:dyDescent="0.25">
      <c r="A1068" s="2" t="s">
        <v>1619</v>
      </c>
      <c r="B1068" s="2" t="s">
        <v>10</v>
      </c>
      <c r="C1068" s="3">
        <v>45335</v>
      </c>
      <c r="D1068" t="s">
        <v>1620</v>
      </c>
      <c r="E1068" s="2" t="s">
        <v>12</v>
      </c>
      <c r="F1068" s="2" t="s">
        <v>1621</v>
      </c>
      <c r="G1068" t="s">
        <v>586</v>
      </c>
      <c r="H1068" t="str">
        <f t="shared" si="32"/>
        <v>https://videplast.com.br/consulta-imobilizado?id=22004237&amp;nome=CAMISA%20DE%20LAMINACAO%20ROSSINI%20SPEEDWELL%20S165x1315MM</v>
      </c>
      <c r="I1068" t="e">
        <f t="shared" ca="1" si="33"/>
        <v>#NAME?</v>
      </c>
    </row>
    <row r="1069" spans="1:9" x14ac:dyDescent="0.25">
      <c r="A1069" s="2" t="s">
        <v>1622</v>
      </c>
      <c r="B1069" s="2" t="s">
        <v>10</v>
      </c>
      <c r="C1069" s="3">
        <v>45335</v>
      </c>
      <c r="D1069" t="s">
        <v>1620</v>
      </c>
      <c r="E1069" s="2" t="s">
        <v>12</v>
      </c>
      <c r="F1069" s="2" t="s">
        <v>1623</v>
      </c>
      <c r="G1069" t="s">
        <v>586</v>
      </c>
      <c r="H1069" t="str">
        <f t="shared" si="32"/>
        <v>https://videplast.com.br/consulta-imobilizado?id=22004238&amp;nome=CAMISA%20DE%20LAMINACAO%20ROSSINI%20SPEEDWELL%20S165x1315MM</v>
      </c>
      <c r="I1069" t="e">
        <f t="shared" ca="1" si="33"/>
        <v>#NAME?</v>
      </c>
    </row>
    <row r="1070" spans="1:9" x14ac:dyDescent="0.25">
      <c r="A1070" s="2" t="s">
        <v>1624</v>
      </c>
      <c r="B1070" s="2" t="s">
        <v>10</v>
      </c>
      <c r="C1070" s="3">
        <v>45335</v>
      </c>
      <c r="D1070" t="s">
        <v>1620</v>
      </c>
      <c r="E1070" s="2" t="s">
        <v>12</v>
      </c>
      <c r="F1070" s="2" t="s">
        <v>1625</v>
      </c>
      <c r="G1070" t="s">
        <v>586</v>
      </c>
      <c r="H1070" t="str">
        <f t="shared" si="32"/>
        <v>https://videplast.com.br/consulta-imobilizado?id=22004239&amp;nome=CAMISA%20DE%20LAMINACAO%20ROSSINI%20SPEEDWELL%20S165x1315MM</v>
      </c>
      <c r="I1070" t="e">
        <f t="shared" ca="1" si="33"/>
        <v>#NAME?</v>
      </c>
    </row>
    <row r="1071" spans="1:9" x14ac:dyDescent="0.25">
      <c r="A1071" s="2" t="s">
        <v>1626</v>
      </c>
      <c r="B1071" s="2" t="s">
        <v>10</v>
      </c>
      <c r="C1071" s="3">
        <v>45351</v>
      </c>
      <c r="D1071" t="s">
        <v>1627</v>
      </c>
      <c r="E1071" s="2" t="s">
        <v>12</v>
      </c>
      <c r="F1071" s="2" t="s">
        <v>1628</v>
      </c>
      <c r="G1071" t="s">
        <v>586</v>
      </c>
      <c r="H1071" t="str">
        <f t="shared" si="32"/>
        <v>https://videplast.com.br/consulta-imobilizado?id=22004336&amp;nome=CAMISA%20ANILOX%20WeH</v>
      </c>
      <c r="I1071" t="e">
        <f t="shared" ca="1" si="33"/>
        <v>#NAME?</v>
      </c>
    </row>
    <row r="1072" spans="1:9" x14ac:dyDescent="0.25">
      <c r="A1072" s="2" t="s">
        <v>1629</v>
      </c>
      <c r="B1072" s="2" t="s">
        <v>10</v>
      </c>
      <c r="C1072" s="3">
        <v>45351</v>
      </c>
      <c r="D1072" t="s">
        <v>1627</v>
      </c>
      <c r="E1072" s="2" t="s">
        <v>12</v>
      </c>
      <c r="F1072" s="2" t="s">
        <v>1630</v>
      </c>
      <c r="G1072" t="s">
        <v>586</v>
      </c>
      <c r="H1072" t="str">
        <f t="shared" si="32"/>
        <v>https://videplast.com.br/consulta-imobilizado?id=22004337&amp;nome=CAMISA%20ANILOX%20WeH</v>
      </c>
      <c r="I1072" t="e">
        <f t="shared" ca="1" si="33"/>
        <v>#NAME?</v>
      </c>
    </row>
    <row r="1073" spans="1:9" x14ac:dyDescent="0.25">
      <c r="A1073" s="2" t="s">
        <v>1631</v>
      </c>
      <c r="B1073" s="2" t="s">
        <v>10</v>
      </c>
      <c r="C1073" s="3">
        <v>45351</v>
      </c>
      <c r="D1073" t="s">
        <v>1627</v>
      </c>
      <c r="E1073" s="2" t="s">
        <v>12</v>
      </c>
      <c r="F1073" s="2" t="s">
        <v>1632</v>
      </c>
      <c r="G1073" t="s">
        <v>586</v>
      </c>
      <c r="H1073" t="str">
        <f t="shared" si="32"/>
        <v>https://videplast.com.br/consulta-imobilizado?id=22004338&amp;nome=CAMISA%20ANILOX%20WeH</v>
      </c>
      <c r="I1073" t="e">
        <f t="shared" ca="1" si="33"/>
        <v>#NAME?</v>
      </c>
    </row>
    <row r="1074" spans="1:9" x14ac:dyDescent="0.25">
      <c r="A1074" s="2" t="s">
        <v>1633</v>
      </c>
      <c r="B1074" s="2" t="s">
        <v>10</v>
      </c>
      <c r="C1074" s="3">
        <v>45351</v>
      </c>
      <c r="D1074" t="s">
        <v>1627</v>
      </c>
      <c r="E1074" s="2" t="s">
        <v>12</v>
      </c>
      <c r="F1074" s="2" t="s">
        <v>1634</v>
      </c>
      <c r="G1074" t="s">
        <v>586</v>
      </c>
      <c r="H1074" t="str">
        <f t="shared" si="32"/>
        <v>https://videplast.com.br/consulta-imobilizado?id=22004339&amp;nome=CAMISA%20ANILOX%20WeH</v>
      </c>
      <c r="I1074" t="e">
        <f t="shared" ca="1" si="33"/>
        <v>#NAME?</v>
      </c>
    </row>
    <row r="1075" spans="1:9" x14ac:dyDescent="0.25">
      <c r="A1075" s="2" t="s">
        <v>1635</v>
      </c>
      <c r="B1075" s="2" t="s">
        <v>10</v>
      </c>
      <c r="C1075" s="3">
        <v>45351</v>
      </c>
      <c r="D1075" t="s">
        <v>1627</v>
      </c>
      <c r="E1075" s="2" t="s">
        <v>12</v>
      </c>
      <c r="F1075" s="2" t="s">
        <v>1636</v>
      </c>
      <c r="G1075" t="s">
        <v>586</v>
      </c>
      <c r="H1075" t="str">
        <f t="shared" si="32"/>
        <v>https://videplast.com.br/consulta-imobilizado?id=22004340&amp;nome=CAMISA%20ANILOX%20WeH</v>
      </c>
      <c r="I1075" t="e">
        <f t="shared" ca="1" si="33"/>
        <v>#NAME?</v>
      </c>
    </row>
    <row r="1076" spans="1:9" x14ac:dyDescent="0.25">
      <c r="A1076" s="2" t="s">
        <v>1637</v>
      </c>
      <c r="B1076" s="2" t="s">
        <v>10</v>
      </c>
      <c r="C1076" s="3">
        <v>45351</v>
      </c>
      <c r="D1076" t="s">
        <v>1627</v>
      </c>
      <c r="E1076" s="2" t="s">
        <v>12</v>
      </c>
      <c r="F1076" s="2" t="s">
        <v>1638</v>
      </c>
      <c r="G1076" t="s">
        <v>586</v>
      </c>
      <c r="H1076" t="str">
        <f t="shared" si="32"/>
        <v>https://videplast.com.br/consulta-imobilizado?id=22004341&amp;nome=CAMISA%20ANILOX%20WeH</v>
      </c>
      <c r="I1076" t="e">
        <f t="shared" ca="1" si="33"/>
        <v>#NAME?</v>
      </c>
    </row>
    <row r="1077" spans="1:9" x14ac:dyDescent="0.25">
      <c r="A1077" s="2" t="s">
        <v>1639</v>
      </c>
      <c r="B1077" s="2" t="s">
        <v>10</v>
      </c>
      <c r="C1077" s="3">
        <v>45351</v>
      </c>
      <c r="D1077" t="s">
        <v>1627</v>
      </c>
      <c r="E1077" s="2" t="s">
        <v>12</v>
      </c>
      <c r="F1077" s="2" t="s">
        <v>1640</v>
      </c>
      <c r="G1077" t="s">
        <v>586</v>
      </c>
      <c r="H1077" t="str">
        <f t="shared" si="32"/>
        <v>https://videplast.com.br/consulta-imobilizado?id=22004342&amp;nome=CAMISA%20ANILOX%20WeH</v>
      </c>
      <c r="I1077" t="e">
        <f t="shared" ca="1" si="33"/>
        <v>#NAME?</v>
      </c>
    </row>
    <row r="1078" spans="1:9" x14ac:dyDescent="0.25">
      <c r="A1078" s="2" t="s">
        <v>1641</v>
      </c>
      <c r="B1078" s="2" t="s">
        <v>10</v>
      </c>
      <c r="C1078" s="3">
        <v>45351</v>
      </c>
      <c r="D1078" t="s">
        <v>1627</v>
      </c>
      <c r="E1078" s="2" t="s">
        <v>12</v>
      </c>
      <c r="F1078" s="2" t="s">
        <v>1642</v>
      </c>
      <c r="G1078" t="s">
        <v>586</v>
      </c>
      <c r="H1078" t="str">
        <f t="shared" si="32"/>
        <v>https://videplast.com.br/consulta-imobilizado?id=22004343&amp;nome=CAMISA%20ANILOX%20WeH</v>
      </c>
      <c r="I1078" t="e">
        <f t="shared" ca="1" si="33"/>
        <v>#NAME?</v>
      </c>
    </row>
    <row r="1079" spans="1:9" x14ac:dyDescent="0.25">
      <c r="A1079" s="2" t="s">
        <v>1643</v>
      </c>
      <c r="B1079" s="2" t="s">
        <v>10</v>
      </c>
      <c r="C1079" s="3">
        <v>45351</v>
      </c>
      <c r="D1079" t="s">
        <v>1627</v>
      </c>
      <c r="E1079" s="2" t="s">
        <v>12</v>
      </c>
      <c r="F1079" s="2" t="s">
        <v>1644</v>
      </c>
      <c r="G1079" t="s">
        <v>586</v>
      </c>
      <c r="H1079" t="str">
        <f t="shared" si="32"/>
        <v>https://videplast.com.br/consulta-imobilizado?id=22004344&amp;nome=CAMISA%20ANILOX%20WeH</v>
      </c>
      <c r="I1079" t="e">
        <f t="shared" ca="1" si="33"/>
        <v>#NAME?</v>
      </c>
    </row>
    <row r="1080" spans="1:9" x14ac:dyDescent="0.25">
      <c r="A1080" s="2" t="s">
        <v>1645</v>
      </c>
      <c r="B1080" s="2" t="s">
        <v>10</v>
      </c>
      <c r="C1080" s="3">
        <v>45351</v>
      </c>
      <c r="D1080" t="s">
        <v>1627</v>
      </c>
      <c r="E1080" s="2" t="s">
        <v>12</v>
      </c>
      <c r="F1080" s="2" t="s">
        <v>1646</v>
      </c>
      <c r="G1080" t="s">
        <v>586</v>
      </c>
      <c r="H1080" t="str">
        <f t="shared" si="32"/>
        <v>https://videplast.com.br/consulta-imobilizado?id=22004345&amp;nome=CAMISA%20ANILOX%20WeH</v>
      </c>
      <c r="I1080" t="e">
        <f t="shared" ca="1" si="33"/>
        <v>#NAME?</v>
      </c>
    </row>
    <row r="1081" spans="1:9" x14ac:dyDescent="0.25">
      <c r="A1081" s="2" t="s">
        <v>1647</v>
      </c>
      <c r="B1081" s="2" t="s">
        <v>10</v>
      </c>
      <c r="C1081" s="3">
        <v>45379</v>
      </c>
      <c r="D1081" t="s">
        <v>1648</v>
      </c>
      <c r="E1081" s="2" t="s">
        <v>12</v>
      </c>
      <c r="F1081" s="2" t="s">
        <v>1649</v>
      </c>
      <c r="G1081" t="s">
        <v>586</v>
      </c>
      <c r="H1081" t="str">
        <f t="shared" si="32"/>
        <v>https://videplast.com.br/consulta-imobilizado?id=22004346&amp;nome=CAMISA%20PORTA%20CLICHE%20PASSO%20390%20MANDRIL%20108,342</v>
      </c>
      <c r="I1081" t="e">
        <f t="shared" ca="1" si="33"/>
        <v>#NAME?</v>
      </c>
    </row>
    <row r="1082" spans="1:9" x14ac:dyDescent="0.25">
      <c r="A1082" s="2" t="s">
        <v>1650</v>
      </c>
      <c r="B1082" s="2" t="s">
        <v>10</v>
      </c>
      <c r="C1082" s="3">
        <v>45379</v>
      </c>
      <c r="D1082" t="s">
        <v>1648</v>
      </c>
      <c r="E1082" s="2" t="s">
        <v>12</v>
      </c>
      <c r="F1082" s="2" t="s">
        <v>1651</v>
      </c>
      <c r="G1082" t="s">
        <v>586</v>
      </c>
      <c r="H1082" t="str">
        <f t="shared" si="32"/>
        <v>https://videplast.com.br/consulta-imobilizado?id=22004347&amp;nome=CAMISA%20PORTA%20CLICHE%20PASSO%20390%20MANDRIL%20108,342</v>
      </c>
      <c r="I1082" t="e">
        <f t="shared" ca="1" si="33"/>
        <v>#NAME?</v>
      </c>
    </row>
    <row r="1083" spans="1:9" x14ac:dyDescent="0.25">
      <c r="A1083" s="2" t="s">
        <v>1652</v>
      </c>
      <c r="B1083" s="2" t="s">
        <v>10</v>
      </c>
      <c r="C1083" s="3">
        <v>45379</v>
      </c>
      <c r="D1083" t="s">
        <v>1648</v>
      </c>
      <c r="E1083" s="2" t="s">
        <v>12</v>
      </c>
      <c r="F1083" s="2" t="s">
        <v>1653</v>
      </c>
      <c r="G1083" t="s">
        <v>586</v>
      </c>
      <c r="H1083" t="str">
        <f t="shared" si="32"/>
        <v>https://videplast.com.br/consulta-imobilizado?id=22004348&amp;nome=CAMISA%20PORTA%20CLICHE%20PASSO%20390%20MANDRIL%20108,342</v>
      </c>
      <c r="I1083" t="e">
        <f t="shared" ca="1" si="33"/>
        <v>#NAME?</v>
      </c>
    </row>
    <row r="1084" spans="1:9" x14ac:dyDescent="0.25">
      <c r="A1084" s="2" t="s">
        <v>1654</v>
      </c>
      <c r="B1084" s="2" t="s">
        <v>10</v>
      </c>
      <c r="C1084" s="3">
        <v>45379</v>
      </c>
      <c r="D1084" t="s">
        <v>1648</v>
      </c>
      <c r="E1084" s="2" t="s">
        <v>12</v>
      </c>
      <c r="F1084" s="2" t="s">
        <v>1655</v>
      </c>
      <c r="G1084" t="s">
        <v>586</v>
      </c>
      <c r="H1084" t="str">
        <f t="shared" si="32"/>
        <v>https://videplast.com.br/consulta-imobilizado?id=22004349&amp;nome=CAMISA%20PORTA%20CLICHE%20PASSO%20390%20MANDRIL%20108,342</v>
      </c>
      <c r="I1084" t="e">
        <f t="shared" ca="1" si="33"/>
        <v>#NAME?</v>
      </c>
    </row>
    <row r="1085" spans="1:9" x14ac:dyDescent="0.25">
      <c r="A1085" s="2" t="s">
        <v>1656</v>
      </c>
      <c r="B1085" s="2" t="s">
        <v>10</v>
      </c>
      <c r="C1085" s="3">
        <v>45379</v>
      </c>
      <c r="D1085" t="s">
        <v>1648</v>
      </c>
      <c r="E1085" s="2" t="s">
        <v>12</v>
      </c>
      <c r="F1085" s="2" t="s">
        <v>1657</v>
      </c>
      <c r="G1085" t="s">
        <v>586</v>
      </c>
      <c r="H1085" t="str">
        <f t="shared" si="32"/>
        <v>https://videplast.com.br/consulta-imobilizado?id=22004350&amp;nome=CAMISA%20PORTA%20CLICHE%20PASSO%20390%20MANDRIL%20108,342</v>
      </c>
      <c r="I1085" t="e">
        <f t="shared" ca="1" si="33"/>
        <v>#NAME?</v>
      </c>
    </row>
    <row r="1086" spans="1:9" x14ac:dyDescent="0.25">
      <c r="A1086" s="2" t="s">
        <v>1658</v>
      </c>
      <c r="B1086" s="2" t="s">
        <v>10</v>
      </c>
      <c r="C1086" s="3">
        <v>45379</v>
      </c>
      <c r="D1086" t="s">
        <v>1648</v>
      </c>
      <c r="E1086" s="2" t="s">
        <v>12</v>
      </c>
      <c r="F1086" s="2" t="s">
        <v>1659</v>
      </c>
      <c r="G1086" t="s">
        <v>586</v>
      </c>
      <c r="H1086" t="str">
        <f t="shared" si="32"/>
        <v>https://videplast.com.br/consulta-imobilizado?id=22004351&amp;nome=CAMISA%20PORTA%20CLICHE%20PASSO%20390%20MANDRIL%20108,342</v>
      </c>
      <c r="I1086" t="e">
        <f t="shared" ca="1" si="33"/>
        <v>#NAME?</v>
      </c>
    </row>
    <row r="1087" spans="1:9" x14ac:dyDescent="0.25">
      <c r="A1087" s="2" t="s">
        <v>1660</v>
      </c>
      <c r="B1087" s="2" t="s">
        <v>10</v>
      </c>
      <c r="C1087" s="3">
        <v>45379</v>
      </c>
      <c r="D1087" t="s">
        <v>1648</v>
      </c>
      <c r="E1087" s="2" t="s">
        <v>12</v>
      </c>
      <c r="F1087" s="2" t="s">
        <v>1661</v>
      </c>
      <c r="G1087" t="s">
        <v>586</v>
      </c>
      <c r="H1087" t="str">
        <f t="shared" si="32"/>
        <v>https://videplast.com.br/consulta-imobilizado?id=22004352&amp;nome=CAMISA%20PORTA%20CLICHE%20PASSO%20390%20MANDRIL%20108,342</v>
      </c>
      <c r="I1087" t="e">
        <f t="shared" ca="1" si="33"/>
        <v>#NAME?</v>
      </c>
    </row>
    <row r="1088" spans="1:9" x14ac:dyDescent="0.25">
      <c r="A1088" s="2" t="s">
        <v>1662</v>
      </c>
      <c r="B1088" s="2" t="s">
        <v>10</v>
      </c>
      <c r="C1088" s="3">
        <v>45379</v>
      </c>
      <c r="D1088" t="s">
        <v>1648</v>
      </c>
      <c r="E1088" s="2" t="s">
        <v>12</v>
      </c>
      <c r="F1088" s="2" t="s">
        <v>1663</v>
      </c>
      <c r="G1088" t="s">
        <v>586</v>
      </c>
      <c r="H1088" t="str">
        <f t="shared" si="32"/>
        <v>https://videplast.com.br/consulta-imobilizado?id=22004353&amp;nome=CAMISA%20PORTA%20CLICHE%20PASSO%20390%20MANDRIL%20108,342</v>
      </c>
      <c r="I1088" t="e">
        <f t="shared" ca="1" si="33"/>
        <v>#NAME?</v>
      </c>
    </row>
    <row r="1089" spans="1:9" x14ac:dyDescent="0.25">
      <c r="A1089" s="2" t="s">
        <v>1664</v>
      </c>
      <c r="B1089" s="2" t="s">
        <v>10</v>
      </c>
      <c r="C1089" s="3">
        <v>45379</v>
      </c>
      <c r="D1089" t="s">
        <v>1665</v>
      </c>
      <c r="E1089" s="2" t="s">
        <v>12</v>
      </c>
      <c r="F1089" s="2" t="s">
        <v>1666</v>
      </c>
      <c r="G1089" t="s">
        <v>586</v>
      </c>
      <c r="H1089" t="str">
        <f t="shared" si="32"/>
        <v>https://videplast.com.br/consulta-imobilizado?id=22004354&amp;nome=CAMISA%20PORTA%20CLICHE%20PASSO%20400%20MANDRIL%20108,342</v>
      </c>
      <c r="I1089" t="e">
        <f t="shared" ca="1" si="33"/>
        <v>#NAME?</v>
      </c>
    </row>
    <row r="1090" spans="1:9" x14ac:dyDescent="0.25">
      <c r="A1090" s="2" t="s">
        <v>1667</v>
      </c>
      <c r="B1090" s="2" t="s">
        <v>10</v>
      </c>
      <c r="C1090" s="3">
        <v>45379</v>
      </c>
      <c r="D1090" t="s">
        <v>1665</v>
      </c>
      <c r="E1090" s="2" t="s">
        <v>12</v>
      </c>
      <c r="F1090" s="2" t="s">
        <v>1668</v>
      </c>
      <c r="G1090" t="s">
        <v>586</v>
      </c>
      <c r="H1090" t="str">
        <f t="shared" ref="H1090:H1153" si="34" xml:space="preserve"> "https://videplast.com.br/consulta-imobilizado?id=" &amp; A1090 &amp; "&amp;nome=" &amp; SUBSTITUTE(D1090, " ", "%20")</f>
        <v>https://videplast.com.br/consulta-imobilizado?id=22004355&amp;nome=CAMISA%20PORTA%20CLICHE%20PASSO%20400%20MANDRIL%20108,342</v>
      </c>
      <c r="I1090" t="e">
        <f t="shared" ref="I1090:I1153" ca="1" si="35">_xlfn.IMAGE("https://chart.googleapis.com/chart?chs=150x150&amp;cht=qr&amp;chl=" &amp; H1090)</f>
        <v>#NAME?</v>
      </c>
    </row>
    <row r="1091" spans="1:9" x14ac:dyDescent="0.25">
      <c r="A1091" s="2" t="s">
        <v>1669</v>
      </c>
      <c r="B1091" s="2" t="s">
        <v>10</v>
      </c>
      <c r="C1091" s="3">
        <v>45379</v>
      </c>
      <c r="D1091" t="s">
        <v>1665</v>
      </c>
      <c r="E1091" s="2" t="s">
        <v>12</v>
      </c>
      <c r="F1091" s="2" t="s">
        <v>1670</v>
      </c>
      <c r="G1091" t="s">
        <v>586</v>
      </c>
      <c r="H1091" t="str">
        <f t="shared" si="34"/>
        <v>https://videplast.com.br/consulta-imobilizado?id=22004356&amp;nome=CAMISA%20PORTA%20CLICHE%20PASSO%20400%20MANDRIL%20108,342</v>
      </c>
      <c r="I1091" t="e">
        <f t="shared" ca="1" si="35"/>
        <v>#NAME?</v>
      </c>
    </row>
    <row r="1092" spans="1:9" x14ac:dyDescent="0.25">
      <c r="A1092" s="2" t="s">
        <v>1671</v>
      </c>
      <c r="B1092" s="2" t="s">
        <v>10</v>
      </c>
      <c r="C1092" s="3">
        <v>45379</v>
      </c>
      <c r="D1092" t="s">
        <v>1665</v>
      </c>
      <c r="E1092" s="2" t="s">
        <v>12</v>
      </c>
      <c r="F1092" s="2" t="s">
        <v>1672</v>
      </c>
      <c r="G1092" t="s">
        <v>586</v>
      </c>
      <c r="H1092" t="str">
        <f t="shared" si="34"/>
        <v>https://videplast.com.br/consulta-imobilizado?id=22004357&amp;nome=CAMISA%20PORTA%20CLICHE%20PASSO%20400%20MANDRIL%20108,342</v>
      </c>
      <c r="I1092" t="e">
        <f t="shared" ca="1" si="35"/>
        <v>#NAME?</v>
      </c>
    </row>
    <row r="1093" spans="1:9" x14ac:dyDescent="0.25">
      <c r="A1093" s="2" t="s">
        <v>1673</v>
      </c>
      <c r="B1093" s="2" t="s">
        <v>10</v>
      </c>
      <c r="C1093" s="3">
        <v>45379</v>
      </c>
      <c r="D1093" t="s">
        <v>1665</v>
      </c>
      <c r="E1093" s="2" t="s">
        <v>12</v>
      </c>
      <c r="F1093" s="2" t="s">
        <v>1674</v>
      </c>
      <c r="G1093" t="s">
        <v>586</v>
      </c>
      <c r="H1093" t="str">
        <f t="shared" si="34"/>
        <v>https://videplast.com.br/consulta-imobilizado?id=22004358&amp;nome=CAMISA%20PORTA%20CLICHE%20PASSO%20400%20MANDRIL%20108,342</v>
      </c>
      <c r="I1093" t="e">
        <f t="shared" ca="1" si="35"/>
        <v>#NAME?</v>
      </c>
    </row>
    <row r="1094" spans="1:9" x14ac:dyDescent="0.25">
      <c r="A1094" s="2" t="s">
        <v>1675</v>
      </c>
      <c r="B1094" s="2" t="s">
        <v>10</v>
      </c>
      <c r="C1094" s="3">
        <v>45379</v>
      </c>
      <c r="D1094" t="s">
        <v>1665</v>
      </c>
      <c r="E1094" s="2" t="s">
        <v>12</v>
      </c>
      <c r="F1094" s="2" t="s">
        <v>1676</v>
      </c>
      <c r="G1094" t="s">
        <v>586</v>
      </c>
      <c r="H1094" t="str">
        <f t="shared" si="34"/>
        <v>https://videplast.com.br/consulta-imobilizado?id=22004359&amp;nome=CAMISA%20PORTA%20CLICHE%20PASSO%20400%20MANDRIL%20108,342</v>
      </c>
      <c r="I1094" t="e">
        <f t="shared" ca="1" si="35"/>
        <v>#NAME?</v>
      </c>
    </row>
    <row r="1095" spans="1:9" x14ac:dyDescent="0.25">
      <c r="A1095" s="2" t="s">
        <v>1677</v>
      </c>
      <c r="B1095" s="2" t="s">
        <v>10</v>
      </c>
      <c r="C1095" s="3">
        <v>45379</v>
      </c>
      <c r="D1095" t="s">
        <v>1665</v>
      </c>
      <c r="E1095" s="2" t="s">
        <v>12</v>
      </c>
      <c r="F1095" s="2" t="s">
        <v>1678</v>
      </c>
      <c r="G1095" t="s">
        <v>586</v>
      </c>
      <c r="H1095" t="str">
        <f t="shared" si="34"/>
        <v>https://videplast.com.br/consulta-imobilizado?id=22004360&amp;nome=CAMISA%20PORTA%20CLICHE%20PASSO%20400%20MANDRIL%20108,342</v>
      </c>
      <c r="I1095" t="e">
        <f t="shared" ca="1" si="35"/>
        <v>#NAME?</v>
      </c>
    </row>
    <row r="1096" spans="1:9" x14ac:dyDescent="0.25">
      <c r="A1096" s="2" t="s">
        <v>1679</v>
      </c>
      <c r="B1096" s="2" t="s">
        <v>10</v>
      </c>
      <c r="C1096" s="3">
        <v>45379</v>
      </c>
      <c r="D1096" t="s">
        <v>1665</v>
      </c>
      <c r="E1096" s="2" t="s">
        <v>12</v>
      </c>
      <c r="F1096" s="2" t="s">
        <v>1680</v>
      </c>
      <c r="G1096" t="s">
        <v>586</v>
      </c>
      <c r="H1096" t="str">
        <f t="shared" si="34"/>
        <v>https://videplast.com.br/consulta-imobilizado?id=22004361&amp;nome=CAMISA%20PORTA%20CLICHE%20PASSO%20400%20MANDRIL%20108,342</v>
      </c>
      <c r="I1096" t="e">
        <f t="shared" ca="1" si="35"/>
        <v>#NAME?</v>
      </c>
    </row>
    <row r="1097" spans="1:9" x14ac:dyDescent="0.25">
      <c r="A1097" s="2" t="s">
        <v>1681</v>
      </c>
      <c r="B1097" s="2" t="s">
        <v>10</v>
      </c>
      <c r="C1097" s="3">
        <v>45379</v>
      </c>
      <c r="D1097" t="s">
        <v>1682</v>
      </c>
      <c r="E1097" s="2" t="s">
        <v>12</v>
      </c>
      <c r="F1097" s="2" t="s">
        <v>1683</v>
      </c>
      <c r="G1097" t="s">
        <v>586</v>
      </c>
      <c r="H1097" t="str">
        <f t="shared" si="34"/>
        <v>https://videplast.com.br/consulta-imobilizado?id=22004362&amp;nome=CAMISA%20PORTA%20CLICHE%20PASSO%20410%20MANDRIL%20108,342</v>
      </c>
      <c r="I1097" t="e">
        <f t="shared" ca="1" si="35"/>
        <v>#NAME?</v>
      </c>
    </row>
    <row r="1098" spans="1:9" x14ac:dyDescent="0.25">
      <c r="A1098" s="2" t="s">
        <v>1684</v>
      </c>
      <c r="B1098" s="2" t="s">
        <v>10</v>
      </c>
      <c r="C1098" s="3">
        <v>45379</v>
      </c>
      <c r="D1098" t="s">
        <v>1682</v>
      </c>
      <c r="E1098" s="2" t="s">
        <v>12</v>
      </c>
      <c r="F1098" s="2" t="s">
        <v>1685</v>
      </c>
      <c r="G1098" t="s">
        <v>586</v>
      </c>
      <c r="H1098" t="str">
        <f t="shared" si="34"/>
        <v>https://videplast.com.br/consulta-imobilizado?id=22004363&amp;nome=CAMISA%20PORTA%20CLICHE%20PASSO%20410%20MANDRIL%20108,342</v>
      </c>
      <c r="I1098" t="e">
        <f t="shared" ca="1" si="35"/>
        <v>#NAME?</v>
      </c>
    </row>
    <row r="1099" spans="1:9" x14ac:dyDescent="0.25">
      <c r="A1099" s="2" t="s">
        <v>1686</v>
      </c>
      <c r="B1099" s="2" t="s">
        <v>10</v>
      </c>
      <c r="C1099" s="3">
        <v>45379</v>
      </c>
      <c r="D1099" t="s">
        <v>1682</v>
      </c>
      <c r="E1099" s="2" t="s">
        <v>12</v>
      </c>
      <c r="F1099" s="2" t="s">
        <v>1687</v>
      </c>
      <c r="G1099" t="s">
        <v>586</v>
      </c>
      <c r="H1099" t="str">
        <f t="shared" si="34"/>
        <v>https://videplast.com.br/consulta-imobilizado?id=22004364&amp;nome=CAMISA%20PORTA%20CLICHE%20PASSO%20410%20MANDRIL%20108,342</v>
      </c>
      <c r="I1099" t="e">
        <f t="shared" ca="1" si="35"/>
        <v>#NAME?</v>
      </c>
    </row>
    <row r="1100" spans="1:9" x14ac:dyDescent="0.25">
      <c r="A1100" s="2" t="s">
        <v>1688</v>
      </c>
      <c r="B1100" s="2" t="s">
        <v>10</v>
      </c>
      <c r="C1100" s="3">
        <v>45379</v>
      </c>
      <c r="D1100" t="s">
        <v>1682</v>
      </c>
      <c r="E1100" s="2" t="s">
        <v>12</v>
      </c>
      <c r="F1100" s="2" t="s">
        <v>1689</v>
      </c>
      <c r="G1100" t="s">
        <v>586</v>
      </c>
      <c r="H1100" t="str">
        <f t="shared" si="34"/>
        <v>https://videplast.com.br/consulta-imobilizado?id=22004365&amp;nome=CAMISA%20PORTA%20CLICHE%20PASSO%20410%20MANDRIL%20108,342</v>
      </c>
      <c r="I1100" t="e">
        <f t="shared" ca="1" si="35"/>
        <v>#NAME?</v>
      </c>
    </row>
    <row r="1101" spans="1:9" x14ac:dyDescent="0.25">
      <c r="A1101" s="2" t="s">
        <v>1690</v>
      </c>
      <c r="B1101" s="2" t="s">
        <v>10</v>
      </c>
      <c r="C1101" s="3">
        <v>45379</v>
      </c>
      <c r="D1101" t="s">
        <v>1682</v>
      </c>
      <c r="E1101" s="2" t="s">
        <v>12</v>
      </c>
      <c r="F1101" s="2" t="s">
        <v>1691</v>
      </c>
      <c r="G1101" t="s">
        <v>586</v>
      </c>
      <c r="H1101" t="str">
        <f t="shared" si="34"/>
        <v>https://videplast.com.br/consulta-imobilizado?id=22004366&amp;nome=CAMISA%20PORTA%20CLICHE%20PASSO%20410%20MANDRIL%20108,342</v>
      </c>
      <c r="I1101" t="e">
        <f t="shared" ca="1" si="35"/>
        <v>#NAME?</v>
      </c>
    </row>
    <row r="1102" spans="1:9" x14ac:dyDescent="0.25">
      <c r="A1102" s="2" t="s">
        <v>1692</v>
      </c>
      <c r="B1102" s="2" t="s">
        <v>10</v>
      </c>
      <c r="C1102" s="3">
        <v>45379</v>
      </c>
      <c r="D1102" t="s">
        <v>1682</v>
      </c>
      <c r="E1102" s="2" t="s">
        <v>12</v>
      </c>
      <c r="F1102" s="2" t="s">
        <v>1693</v>
      </c>
      <c r="G1102" t="s">
        <v>586</v>
      </c>
      <c r="H1102" t="str">
        <f t="shared" si="34"/>
        <v>https://videplast.com.br/consulta-imobilizado?id=22004367&amp;nome=CAMISA%20PORTA%20CLICHE%20PASSO%20410%20MANDRIL%20108,342</v>
      </c>
      <c r="I1102" t="e">
        <f t="shared" ca="1" si="35"/>
        <v>#NAME?</v>
      </c>
    </row>
    <row r="1103" spans="1:9" x14ac:dyDescent="0.25">
      <c r="A1103" s="2" t="s">
        <v>1694</v>
      </c>
      <c r="B1103" s="2" t="s">
        <v>10</v>
      </c>
      <c r="C1103" s="3">
        <v>45379</v>
      </c>
      <c r="D1103" t="s">
        <v>1682</v>
      </c>
      <c r="E1103" s="2" t="s">
        <v>12</v>
      </c>
      <c r="F1103" s="2" t="s">
        <v>1695</v>
      </c>
      <c r="G1103" t="s">
        <v>586</v>
      </c>
      <c r="H1103" t="str">
        <f t="shared" si="34"/>
        <v>https://videplast.com.br/consulta-imobilizado?id=22004368&amp;nome=CAMISA%20PORTA%20CLICHE%20PASSO%20410%20MANDRIL%20108,342</v>
      </c>
      <c r="I1103" t="e">
        <f t="shared" ca="1" si="35"/>
        <v>#NAME?</v>
      </c>
    </row>
    <row r="1104" spans="1:9" x14ac:dyDescent="0.25">
      <c r="A1104" s="2" t="s">
        <v>1696</v>
      </c>
      <c r="B1104" s="2" t="s">
        <v>10</v>
      </c>
      <c r="C1104" s="3">
        <v>45379</v>
      </c>
      <c r="D1104" t="s">
        <v>1682</v>
      </c>
      <c r="E1104" s="2" t="s">
        <v>12</v>
      </c>
      <c r="F1104" s="2" t="s">
        <v>1697</v>
      </c>
      <c r="G1104" t="s">
        <v>586</v>
      </c>
      <c r="H1104" t="str">
        <f t="shared" si="34"/>
        <v>https://videplast.com.br/consulta-imobilizado?id=22004369&amp;nome=CAMISA%20PORTA%20CLICHE%20PASSO%20410%20MANDRIL%20108,342</v>
      </c>
      <c r="I1104" t="e">
        <f t="shared" ca="1" si="35"/>
        <v>#NAME?</v>
      </c>
    </row>
    <row r="1105" spans="1:9" x14ac:dyDescent="0.25">
      <c r="A1105" s="2" t="s">
        <v>1698</v>
      </c>
      <c r="B1105" s="2" t="s">
        <v>10</v>
      </c>
      <c r="C1105" s="3">
        <v>45379</v>
      </c>
      <c r="D1105" t="s">
        <v>1699</v>
      </c>
      <c r="E1105" s="2" t="s">
        <v>12</v>
      </c>
      <c r="F1105" s="2" t="s">
        <v>1700</v>
      </c>
      <c r="G1105" t="s">
        <v>586</v>
      </c>
      <c r="H1105" t="str">
        <f t="shared" si="34"/>
        <v>https://videplast.com.br/consulta-imobilizado?id=22004370&amp;nome=CAMISA%20PORTA%20CLICHE%20PASSO%20420%20MANDRIL%20108,342</v>
      </c>
      <c r="I1105" t="e">
        <f t="shared" ca="1" si="35"/>
        <v>#NAME?</v>
      </c>
    </row>
    <row r="1106" spans="1:9" x14ac:dyDescent="0.25">
      <c r="A1106" s="2" t="s">
        <v>1701</v>
      </c>
      <c r="B1106" s="2" t="s">
        <v>10</v>
      </c>
      <c r="C1106" s="3">
        <v>45379</v>
      </c>
      <c r="D1106" t="s">
        <v>1699</v>
      </c>
      <c r="E1106" s="2" t="s">
        <v>12</v>
      </c>
      <c r="F1106" s="2" t="s">
        <v>1702</v>
      </c>
      <c r="G1106" t="s">
        <v>586</v>
      </c>
      <c r="H1106" t="str">
        <f t="shared" si="34"/>
        <v>https://videplast.com.br/consulta-imobilizado?id=22004371&amp;nome=CAMISA%20PORTA%20CLICHE%20PASSO%20420%20MANDRIL%20108,342</v>
      </c>
      <c r="I1106" t="e">
        <f t="shared" ca="1" si="35"/>
        <v>#NAME?</v>
      </c>
    </row>
    <row r="1107" spans="1:9" x14ac:dyDescent="0.25">
      <c r="A1107" s="2" t="s">
        <v>1703</v>
      </c>
      <c r="B1107" s="2" t="s">
        <v>10</v>
      </c>
      <c r="C1107" s="3">
        <v>45379</v>
      </c>
      <c r="D1107" t="s">
        <v>1699</v>
      </c>
      <c r="E1107" s="2" t="s">
        <v>12</v>
      </c>
      <c r="F1107" s="2" t="s">
        <v>1704</v>
      </c>
      <c r="G1107" t="s">
        <v>586</v>
      </c>
      <c r="H1107" t="str">
        <f t="shared" si="34"/>
        <v>https://videplast.com.br/consulta-imobilizado?id=22004372&amp;nome=CAMISA%20PORTA%20CLICHE%20PASSO%20420%20MANDRIL%20108,342</v>
      </c>
      <c r="I1107" t="e">
        <f t="shared" ca="1" si="35"/>
        <v>#NAME?</v>
      </c>
    </row>
    <row r="1108" spans="1:9" x14ac:dyDescent="0.25">
      <c r="A1108" s="2" t="s">
        <v>1705</v>
      </c>
      <c r="B1108" s="2" t="s">
        <v>10</v>
      </c>
      <c r="C1108" s="3">
        <v>45379</v>
      </c>
      <c r="D1108" t="s">
        <v>1699</v>
      </c>
      <c r="E1108" s="2" t="s">
        <v>12</v>
      </c>
      <c r="F1108" s="2" t="s">
        <v>1706</v>
      </c>
      <c r="G1108" t="s">
        <v>586</v>
      </c>
      <c r="H1108" t="str">
        <f t="shared" si="34"/>
        <v>https://videplast.com.br/consulta-imobilizado?id=22004373&amp;nome=CAMISA%20PORTA%20CLICHE%20PASSO%20420%20MANDRIL%20108,342</v>
      </c>
      <c r="I1108" t="e">
        <f t="shared" ca="1" si="35"/>
        <v>#NAME?</v>
      </c>
    </row>
    <row r="1109" spans="1:9" x14ac:dyDescent="0.25">
      <c r="A1109" s="2" t="s">
        <v>1707</v>
      </c>
      <c r="B1109" s="2" t="s">
        <v>10</v>
      </c>
      <c r="C1109" s="3">
        <v>45379</v>
      </c>
      <c r="D1109" t="s">
        <v>1699</v>
      </c>
      <c r="E1109" s="2" t="s">
        <v>12</v>
      </c>
      <c r="F1109" s="2" t="s">
        <v>1708</v>
      </c>
      <c r="G1109" t="s">
        <v>586</v>
      </c>
      <c r="H1109" t="str">
        <f t="shared" si="34"/>
        <v>https://videplast.com.br/consulta-imobilizado?id=22004374&amp;nome=CAMISA%20PORTA%20CLICHE%20PASSO%20420%20MANDRIL%20108,342</v>
      </c>
      <c r="I1109" t="e">
        <f t="shared" ca="1" si="35"/>
        <v>#NAME?</v>
      </c>
    </row>
    <row r="1110" spans="1:9" x14ac:dyDescent="0.25">
      <c r="A1110" s="2" t="s">
        <v>1709</v>
      </c>
      <c r="B1110" s="2" t="s">
        <v>10</v>
      </c>
      <c r="C1110" s="3">
        <v>45379</v>
      </c>
      <c r="D1110" t="s">
        <v>1699</v>
      </c>
      <c r="E1110" s="2" t="s">
        <v>12</v>
      </c>
      <c r="F1110" s="2" t="s">
        <v>1710</v>
      </c>
      <c r="G1110" t="s">
        <v>586</v>
      </c>
      <c r="H1110" t="str">
        <f t="shared" si="34"/>
        <v>https://videplast.com.br/consulta-imobilizado?id=22004375&amp;nome=CAMISA%20PORTA%20CLICHE%20PASSO%20420%20MANDRIL%20108,342</v>
      </c>
      <c r="I1110" t="e">
        <f t="shared" ca="1" si="35"/>
        <v>#NAME?</v>
      </c>
    </row>
    <row r="1111" spans="1:9" x14ac:dyDescent="0.25">
      <c r="A1111" s="2" t="s">
        <v>1711</v>
      </c>
      <c r="B1111" s="2" t="s">
        <v>10</v>
      </c>
      <c r="C1111" s="3">
        <v>45379</v>
      </c>
      <c r="D1111" t="s">
        <v>1699</v>
      </c>
      <c r="E1111" s="2" t="s">
        <v>12</v>
      </c>
      <c r="F1111" s="2" t="s">
        <v>1712</v>
      </c>
      <c r="G1111" t="s">
        <v>586</v>
      </c>
      <c r="H1111" t="str">
        <f t="shared" si="34"/>
        <v>https://videplast.com.br/consulta-imobilizado?id=22004376&amp;nome=CAMISA%20PORTA%20CLICHE%20PASSO%20420%20MANDRIL%20108,342</v>
      </c>
      <c r="I1111" t="e">
        <f t="shared" ca="1" si="35"/>
        <v>#NAME?</v>
      </c>
    </row>
    <row r="1112" spans="1:9" x14ac:dyDescent="0.25">
      <c r="A1112" s="2" t="s">
        <v>1713</v>
      </c>
      <c r="B1112" s="2" t="s">
        <v>10</v>
      </c>
      <c r="C1112" s="3">
        <v>45379</v>
      </c>
      <c r="D1112" t="s">
        <v>1699</v>
      </c>
      <c r="E1112" s="2" t="s">
        <v>12</v>
      </c>
      <c r="F1112" s="2" t="s">
        <v>1714</v>
      </c>
      <c r="G1112" t="s">
        <v>586</v>
      </c>
      <c r="H1112" t="str">
        <f t="shared" si="34"/>
        <v>https://videplast.com.br/consulta-imobilizado?id=22004377&amp;nome=CAMISA%20PORTA%20CLICHE%20PASSO%20420%20MANDRIL%20108,342</v>
      </c>
      <c r="I1112" t="e">
        <f t="shared" ca="1" si="35"/>
        <v>#NAME?</v>
      </c>
    </row>
    <row r="1113" spans="1:9" x14ac:dyDescent="0.25">
      <c r="A1113" s="2" t="s">
        <v>1715</v>
      </c>
      <c r="B1113" s="2" t="s">
        <v>10</v>
      </c>
      <c r="C1113" s="3">
        <v>45379</v>
      </c>
      <c r="D1113" t="s">
        <v>1716</v>
      </c>
      <c r="E1113" s="2" t="s">
        <v>12</v>
      </c>
      <c r="F1113" s="2" t="s">
        <v>1717</v>
      </c>
      <c r="G1113" t="s">
        <v>586</v>
      </c>
      <c r="H1113" t="str">
        <f t="shared" si="34"/>
        <v>https://videplast.com.br/consulta-imobilizado?id=22004378&amp;nome=CAMISA%20PORTA%20CLICHE%20PASSO%20450%20MANDRIL%20108,342</v>
      </c>
      <c r="I1113" t="e">
        <f t="shared" ca="1" si="35"/>
        <v>#NAME?</v>
      </c>
    </row>
    <row r="1114" spans="1:9" x14ac:dyDescent="0.25">
      <c r="A1114" s="2" t="s">
        <v>1718</v>
      </c>
      <c r="B1114" s="2" t="s">
        <v>10</v>
      </c>
      <c r="C1114" s="3">
        <v>45379</v>
      </c>
      <c r="D1114" t="s">
        <v>1716</v>
      </c>
      <c r="E1114" s="2" t="s">
        <v>12</v>
      </c>
      <c r="F1114" s="2" t="s">
        <v>1719</v>
      </c>
      <c r="G1114" t="s">
        <v>586</v>
      </c>
      <c r="H1114" t="str">
        <f t="shared" si="34"/>
        <v>https://videplast.com.br/consulta-imobilizado?id=22004379&amp;nome=CAMISA%20PORTA%20CLICHE%20PASSO%20450%20MANDRIL%20108,342</v>
      </c>
      <c r="I1114" t="e">
        <f t="shared" ca="1" si="35"/>
        <v>#NAME?</v>
      </c>
    </row>
    <row r="1115" spans="1:9" x14ac:dyDescent="0.25">
      <c r="A1115" s="2" t="s">
        <v>1720</v>
      </c>
      <c r="B1115" s="2" t="s">
        <v>10</v>
      </c>
      <c r="C1115" s="3">
        <v>45379</v>
      </c>
      <c r="D1115" t="s">
        <v>1716</v>
      </c>
      <c r="E1115" s="2" t="s">
        <v>12</v>
      </c>
      <c r="F1115" s="2" t="s">
        <v>1721</v>
      </c>
      <c r="G1115" t="s">
        <v>586</v>
      </c>
      <c r="H1115" t="str">
        <f t="shared" si="34"/>
        <v>https://videplast.com.br/consulta-imobilizado?id=22004380&amp;nome=CAMISA%20PORTA%20CLICHE%20PASSO%20450%20MANDRIL%20108,342</v>
      </c>
      <c r="I1115" t="e">
        <f t="shared" ca="1" si="35"/>
        <v>#NAME?</v>
      </c>
    </row>
    <row r="1116" spans="1:9" x14ac:dyDescent="0.25">
      <c r="A1116" s="2" t="s">
        <v>1722</v>
      </c>
      <c r="B1116" s="2" t="s">
        <v>10</v>
      </c>
      <c r="C1116" s="3">
        <v>45379</v>
      </c>
      <c r="D1116" t="s">
        <v>1716</v>
      </c>
      <c r="E1116" s="2" t="s">
        <v>12</v>
      </c>
      <c r="F1116" s="2" t="s">
        <v>1723</v>
      </c>
      <c r="G1116" t="s">
        <v>586</v>
      </c>
      <c r="H1116" t="str">
        <f t="shared" si="34"/>
        <v>https://videplast.com.br/consulta-imobilizado?id=22004381&amp;nome=CAMISA%20PORTA%20CLICHE%20PASSO%20450%20MANDRIL%20108,342</v>
      </c>
      <c r="I1116" t="e">
        <f t="shared" ca="1" si="35"/>
        <v>#NAME?</v>
      </c>
    </row>
    <row r="1117" spans="1:9" x14ac:dyDescent="0.25">
      <c r="A1117" s="2" t="s">
        <v>1724</v>
      </c>
      <c r="B1117" s="2" t="s">
        <v>10</v>
      </c>
      <c r="C1117" s="3">
        <v>45379</v>
      </c>
      <c r="D1117" t="s">
        <v>1716</v>
      </c>
      <c r="E1117" s="2" t="s">
        <v>12</v>
      </c>
      <c r="F1117" s="2" t="s">
        <v>1725</v>
      </c>
      <c r="G1117" t="s">
        <v>586</v>
      </c>
      <c r="H1117" t="str">
        <f t="shared" si="34"/>
        <v>https://videplast.com.br/consulta-imobilizado?id=22004382&amp;nome=CAMISA%20PORTA%20CLICHE%20PASSO%20450%20MANDRIL%20108,342</v>
      </c>
      <c r="I1117" t="e">
        <f t="shared" ca="1" si="35"/>
        <v>#NAME?</v>
      </c>
    </row>
    <row r="1118" spans="1:9" x14ac:dyDescent="0.25">
      <c r="A1118" s="2" t="s">
        <v>1726</v>
      </c>
      <c r="B1118" s="2" t="s">
        <v>10</v>
      </c>
      <c r="C1118" s="3">
        <v>45379</v>
      </c>
      <c r="D1118" t="s">
        <v>1716</v>
      </c>
      <c r="E1118" s="2" t="s">
        <v>12</v>
      </c>
      <c r="F1118" s="2" t="s">
        <v>1727</v>
      </c>
      <c r="G1118" t="s">
        <v>586</v>
      </c>
      <c r="H1118" t="str">
        <f t="shared" si="34"/>
        <v>https://videplast.com.br/consulta-imobilizado?id=22004383&amp;nome=CAMISA%20PORTA%20CLICHE%20PASSO%20450%20MANDRIL%20108,342</v>
      </c>
      <c r="I1118" t="e">
        <f t="shared" ca="1" si="35"/>
        <v>#NAME?</v>
      </c>
    </row>
    <row r="1119" spans="1:9" x14ac:dyDescent="0.25">
      <c r="A1119" s="2" t="s">
        <v>1728</v>
      </c>
      <c r="B1119" s="2" t="s">
        <v>10</v>
      </c>
      <c r="C1119" s="3">
        <v>45379</v>
      </c>
      <c r="D1119" t="s">
        <v>1716</v>
      </c>
      <c r="E1119" s="2" t="s">
        <v>12</v>
      </c>
      <c r="F1119" s="2" t="s">
        <v>1729</v>
      </c>
      <c r="G1119" t="s">
        <v>586</v>
      </c>
      <c r="H1119" t="str">
        <f t="shared" si="34"/>
        <v>https://videplast.com.br/consulta-imobilizado?id=22004384&amp;nome=CAMISA%20PORTA%20CLICHE%20PASSO%20450%20MANDRIL%20108,342</v>
      </c>
      <c r="I1119" t="e">
        <f t="shared" ca="1" si="35"/>
        <v>#NAME?</v>
      </c>
    </row>
    <row r="1120" spans="1:9" x14ac:dyDescent="0.25">
      <c r="A1120" s="2" t="s">
        <v>1730</v>
      </c>
      <c r="B1120" s="2" t="s">
        <v>10</v>
      </c>
      <c r="C1120" s="3">
        <v>45379</v>
      </c>
      <c r="D1120" t="s">
        <v>1716</v>
      </c>
      <c r="E1120" s="2" t="s">
        <v>12</v>
      </c>
      <c r="F1120" s="2" t="s">
        <v>1731</v>
      </c>
      <c r="G1120" t="s">
        <v>586</v>
      </c>
      <c r="H1120" t="str">
        <f t="shared" si="34"/>
        <v>https://videplast.com.br/consulta-imobilizado?id=22004385&amp;nome=CAMISA%20PORTA%20CLICHE%20PASSO%20450%20MANDRIL%20108,342</v>
      </c>
      <c r="I1120" t="e">
        <f t="shared" ca="1" si="35"/>
        <v>#NAME?</v>
      </c>
    </row>
    <row r="1121" spans="1:9" x14ac:dyDescent="0.25">
      <c r="A1121" s="2" t="s">
        <v>1732</v>
      </c>
      <c r="B1121" s="2" t="s">
        <v>10</v>
      </c>
      <c r="C1121" s="3">
        <v>45379</v>
      </c>
      <c r="D1121" t="s">
        <v>1733</v>
      </c>
      <c r="E1121" s="2" t="s">
        <v>12</v>
      </c>
      <c r="F1121" s="2" t="s">
        <v>1734</v>
      </c>
      <c r="G1121" t="s">
        <v>586</v>
      </c>
      <c r="H1121" t="str">
        <f t="shared" si="34"/>
        <v>https://videplast.com.br/consulta-imobilizado?id=22004386&amp;nome=CAMISA%20PORTA%20CLICHE%20PASSO%20460%20MANDRIL%20108,342</v>
      </c>
      <c r="I1121" t="e">
        <f t="shared" ca="1" si="35"/>
        <v>#NAME?</v>
      </c>
    </row>
    <row r="1122" spans="1:9" x14ac:dyDescent="0.25">
      <c r="A1122" s="2" t="s">
        <v>1735</v>
      </c>
      <c r="B1122" s="2" t="s">
        <v>10</v>
      </c>
      <c r="C1122" s="3">
        <v>45379</v>
      </c>
      <c r="D1122" t="s">
        <v>1733</v>
      </c>
      <c r="E1122" s="2" t="s">
        <v>12</v>
      </c>
      <c r="F1122" s="2" t="s">
        <v>1736</v>
      </c>
      <c r="G1122" t="s">
        <v>586</v>
      </c>
      <c r="H1122" t="str">
        <f t="shared" si="34"/>
        <v>https://videplast.com.br/consulta-imobilizado?id=22004387&amp;nome=CAMISA%20PORTA%20CLICHE%20PASSO%20460%20MANDRIL%20108,342</v>
      </c>
      <c r="I1122" t="e">
        <f t="shared" ca="1" si="35"/>
        <v>#NAME?</v>
      </c>
    </row>
    <row r="1123" spans="1:9" x14ac:dyDescent="0.25">
      <c r="A1123" s="2" t="s">
        <v>1737</v>
      </c>
      <c r="B1123" s="2" t="s">
        <v>10</v>
      </c>
      <c r="C1123" s="3">
        <v>45379</v>
      </c>
      <c r="D1123" t="s">
        <v>1733</v>
      </c>
      <c r="E1123" s="2" t="s">
        <v>12</v>
      </c>
      <c r="F1123" s="2" t="s">
        <v>1738</v>
      </c>
      <c r="G1123" t="s">
        <v>586</v>
      </c>
      <c r="H1123" t="str">
        <f t="shared" si="34"/>
        <v>https://videplast.com.br/consulta-imobilizado?id=22004388&amp;nome=CAMISA%20PORTA%20CLICHE%20PASSO%20460%20MANDRIL%20108,342</v>
      </c>
      <c r="I1123" t="e">
        <f t="shared" ca="1" si="35"/>
        <v>#NAME?</v>
      </c>
    </row>
    <row r="1124" spans="1:9" x14ac:dyDescent="0.25">
      <c r="A1124" s="2" t="s">
        <v>1739</v>
      </c>
      <c r="B1124" s="2" t="s">
        <v>10</v>
      </c>
      <c r="C1124" s="3">
        <v>45379</v>
      </c>
      <c r="D1124" t="s">
        <v>1733</v>
      </c>
      <c r="E1124" s="2" t="s">
        <v>12</v>
      </c>
      <c r="F1124" s="2" t="s">
        <v>1740</v>
      </c>
      <c r="G1124" t="s">
        <v>586</v>
      </c>
      <c r="H1124" t="str">
        <f t="shared" si="34"/>
        <v>https://videplast.com.br/consulta-imobilizado?id=22004389&amp;nome=CAMISA%20PORTA%20CLICHE%20PASSO%20460%20MANDRIL%20108,342</v>
      </c>
      <c r="I1124" t="e">
        <f t="shared" ca="1" si="35"/>
        <v>#NAME?</v>
      </c>
    </row>
    <row r="1125" spans="1:9" x14ac:dyDescent="0.25">
      <c r="A1125" s="2" t="s">
        <v>1741</v>
      </c>
      <c r="B1125" s="2" t="s">
        <v>10</v>
      </c>
      <c r="C1125" s="3">
        <v>45379</v>
      </c>
      <c r="D1125" t="s">
        <v>1733</v>
      </c>
      <c r="E1125" s="2" t="s">
        <v>12</v>
      </c>
      <c r="F1125" s="2" t="s">
        <v>1742</v>
      </c>
      <c r="G1125" t="s">
        <v>586</v>
      </c>
      <c r="H1125" t="str">
        <f t="shared" si="34"/>
        <v>https://videplast.com.br/consulta-imobilizado?id=22004390&amp;nome=CAMISA%20PORTA%20CLICHE%20PASSO%20460%20MANDRIL%20108,342</v>
      </c>
      <c r="I1125" t="e">
        <f t="shared" ca="1" si="35"/>
        <v>#NAME?</v>
      </c>
    </row>
    <row r="1126" spans="1:9" x14ac:dyDescent="0.25">
      <c r="A1126" s="2" t="s">
        <v>1743</v>
      </c>
      <c r="B1126" s="2" t="s">
        <v>10</v>
      </c>
      <c r="C1126" s="3">
        <v>45379</v>
      </c>
      <c r="D1126" t="s">
        <v>1733</v>
      </c>
      <c r="E1126" s="2" t="s">
        <v>12</v>
      </c>
      <c r="F1126" s="2" t="s">
        <v>1744</v>
      </c>
      <c r="G1126" t="s">
        <v>586</v>
      </c>
      <c r="H1126" t="str">
        <f t="shared" si="34"/>
        <v>https://videplast.com.br/consulta-imobilizado?id=22004391&amp;nome=CAMISA%20PORTA%20CLICHE%20PASSO%20460%20MANDRIL%20108,342</v>
      </c>
      <c r="I1126" t="e">
        <f t="shared" ca="1" si="35"/>
        <v>#NAME?</v>
      </c>
    </row>
    <row r="1127" spans="1:9" x14ac:dyDescent="0.25">
      <c r="A1127" s="2" t="s">
        <v>1745</v>
      </c>
      <c r="B1127" s="2" t="s">
        <v>10</v>
      </c>
      <c r="C1127" s="3">
        <v>45379</v>
      </c>
      <c r="D1127" t="s">
        <v>1733</v>
      </c>
      <c r="E1127" s="2" t="s">
        <v>12</v>
      </c>
      <c r="F1127" s="2" t="s">
        <v>1746</v>
      </c>
      <c r="G1127" t="s">
        <v>586</v>
      </c>
      <c r="H1127" t="str">
        <f t="shared" si="34"/>
        <v>https://videplast.com.br/consulta-imobilizado?id=22004392&amp;nome=CAMISA%20PORTA%20CLICHE%20PASSO%20460%20MANDRIL%20108,342</v>
      </c>
      <c r="I1127" t="e">
        <f t="shared" ca="1" si="35"/>
        <v>#NAME?</v>
      </c>
    </row>
    <row r="1128" spans="1:9" x14ac:dyDescent="0.25">
      <c r="A1128" s="2" t="s">
        <v>1747</v>
      </c>
      <c r="B1128" s="2" t="s">
        <v>10</v>
      </c>
      <c r="C1128" s="3">
        <v>45379</v>
      </c>
      <c r="D1128" t="s">
        <v>1733</v>
      </c>
      <c r="E1128" s="2" t="s">
        <v>12</v>
      </c>
      <c r="F1128" s="2" t="s">
        <v>1748</v>
      </c>
      <c r="G1128" t="s">
        <v>586</v>
      </c>
      <c r="H1128" t="str">
        <f t="shared" si="34"/>
        <v>https://videplast.com.br/consulta-imobilizado?id=22004393&amp;nome=CAMISA%20PORTA%20CLICHE%20PASSO%20460%20MANDRIL%20108,342</v>
      </c>
      <c r="I1128" t="e">
        <f t="shared" ca="1" si="35"/>
        <v>#NAME?</v>
      </c>
    </row>
    <row r="1129" spans="1:9" x14ac:dyDescent="0.25">
      <c r="A1129" s="2" t="s">
        <v>1749</v>
      </c>
      <c r="B1129" s="2" t="s">
        <v>10</v>
      </c>
      <c r="C1129" s="3">
        <v>45379</v>
      </c>
      <c r="D1129" t="s">
        <v>1750</v>
      </c>
      <c r="E1129" s="2" t="s">
        <v>12</v>
      </c>
      <c r="F1129" s="2" t="s">
        <v>1751</v>
      </c>
      <c r="G1129" t="s">
        <v>586</v>
      </c>
      <c r="H1129" t="str">
        <f t="shared" si="34"/>
        <v>https://videplast.com.br/consulta-imobilizado?id=22004394&amp;nome=CAMISA%20PORTA%20CLICHE%20PASSO%20470%20MANDRIL%20108,342</v>
      </c>
      <c r="I1129" t="e">
        <f t="shared" ca="1" si="35"/>
        <v>#NAME?</v>
      </c>
    </row>
    <row r="1130" spans="1:9" x14ac:dyDescent="0.25">
      <c r="A1130" s="2" t="s">
        <v>1752</v>
      </c>
      <c r="B1130" s="2" t="s">
        <v>10</v>
      </c>
      <c r="C1130" s="3">
        <v>45379</v>
      </c>
      <c r="D1130" t="s">
        <v>1750</v>
      </c>
      <c r="E1130" s="2" t="s">
        <v>12</v>
      </c>
      <c r="F1130" s="2" t="s">
        <v>1753</v>
      </c>
      <c r="G1130" t="s">
        <v>586</v>
      </c>
      <c r="H1130" t="str">
        <f t="shared" si="34"/>
        <v>https://videplast.com.br/consulta-imobilizado?id=22004395&amp;nome=CAMISA%20PORTA%20CLICHE%20PASSO%20470%20MANDRIL%20108,342</v>
      </c>
      <c r="I1130" t="e">
        <f t="shared" ca="1" si="35"/>
        <v>#NAME?</v>
      </c>
    </row>
    <row r="1131" spans="1:9" x14ac:dyDescent="0.25">
      <c r="A1131" s="2" t="s">
        <v>1754</v>
      </c>
      <c r="B1131" s="2" t="s">
        <v>10</v>
      </c>
      <c r="C1131" s="3">
        <v>45379</v>
      </c>
      <c r="D1131" t="s">
        <v>1750</v>
      </c>
      <c r="E1131" s="2" t="s">
        <v>12</v>
      </c>
      <c r="F1131" s="2" t="s">
        <v>1755</v>
      </c>
      <c r="G1131" t="s">
        <v>586</v>
      </c>
      <c r="H1131" t="str">
        <f t="shared" si="34"/>
        <v>https://videplast.com.br/consulta-imobilizado?id=22004396&amp;nome=CAMISA%20PORTA%20CLICHE%20PASSO%20470%20MANDRIL%20108,342</v>
      </c>
      <c r="I1131" t="e">
        <f t="shared" ca="1" si="35"/>
        <v>#NAME?</v>
      </c>
    </row>
    <row r="1132" spans="1:9" x14ac:dyDescent="0.25">
      <c r="A1132" s="2" t="s">
        <v>1756</v>
      </c>
      <c r="B1132" s="2" t="s">
        <v>10</v>
      </c>
      <c r="C1132" s="3">
        <v>45379</v>
      </c>
      <c r="D1132" t="s">
        <v>1750</v>
      </c>
      <c r="E1132" s="2" t="s">
        <v>12</v>
      </c>
      <c r="F1132" s="2" t="s">
        <v>1757</v>
      </c>
      <c r="G1132" t="s">
        <v>586</v>
      </c>
      <c r="H1132" t="str">
        <f t="shared" si="34"/>
        <v>https://videplast.com.br/consulta-imobilizado?id=22004397&amp;nome=CAMISA%20PORTA%20CLICHE%20PASSO%20470%20MANDRIL%20108,342</v>
      </c>
      <c r="I1132" t="e">
        <f t="shared" ca="1" si="35"/>
        <v>#NAME?</v>
      </c>
    </row>
    <row r="1133" spans="1:9" x14ac:dyDescent="0.25">
      <c r="A1133" s="2" t="s">
        <v>1758</v>
      </c>
      <c r="B1133" s="2" t="s">
        <v>10</v>
      </c>
      <c r="C1133" s="3">
        <v>45379</v>
      </c>
      <c r="D1133" t="s">
        <v>1750</v>
      </c>
      <c r="E1133" s="2" t="s">
        <v>12</v>
      </c>
      <c r="F1133" s="2" t="s">
        <v>1759</v>
      </c>
      <c r="G1133" t="s">
        <v>586</v>
      </c>
      <c r="H1133" t="str">
        <f t="shared" si="34"/>
        <v>https://videplast.com.br/consulta-imobilizado?id=22004398&amp;nome=CAMISA%20PORTA%20CLICHE%20PASSO%20470%20MANDRIL%20108,342</v>
      </c>
      <c r="I1133" t="e">
        <f t="shared" ca="1" si="35"/>
        <v>#NAME?</v>
      </c>
    </row>
    <row r="1134" spans="1:9" x14ac:dyDescent="0.25">
      <c r="A1134" s="2" t="s">
        <v>1760</v>
      </c>
      <c r="B1134" s="2" t="s">
        <v>10</v>
      </c>
      <c r="C1134" s="3">
        <v>45379</v>
      </c>
      <c r="D1134" t="s">
        <v>1750</v>
      </c>
      <c r="E1134" s="2" t="s">
        <v>12</v>
      </c>
      <c r="F1134" s="2" t="s">
        <v>1761</v>
      </c>
      <c r="G1134" t="s">
        <v>586</v>
      </c>
      <c r="H1134" t="str">
        <f t="shared" si="34"/>
        <v>https://videplast.com.br/consulta-imobilizado?id=22004399&amp;nome=CAMISA%20PORTA%20CLICHE%20PASSO%20470%20MANDRIL%20108,342</v>
      </c>
      <c r="I1134" t="e">
        <f t="shared" ca="1" si="35"/>
        <v>#NAME?</v>
      </c>
    </row>
    <row r="1135" spans="1:9" x14ac:dyDescent="0.25">
      <c r="A1135" s="2" t="s">
        <v>1762</v>
      </c>
      <c r="B1135" s="2" t="s">
        <v>10</v>
      </c>
      <c r="C1135" s="3">
        <v>45379</v>
      </c>
      <c r="D1135" t="s">
        <v>1750</v>
      </c>
      <c r="E1135" s="2" t="s">
        <v>12</v>
      </c>
      <c r="F1135" s="2" t="s">
        <v>1763</v>
      </c>
      <c r="G1135" t="s">
        <v>586</v>
      </c>
      <c r="H1135" t="str">
        <f t="shared" si="34"/>
        <v>https://videplast.com.br/consulta-imobilizado?id=22004400&amp;nome=CAMISA%20PORTA%20CLICHE%20PASSO%20470%20MANDRIL%20108,342</v>
      </c>
      <c r="I1135" t="e">
        <f t="shared" ca="1" si="35"/>
        <v>#NAME?</v>
      </c>
    </row>
    <row r="1136" spans="1:9" x14ac:dyDescent="0.25">
      <c r="A1136" s="2" t="s">
        <v>1764</v>
      </c>
      <c r="B1136" s="2" t="s">
        <v>10</v>
      </c>
      <c r="C1136" s="3">
        <v>45379</v>
      </c>
      <c r="D1136" t="s">
        <v>1750</v>
      </c>
      <c r="E1136" s="2" t="s">
        <v>12</v>
      </c>
      <c r="F1136" s="2" t="s">
        <v>1765</v>
      </c>
      <c r="G1136" t="s">
        <v>586</v>
      </c>
      <c r="H1136" t="str">
        <f t="shared" si="34"/>
        <v>https://videplast.com.br/consulta-imobilizado?id=22004401&amp;nome=CAMISA%20PORTA%20CLICHE%20PASSO%20470%20MANDRIL%20108,342</v>
      </c>
      <c r="I1136" t="e">
        <f t="shared" ca="1" si="35"/>
        <v>#NAME?</v>
      </c>
    </row>
    <row r="1137" spans="1:9" x14ac:dyDescent="0.25">
      <c r="A1137" s="2" t="s">
        <v>1766</v>
      </c>
      <c r="B1137" s="2" t="s">
        <v>10</v>
      </c>
      <c r="C1137" s="3">
        <v>45379</v>
      </c>
      <c r="D1137" t="s">
        <v>1767</v>
      </c>
      <c r="E1137" s="2" t="s">
        <v>12</v>
      </c>
      <c r="F1137" s="2" t="s">
        <v>1768</v>
      </c>
      <c r="G1137" t="s">
        <v>586</v>
      </c>
      <c r="H1137" t="str">
        <f t="shared" si="34"/>
        <v>https://videplast.com.br/consulta-imobilizado?id=22004402&amp;nome=CAMISA%20PORTA%20CLICHE%20PASSO%20480%20MANDRIL%20108,342</v>
      </c>
      <c r="I1137" t="e">
        <f t="shared" ca="1" si="35"/>
        <v>#NAME?</v>
      </c>
    </row>
    <row r="1138" spans="1:9" x14ac:dyDescent="0.25">
      <c r="A1138" s="2" t="s">
        <v>1769</v>
      </c>
      <c r="B1138" s="2" t="s">
        <v>10</v>
      </c>
      <c r="C1138" s="3">
        <v>45379</v>
      </c>
      <c r="D1138" t="s">
        <v>1767</v>
      </c>
      <c r="E1138" s="2" t="s">
        <v>12</v>
      </c>
      <c r="F1138" s="2" t="s">
        <v>1770</v>
      </c>
      <c r="G1138" t="s">
        <v>586</v>
      </c>
      <c r="H1138" t="str">
        <f t="shared" si="34"/>
        <v>https://videplast.com.br/consulta-imobilizado?id=22004403&amp;nome=CAMISA%20PORTA%20CLICHE%20PASSO%20480%20MANDRIL%20108,342</v>
      </c>
      <c r="I1138" t="e">
        <f t="shared" ca="1" si="35"/>
        <v>#NAME?</v>
      </c>
    </row>
    <row r="1139" spans="1:9" x14ac:dyDescent="0.25">
      <c r="A1139" s="2" t="s">
        <v>1771</v>
      </c>
      <c r="B1139" s="2" t="s">
        <v>10</v>
      </c>
      <c r="C1139" s="3">
        <v>45379</v>
      </c>
      <c r="D1139" t="s">
        <v>1767</v>
      </c>
      <c r="E1139" s="2" t="s">
        <v>12</v>
      </c>
      <c r="F1139" s="2" t="s">
        <v>1772</v>
      </c>
      <c r="G1139" t="s">
        <v>586</v>
      </c>
      <c r="H1139" t="str">
        <f t="shared" si="34"/>
        <v>https://videplast.com.br/consulta-imobilizado?id=22004404&amp;nome=CAMISA%20PORTA%20CLICHE%20PASSO%20480%20MANDRIL%20108,342</v>
      </c>
      <c r="I1139" t="e">
        <f t="shared" ca="1" si="35"/>
        <v>#NAME?</v>
      </c>
    </row>
    <row r="1140" spans="1:9" x14ac:dyDescent="0.25">
      <c r="A1140" s="2" t="s">
        <v>1773</v>
      </c>
      <c r="B1140" s="2" t="s">
        <v>10</v>
      </c>
      <c r="C1140" s="3">
        <v>45379</v>
      </c>
      <c r="D1140" t="s">
        <v>1767</v>
      </c>
      <c r="E1140" s="2" t="s">
        <v>12</v>
      </c>
      <c r="F1140" s="2" t="s">
        <v>1774</v>
      </c>
      <c r="G1140" t="s">
        <v>586</v>
      </c>
      <c r="H1140" t="str">
        <f t="shared" si="34"/>
        <v>https://videplast.com.br/consulta-imobilizado?id=22004405&amp;nome=CAMISA%20PORTA%20CLICHE%20PASSO%20480%20MANDRIL%20108,342</v>
      </c>
      <c r="I1140" t="e">
        <f t="shared" ca="1" si="35"/>
        <v>#NAME?</v>
      </c>
    </row>
    <row r="1141" spans="1:9" x14ac:dyDescent="0.25">
      <c r="A1141" s="2" t="s">
        <v>1775</v>
      </c>
      <c r="B1141" s="2" t="s">
        <v>10</v>
      </c>
      <c r="C1141" s="3">
        <v>45379</v>
      </c>
      <c r="D1141" t="s">
        <v>1767</v>
      </c>
      <c r="E1141" s="2" t="s">
        <v>12</v>
      </c>
      <c r="F1141" s="2" t="s">
        <v>1776</v>
      </c>
      <c r="G1141" t="s">
        <v>586</v>
      </c>
      <c r="H1141" t="str">
        <f t="shared" si="34"/>
        <v>https://videplast.com.br/consulta-imobilizado?id=22004406&amp;nome=CAMISA%20PORTA%20CLICHE%20PASSO%20480%20MANDRIL%20108,342</v>
      </c>
      <c r="I1141" t="e">
        <f t="shared" ca="1" si="35"/>
        <v>#NAME?</v>
      </c>
    </row>
    <row r="1142" spans="1:9" x14ac:dyDescent="0.25">
      <c r="A1142" s="2" t="s">
        <v>1777</v>
      </c>
      <c r="B1142" s="2" t="s">
        <v>10</v>
      </c>
      <c r="C1142" s="3">
        <v>45379</v>
      </c>
      <c r="D1142" t="s">
        <v>1767</v>
      </c>
      <c r="E1142" s="2" t="s">
        <v>12</v>
      </c>
      <c r="F1142" s="2" t="s">
        <v>1778</v>
      </c>
      <c r="G1142" t="s">
        <v>586</v>
      </c>
      <c r="H1142" t="str">
        <f t="shared" si="34"/>
        <v>https://videplast.com.br/consulta-imobilizado?id=22004407&amp;nome=CAMISA%20PORTA%20CLICHE%20PASSO%20480%20MANDRIL%20108,342</v>
      </c>
      <c r="I1142" t="e">
        <f t="shared" ca="1" si="35"/>
        <v>#NAME?</v>
      </c>
    </row>
    <row r="1143" spans="1:9" x14ac:dyDescent="0.25">
      <c r="A1143" s="2" t="s">
        <v>1779</v>
      </c>
      <c r="B1143" s="2" t="s">
        <v>10</v>
      </c>
      <c r="C1143" s="3">
        <v>45379</v>
      </c>
      <c r="D1143" t="s">
        <v>1767</v>
      </c>
      <c r="E1143" s="2" t="s">
        <v>12</v>
      </c>
      <c r="F1143" s="2" t="s">
        <v>1780</v>
      </c>
      <c r="G1143" t="s">
        <v>586</v>
      </c>
      <c r="H1143" t="str">
        <f t="shared" si="34"/>
        <v>https://videplast.com.br/consulta-imobilizado?id=22004408&amp;nome=CAMISA%20PORTA%20CLICHE%20PASSO%20480%20MANDRIL%20108,342</v>
      </c>
      <c r="I1143" t="e">
        <f t="shared" ca="1" si="35"/>
        <v>#NAME?</v>
      </c>
    </row>
    <row r="1144" spans="1:9" x14ac:dyDescent="0.25">
      <c r="A1144" s="2" t="s">
        <v>1781</v>
      </c>
      <c r="B1144" s="2" t="s">
        <v>10</v>
      </c>
      <c r="C1144" s="3">
        <v>45379</v>
      </c>
      <c r="D1144" t="s">
        <v>1767</v>
      </c>
      <c r="E1144" s="2" t="s">
        <v>12</v>
      </c>
      <c r="F1144" s="2" t="s">
        <v>1782</v>
      </c>
      <c r="G1144" t="s">
        <v>586</v>
      </c>
      <c r="H1144" t="str">
        <f t="shared" si="34"/>
        <v>https://videplast.com.br/consulta-imobilizado?id=22004409&amp;nome=CAMISA%20PORTA%20CLICHE%20PASSO%20480%20MANDRIL%20108,342</v>
      </c>
      <c r="I1144" t="e">
        <f t="shared" ca="1" si="35"/>
        <v>#NAME?</v>
      </c>
    </row>
    <row r="1145" spans="1:9" x14ac:dyDescent="0.25">
      <c r="A1145" s="2" t="s">
        <v>1783</v>
      </c>
      <c r="B1145" s="2" t="s">
        <v>10</v>
      </c>
      <c r="C1145" s="3">
        <v>45379</v>
      </c>
      <c r="D1145" t="s">
        <v>1784</v>
      </c>
      <c r="E1145" s="2" t="s">
        <v>12</v>
      </c>
      <c r="F1145" s="2" t="s">
        <v>1785</v>
      </c>
      <c r="G1145" t="s">
        <v>586</v>
      </c>
      <c r="H1145" t="str">
        <f t="shared" si="34"/>
        <v>https://videplast.com.br/consulta-imobilizado?id=22004410&amp;nome=CAMISA%20PORTA%20CLICHE%20PASSO%20490%20MANDRIL%20108,342</v>
      </c>
      <c r="I1145" t="e">
        <f t="shared" ca="1" si="35"/>
        <v>#NAME?</v>
      </c>
    </row>
    <row r="1146" spans="1:9" x14ac:dyDescent="0.25">
      <c r="A1146" s="2" t="s">
        <v>1786</v>
      </c>
      <c r="B1146" s="2" t="s">
        <v>10</v>
      </c>
      <c r="C1146" s="3">
        <v>45379</v>
      </c>
      <c r="D1146" t="s">
        <v>1784</v>
      </c>
      <c r="E1146" s="2" t="s">
        <v>12</v>
      </c>
      <c r="F1146" s="2" t="s">
        <v>1787</v>
      </c>
      <c r="G1146" t="s">
        <v>586</v>
      </c>
      <c r="H1146" t="str">
        <f t="shared" si="34"/>
        <v>https://videplast.com.br/consulta-imobilizado?id=22004411&amp;nome=CAMISA%20PORTA%20CLICHE%20PASSO%20490%20MANDRIL%20108,342</v>
      </c>
      <c r="I1146" t="e">
        <f t="shared" ca="1" si="35"/>
        <v>#NAME?</v>
      </c>
    </row>
    <row r="1147" spans="1:9" x14ac:dyDescent="0.25">
      <c r="A1147" s="2" t="s">
        <v>1788</v>
      </c>
      <c r="B1147" s="2" t="s">
        <v>10</v>
      </c>
      <c r="C1147" s="3">
        <v>45379</v>
      </c>
      <c r="D1147" t="s">
        <v>1784</v>
      </c>
      <c r="E1147" s="2" t="s">
        <v>12</v>
      </c>
      <c r="F1147" s="2" t="s">
        <v>1789</v>
      </c>
      <c r="G1147" t="s">
        <v>586</v>
      </c>
      <c r="H1147" t="str">
        <f t="shared" si="34"/>
        <v>https://videplast.com.br/consulta-imobilizado?id=22004412&amp;nome=CAMISA%20PORTA%20CLICHE%20PASSO%20490%20MANDRIL%20108,342</v>
      </c>
      <c r="I1147" t="e">
        <f t="shared" ca="1" si="35"/>
        <v>#NAME?</v>
      </c>
    </row>
    <row r="1148" spans="1:9" x14ac:dyDescent="0.25">
      <c r="A1148" s="2" t="s">
        <v>1790</v>
      </c>
      <c r="B1148" s="2" t="s">
        <v>10</v>
      </c>
      <c r="C1148" s="3">
        <v>45379</v>
      </c>
      <c r="D1148" t="s">
        <v>1784</v>
      </c>
      <c r="E1148" s="2" t="s">
        <v>12</v>
      </c>
      <c r="F1148" s="2" t="s">
        <v>1791</v>
      </c>
      <c r="G1148" t="s">
        <v>586</v>
      </c>
      <c r="H1148" t="str">
        <f t="shared" si="34"/>
        <v>https://videplast.com.br/consulta-imobilizado?id=22004413&amp;nome=CAMISA%20PORTA%20CLICHE%20PASSO%20490%20MANDRIL%20108,342</v>
      </c>
      <c r="I1148" t="e">
        <f t="shared" ca="1" si="35"/>
        <v>#NAME?</v>
      </c>
    </row>
    <row r="1149" spans="1:9" x14ac:dyDescent="0.25">
      <c r="A1149" s="2" t="s">
        <v>1792</v>
      </c>
      <c r="B1149" s="2" t="s">
        <v>10</v>
      </c>
      <c r="C1149" s="3">
        <v>45379</v>
      </c>
      <c r="D1149" t="s">
        <v>1784</v>
      </c>
      <c r="E1149" s="2" t="s">
        <v>12</v>
      </c>
      <c r="F1149" s="2" t="s">
        <v>1793</v>
      </c>
      <c r="G1149" t="s">
        <v>586</v>
      </c>
      <c r="H1149" t="str">
        <f t="shared" si="34"/>
        <v>https://videplast.com.br/consulta-imobilizado?id=22004414&amp;nome=CAMISA%20PORTA%20CLICHE%20PASSO%20490%20MANDRIL%20108,342</v>
      </c>
      <c r="I1149" t="e">
        <f t="shared" ca="1" si="35"/>
        <v>#NAME?</v>
      </c>
    </row>
    <row r="1150" spans="1:9" x14ac:dyDescent="0.25">
      <c r="A1150" s="2" t="s">
        <v>1794</v>
      </c>
      <c r="B1150" s="2" t="s">
        <v>10</v>
      </c>
      <c r="C1150" s="3">
        <v>45379</v>
      </c>
      <c r="D1150" t="s">
        <v>1784</v>
      </c>
      <c r="E1150" s="2" t="s">
        <v>12</v>
      </c>
      <c r="F1150" s="2" t="s">
        <v>1795</v>
      </c>
      <c r="G1150" t="s">
        <v>586</v>
      </c>
      <c r="H1150" t="str">
        <f t="shared" si="34"/>
        <v>https://videplast.com.br/consulta-imobilizado?id=22004415&amp;nome=CAMISA%20PORTA%20CLICHE%20PASSO%20490%20MANDRIL%20108,342</v>
      </c>
      <c r="I1150" t="e">
        <f t="shared" ca="1" si="35"/>
        <v>#NAME?</v>
      </c>
    </row>
    <row r="1151" spans="1:9" x14ac:dyDescent="0.25">
      <c r="A1151" s="2" t="s">
        <v>1796</v>
      </c>
      <c r="B1151" s="2" t="s">
        <v>10</v>
      </c>
      <c r="C1151" s="3">
        <v>45379</v>
      </c>
      <c r="D1151" t="s">
        <v>1784</v>
      </c>
      <c r="E1151" s="2" t="s">
        <v>12</v>
      </c>
      <c r="F1151" s="2" t="s">
        <v>1797</v>
      </c>
      <c r="G1151" t="s">
        <v>586</v>
      </c>
      <c r="H1151" t="str">
        <f t="shared" si="34"/>
        <v>https://videplast.com.br/consulta-imobilizado?id=22004416&amp;nome=CAMISA%20PORTA%20CLICHE%20PASSO%20490%20MANDRIL%20108,342</v>
      </c>
      <c r="I1151" t="e">
        <f t="shared" ca="1" si="35"/>
        <v>#NAME?</v>
      </c>
    </row>
    <row r="1152" spans="1:9" x14ac:dyDescent="0.25">
      <c r="A1152" s="2" t="s">
        <v>1798</v>
      </c>
      <c r="B1152" s="2" t="s">
        <v>10</v>
      </c>
      <c r="C1152" s="3">
        <v>45379</v>
      </c>
      <c r="D1152" t="s">
        <v>1784</v>
      </c>
      <c r="E1152" s="2" t="s">
        <v>12</v>
      </c>
      <c r="F1152" s="2" t="s">
        <v>1799</v>
      </c>
      <c r="G1152" t="s">
        <v>586</v>
      </c>
      <c r="H1152" t="str">
        <f t="shared" si="34"/>
        <v>https://videplast.com.br/consulta-imobilizado?id=22004417&amp;nome=CAMISA%20PORTA%20CLICHE%20PASSO%20490%20MANDRIL%20108,342</v>
      </c>
      <c r="I1152" t="e">
        <f t="shared" ca="1" si="35"/>
        <v>#NAME?</v>
      </c>
    </row>
    <row r="1153" spans="1:9" x14ac:dyDescent="0.25">
      <c r="A1153" s="2" t="s">
        <v>1800</v>
      </c>
      <c r="B1153" s="2" t="s">
        <v>10</v>
      </c>
      <c r="C1153" s="3">
        <v>45379</v>
      </c>
      <c r="D1153" t="s">
        <v>1801</v>
      </c>
      <c r="E1153" s="2" t="s">
        <v>12</v>
      </c>
      <c r="F1153" s="2" t="s">
        <v>1802</v>
      </c>
      <c r="G1153" t="s">
        <v>586</v>
      </c>
      <c r="H1153" t="str">
        <f t="shared" si="34"/>
        <v>https://videplast.com.br/consulta-imobilizado?id=22004418&amp;nome=CAMISA%20PORTA%20CLICHE%20PASSO%20550%20MANDRIL%20108,342</v>
      </c>
      <c r="I1153" t="e">
        <f t="shared" ca="1" si="35"/>
        <v>#NAME?</v>
      </c>
    </row>
    <row r="1154" spans="1:9" x14ac:dyDescent="0.25">
      <c r="A1154" s="2" t="s">
        <v>1803</v>
      </c>
      <c r="B1154" s="2" t="s">
        <v>10</v>
      </c>
      <c r="C1154" s="3">
        <v>45379</v>
      </c>
      <c r="D1154" t="s">
        <v>1801</v>
      </c>
      <c r="E1154" s="2" t="s">
        <v>12</v>
      </c>
      <c r="F1154" s="2" t="s">
        <v>1804</v>
      </c>
      <c r="G1154" t="s">
        <v>586</v>
      </c>
      <c r="H1154" t="str">
        <f t="shared" ref="H1154:H1217" si="36" xml:space="preserve"> "https://videplast.com.br/consulta-imobilizado?id=" &amp; A1154 &amp; "&amp;nome=" &amp; SUBSTITUTE(D1154, " ", "%20")</f>
        <v>https://videplast.com.br/consulta-imobilizado?id=22004419&amp;nome=CAMISA%20PORTA%20CLICHE%20PASSO%20550%20MANDRIL%20108,342</v>
      </c>
      <c r="I1154" t="e">
        <f t="shared" ref="I1154:I1217" ca="1" si="37">_xlfn.IMAGE("https://chart.googleapis.com/chart?chs=150x150&amp;cht=qr&amp;chl=" &amp; H1154)</f>
        <v>#NAME?</v>
      </c>
    </row>
    <row r="1155" spans="1:9" x14ac:dyDescent="0.25">
      <c r="A1155" s="2" t="s">
        <v>1805</v>
      </c>
      <c r="B1155" s="2" t="s">
        <v>10</v>
      </c>
      <c r="C1155" s="3">
        <v>45379</v>
      </c>
      <c r="D1155" t="s">
        <v>1801</v>
      </c>
      <c r="E1155" s="2" t="s">
        <v>12</v>
      </c>
      <c r="F1155" s="2" t="s">
        <v>1806</v>
      </c>
      <c r="G1155" t="s">
        <v>586</v>
      </c>
      <c r="H1155" t="str">
        <f t="shared" si="36"/>
        <v>https://videplast.com.br/consulta-imobilizado?id=22004420&amp;nome=CAMISA%20PORTA%20CLICHE%20PASSO%20550%20MANDRIL%20108,342</v>
      </c>
      <c r="I1155" t="e">
        <f t="shared" ca="1" si="37"/>
        <v>#NAME?</v>
      </c>
    </row>
    <row r="1156" spans="1:9" x14ac:dyDescent="0.25">
      <c r="A1156" s="2" t="s">
        <v>1807</v>
      </c>
      <c r="B1156" s="2" t="s">
        <v>10</v>
      </c>
      <c r="C1156" s="3">
        <v>45379</v>
      </c>
      <c r="D1156" t="s">
        <v>1801</v>
      </c>
      <c r="E1156" s="2" t="s">
        <v>12</v>
      </c>
      <c r="F1156" s="2" t="s">
        <v>1808</v>
      </c>
      <c r="G1156" t="s">
        <v>586</v>
      </c>
      <c r="H1156" t="str">
        <f t="shared" si="36"/>
        <v>https://videplast.com.br/consulta-imobilizado?id=22004421&amp;nome=CAMISA%20PORTA%20CLICHE%20PASSO%20550%20MANDRIL%20108,342</v>
      </c>
      <c r="I1156" t="e">
        <f t="shared" ca="1" si="37"/>
        <v>#NAME?</v>
      </c>
    </row>
    <row r="1157" spans="1:9" x14ac:dyDescent="0.25">
      <c r="A1157" s="2" t="s">
        <v>1809</v>
      </c>
      <c r="B1157" s="2" t="s">
        <v>10</v>
      </c>
      <c r="C1157" s="3">
        <v>45379</v>
      </c>
      <c r="D1157" t="s">
        <v>1801</v>
      </c>
      <c r="E1157" s="2" t="s">
        <v>12</v>
      </c>
      <c r="F1157" s="2" t="s">
        <v>1810</v>
      </c>
      <c r="G1157" t="s">
        <v>586</v>
      </c>
      <c r="H1157" t="str">
        <f t="shared" si="36"/>
        <v>https://videplast.com.br/consulta-imobilizado?id=22004422&amp;nome=CAMISA%20PORTA%20CLICHE%20PASSO%20550%20MANDRIL%20108,342</v>
      </c>
      <c r="I1157" t="e">
        <f t="shared" ca="1" si="37"/>
        <v>#NAME?</v>
      </c>
    </row>
    <row r="1158" spans="1:9" x14ac:dyDescent="0.25">
      <c r="A1158" s="2" t="s">
        <v>1811</v>
      </c>
      <c r="B1158" s="2" t="s">
        <v>10</v>
      </c>
      <c r="C1158" s="3">
        <v>45379</v>
      </c>
      <c r="D1158" t="s">
        <v>1801</v>
      </c>
      <c r="E1158" s="2" t="s">
        <v>12</v>
      </c>
      <c r="F1158" s="2" t="s">
        <v>1812</v>
      </c>
      <c r="G1158" t="s">
        <v>586</v>
      </c>
      <c r="H1158" t="str">
        <f t="shared" si="36"/>
        <v>https://videplast.com.br/consulta-imobilizado?id=22004423&amp;nome=CAMISA%20PORTA%20CLICHE%20PASSO%20550%20MANDRIL%20108,342</v>
      </c>
      <c r="I1158" t="e">
        <f t="shared" ca="1" si="37"/>
        <v>#NAME?</v>
      </c>
    </row>
    <row r="1159" spans="1:9" x14ac:dyDescent="0.25">
      <c r="A1159" s="2" t="s">
        <v>1813</v>
      </c>
      <c r="B1159" s="2" t="s">
        <v>10</v>
      </c>
      <c r="C1159" s="3">
        <v>45379</v>
      </c>
      <c r="D1159" t="s">
        <v>1801</v>
      </c>
      <c r="E1159" s="2" t="s">
        <v>12</v>
      </c>
      <c r="F1159" s="2" t="s">
        <v>1814</v>
      </c>
      <c r="G1159" t="s">
        <v>586</v>
      </c>
      <c r="H1159" t="str">
        <f t="shared" si="36"/>
        <v>https://videplast.com.br/consulta-imobilizado?id=22004424&amp;nome=CAMISA%20PORTA%20CLICHE%20PASSO%20550%20MANDRIL%20108,342</v>
      </c>
      <c r="I1159" t="e">
        <f t="shared" ca="1" si="37"/>
        <v>#NAME?</v>
      </c>
    </row>
    <row r="1160" spans="1:9" x14ac:dyDescent="0.25">
      <c r="A1160" s="2" t="s">
        <v>1815</v>
      </c>
      <c r="B1160" s="2" t="s">
        <v>10</v>
      </c>
      <c r="C1160" s="3">
        <v>45379</v>
      </c>
      <c r="D1160" t="s">
        <v>1801</v>
      </c>
      <c r="E1160" s="2" t="s">
        <v>12</v>
      </c>
      <c r="F1160" s="2" t="s">
        <v>1816</v>
      </c>
      <c r="G1160" t="s">
        <v>586</v>
      </c>
      <c r="H1160" t="str">
        <f t="shared" si="36"/>
        <v>https://videplast.com.br/consulta-imobilizado?id=22004425&amp;nome=CAMISA%20PORTA%20CLICHE%20PASSO%20550%20MANDRIL%20108,342</v>
      </c>
      <c r="I1160" t="e">
        <f t="shared" ca="1" si="37"/>
        <v>#NAME?</v>
      </c>
    </row>
    <row r="1161" spans="1:9" x14ac:dyDescent="0.25">
      <c r="A1161" s="2" t="s">
        <v>1817</v>
      </c>
      <c r="B1161" s="2" t="s">
        <v>10</v>
      </c>
      <c r="C1161" s="3">
        <v>45379</v>
      </c>
      <c r="D1161" t="s">
        <v>1818</v>
      </c>
      <c r="E1161" s="2" t="s">
        <v>12</v>
      </c>
      <c r="F1161" s="2" t="s">
        <v>1819</v>
      </c>
      <c r="G1161" t="s">
        <v>586</v>
      </c>
      <c r="H1161" t="str">
        <f t="shared" si="36"/>
        <v>https://videplast.com.br/consulta-imobilizado?id=22004426&amp;nome=CAMISA%20PORTA%20CLICHE%20PASSO%20570%20MANDRIL%20108,342</v>
      </c>
      <c r="I1161" t="e">
        <f t="shared" ca="1" si="37"/>
        <v>#NAME?</v>
      </c>
    </row>
    <row r="1162" spans="1:9" x14ac:dyDescent="0.25">
      <c r="A1162" s="2" t="s">
        <v>1820</v>
      </c>
      <c r="B1162" s="2" t="s">
        <v>10</v>
      </c>
      <c r="C1162" s="3">
        <v>45379</v>
      </c>
      <c r="D1162" t="s">
        <v>1818</v>
      </c>
      <c r="E1162" s="2" t="s">
        <v>12</v>
      </c>
      <c r="F1162" s="2" t="s">
        <v>1821</v>
      </c>
      <c r="G1162" t="s">
        <v>586</v>
      </c>
      <c r="H1162" t="str">
        <f t="shared" si="36"/>
        <v>https://videplast.com.br/consulta-imobilizado?id=22004427&amp;nome=CAMISA%20PORTA%20CLICHE%20PASSO%20570%20MANDRIL%20108,342</v>
      </c>
      <c r="I1162" t="e">
        <f t="shared" ca="1" si="37"/>
        <v>#NAME?</v>
      </c>
    </row>
    <row r="1163" spans="1:9" x14ac:dyDescent="0.25">
      <c r="A1163" s="2" t="s">
        <v>1822</v>
      </c>
      <c r="B1163" s="2" t="s">
        <v>10</v>
      </c>
      <c r="C1163" s="3">
        <v>45379</v>
      </c>
      <c r="D1163" t="s">
        <v>1818</v>
      </c>
      <c r="E1163" s="2" t="s">
        <v>12</v>
      </c>
      <c r="F1163" s="2" t="s">
        <v>1823</v>
      </c>
      <c r="G1163" t="s">
        <v>586</v>
      </c>
      <c r="H1163" t="str">
        <f t="shared" si="36"/>
        <v>https://videplast.com.br/consulta-imobilizado?id=22004428&amp;nome=CAMISA%20PORTA%20CLICHE%20PASSO%20570%20MANDRIL%20108,342</v>
      </c>
      <c r="I1163" t="e">
        <f t="shared" ca="1" si="37"/>
        <v>#NAME?</v>
      </c>
    </row>
    <row r="1164" spans="1:9" x14ac:dyDescent="0.25">
      <c r="A1164" s="2" t="s">
        <v>1824</v>
      </c>
      <c r="B1164" s="2" t="s">
        <v>10</v>
      </c>
      <c r="C1164" s="3">
        <v>45379</v>
      </c>
      <c r="D1164" t="s">
        <v>1818</v>
      </c>
      <c r="E1164" s="2" t="s">
        <v>12</v>
      </c>
      <c r="F1164" s="2" t="s">
        <v>1825</v>
      </c>
      <c r="G1164" t="s">
        <v>586</v>
      </c>
      <c r="H1164" t="str">
        <f t="shared" si="36"/>
        <v>https://videplast.com.br/consulta-imobilizado?id=22004429&amp;nome=CAMISA%20PORTA%20CLICHE%20PASSO%20570%20MANDRIL%20108,342</v>
      </c>
      <c r="I1164" t="e">
        <f t="shared" ca="1" si="37"/>
        <v>#NAME?</v>
      </c>
    </row>
    <row r="1165" spans="1:9" x14ac:dyDescent="0.25">
      <c r="A1165" s="2" t="s">
        <v>1826</v>
      </c>
      <c r="B1165" s="2" t="s">
        <v>10</v>
      </c>
      <c r="C1165" s="3">
        <v>45379</v>
      </c>
      <c r="D1165" t="s">
        <v>1818</v>
      </c>
      <c r="E1165" s="2" t="s">
        <v>12</v>
      </c>
      <c r="F1165" s="2" t="s">
        <v>1827</v>
      </c>
      <c r="G1165" t="s">
        <v>586</v>
      </c>
      <c r="H1165" t="str">
        <f t="shared" si="36"/>
        <v>https://videplast.com.br/consulta-imobilizado?id=22004430&amp;nome=CAMISA%20PORTA%20CLICHE%20PASSO%20570%20MANDRIL%20108,342</v>
      </c>
      <c r="I1165" t="e">
        <f t="shared" ca="1" si="37"/>
        <v>#NAME?</v>
      </c>
    </row>
    <row r="1166" spans="1:9" x14ac:dyDescent="0.25">
      <c r="A1166" s="2" t="s">
        <v>1828</v>
      </c>
      <c r="B1166" s="2" t="s">
        <v>10</v>
      </c>
      <c r="C1166" s="3">
        <v>45379</v>
      </c>
      <c r="D1166" t="s">
        <v>1818</v>
      </c>
      <c r="E1166" s="2" t="s">
        <v>12</v>
      </c>
      <c r="F1166" s="2" t="s">
        <v>1829</v>
      </c>
      <c r="G1166" t="s">
        <v>586</v>
      </c>
      <c r="H1166" t="str">
        <f t="shared" si="36"/>
        <v>https://videplast.com.br/consulta-imobilizado?id=22004431&amp;nome=CAMISA%20PORTA%20CLICHE%20PASSO%20570%20MANDRIL%20108,342</v>
      </c>
      <c r="I1166" t="e">
        <f t="shared" ca="1" si="37"/>
        <v>#NAME?</v>
      </c>
    </row>
    <row r="1167" spans="1:9" x14ac:dyDescent="0.25">
      <c r="A1167" s="2" t="s">
        <v>1830</v>
      </c>
      <c r="B1167" s="2" t="s">
        <v>10</v>
      </c>
      <c r="C1167" s="3">
        <v>45379</v>
      </c>
      <c r="D1167" t="s">
        <v>1818</v>
      </c>
      <c r="E1167" s="2" t="s">
        <v>12</v>
      </c>
      <c r="F1167" s="2" t="s">
        <v>1831</v>
      </c>
      <c r="G1167" t="s">
        <v>586</v>
      </c>
      <c r="H1167" t="str">
        <f t="shared" si="36"/>
        <v>https://videplast.com.br/consulta-imobilizado?id=22004432&amp;nome=CAMISA%20PORTA%20CLICHE%20PASSO%20570%20MANDRIL%20108,342</v>
      </c>
      <c r="I1167" t="e">
        <f t="shared" ca="1" si="37"/>
        <v>#NAME?</v>
      </c>
    </row>
    <row r="1168" spans="1:9" x14ac:dyDescent="0.25">
      <c r="A1168" s="2" t="s">
        <v>1832</v>
      </c>
      <c r="B1168" s="2" t="s">
        <v>10</v>
      </c>
      <c r="C1168" s="3">
        <v>45379</v>
      </c>
      <c r="D1168" t="s">
        <v>1818</v>
      </c>
      <c r="E1168" s="2" t="s">
        <v>12</v>
      </c>
      <c r="F1168" s="2" t="s">
        <v>1833</v>
      </c>
      <c r="G1168" t="s">
        <v>586</v>
      </c>
      <c r="H1168" t="str">
        <f t="shared" si="36"/>
        <v>https://videplast.com.br/consulta-imobilizado?id=22004433&amp;nome=CAMISA%20PORTA%20CLICHE%20PASSO%20570%20MANDRIL%20108,342</v>
      </c>
      <c r="I1168" t="e">
        <f t="shared" ca="1" si="37"/>
        <v>#NAME?</v>
      </c>
    </row>
    <row r="1169" spans="1:9" x14ac:dyDescent="0.25">
      <c r="A1169" s="2" t="s">
        <v>1834</v>
      </c>
      <c r="B1169" s="2" t="s">
        <v>10</v>
      </c>
      <c r="C1169" s="3">
        <v>45379</v>
      </c>
      <c r="D1169" t="s">
        <v>1835</v>
      </c>
      <c r="E1169" s="2" t="s">
        <v>12</v>
      </c>
      <c r="F1169" s="2" t="s">
        <v>1836</v>
      </c>
      <c r="G1169" t="s">
        <v>586</v>
      </c>
      <c r="H1169" t="str">
        <f t="shared" si="36"/>
        <v>https://videplast.com.br/consulta-imobilizado?id=22004434&amp;nome=CAMISA%20PORTA%20CLICHE%20PASSO%20580%20MANDRIL%20108,342</v>
      </c>
      <c r="I1169" t="e">
        <f t="shared" ca="1" si="37"/>
        <v>#NAME?</v>
      </c>
    </row>
    <row r="1170" spans="1:9" x14ac:dyDescent="0.25">
      <c r="A1170" s="2" t="s">
        <v>1837</v>
      </c>
      <c r="B1170" s="2" t="s">
        <v>10</v>
      </c>
      <c r="C1170" s="3">
        <v>45379</v>
      </c>
      <c r="D1170" t="s">
        <v>1835</v>
      </c>
      <c r="E1170" s="2" t="s">
        <v>12</v>
      </c>
      <c r="F1170" s="2" t="s">
        <v>1838</v>
      </c>
      <c r="G1170" t="s">
        <v>586</v>
      </c>
      <c r="H1170" t="str">
        <f t="shared" si="36"/>
        <v>https://videplast.com.br/consulta-imobilizado?id=22004435&amp;nome=CAMISA%20PORTA%20CLICHE%20PASSO%20580%20MANDRIL%20108,342</v>
      </c>
      <c r="I1170" t="e">
        <f t="shared" ca="1" si="37"/>
        <v>#NAME?</v>
      </c>
    </row>
    <row r="1171" spans="1:9" x14ac:dyDescent="0.25">
      <c r="A1171" s="2" t="s">
        <v>1839</v>
      </c>
      <c r="B1171" s="2" t="s">
        <v>10</v>
      </c>
      <c r="C1171" s="3">
        <v>45379</v>
      </c>
      <c r="D1171" t="s">
        <v>1835</v>
      </c>
      <c r="E1171" s="2" t="s">
        <v>12</v>
      </c>
      <c r="F1171" s="2" t="s">
        <v>1840</v>
      </c>
      <c r="G1171" t="s">
        <v>586</v>
      </c>
      <c r="H1171" t="str">
        <f t="shared" si="36"/>
        <v>https://videplast.com.br/consulta-imobilizado?id=22004436&amp;nome=CAMISA%20PORTA%20CLICHE%20PASSO%20580%20MANDRIL%20108,342</v>
      </c>
      <c r="I1171" t="e">
        <f t="shared" ca="1" si="37"/>
        <v>#NAME?</v>
      </c>
    </row>
    <row r="1172" spans="1:9" x14ac:dyDescent="0.25">
      <c r="A1172" s="2" t="s">
        <v>1841</v>
      </c>
      <c r="B1172" s="2" t="s">
        <v>10</v>
      </c>
      <c r="C1172" s="3">
        <v>45379</v>
      </c>
      <c r="D1172" t="s">
        <v>1835</v>
      </c>
      <c r="E1172" s="2" t="s">
        <v>12</v>
      </c>
      <c r="F1172" s="2" t="s">
        <v>1842</v>
      </c>
      <c r="G1172" t="s">
        <v>586</v>
      </c>
      <c r="H1172" t="str">
        <f t="shared" si="36"/>
        <v>https://videplast.com.br/consulta-imobilizado?id=22004437&amp;nome=CAMISA%20PORTA%20CLICHE%20PASSO%20580%20MANDRIL%20108,342</v>
      </c>
      <c r="I1172" t="e">
        <f t="shared" ca="1" si="37"/>
        <v>#NAME?</v>
      </c>
    </row>
    <row r="1173" spans="1:9" x14ac:dyDescent="0.25">
      <c r="A1173" s="2" t="s">
        <v>1843</v>
      </c>
      <c r="B1173" s="2" t="s">
        <v>10</v>
      </c>
      <c r="C1173" s="3">
        <v>45379</v>
      </c>
      <c r="D1173" t="s">
        <v>1835</v>
      </c>
      <c r="E1173" s="2" t="s">
        <v>12</v>
      </c>
      <c r="F1173" s="2" t="s">
        <v>1844</v>
      </c>
      <c r="G1173" t="s">
        <v>586</v>
      </c>
      <c r="H1173" t="str">
        <f t="shared" si="36"/>
        <v>https://videplast.com.br/consulta-imobilizado?id=22004438&amp;nome=CAMISA%20PORTA%20CLICHE%20PASSO%20580%20MANDRIL%20108,342</v>
      </c>
      <c r="I1173" t="e">
        <f t="shared" ca="1" si="37"/>
        <v>#NAME?</v>
      </c>
    </row>
    <row r="1174" spans="1:9" x14ac:dyDescent="0.25">
      <c r="A1174" s="2" t="s">
        <v>1845</v>
      </c>
      <c r="B1174" s="2" t="s">
        <v>10</v>
      </c>
      <c r="C1174" s="3">
        <v>45379</v>
      </c>
      <c r="D1174" t="s">
        <v>1835</v>
      </c>
      <c r="E1174" s="2" t="s">
        <v>12</v>
      </c>
      <c r="F1174" s="2" t="s">
        <v>1846</v>
      </c>
      <c r="G1174" t="s">
        <v>586</v>
      </c>
      <c r="H1174" t="str">
        <f t="shared" si="36"/>
        <v>https://videplast.com.br/consulta-imobilizado?id=22004439&amp;nome=CAMISA%20PORTA%20CLICHE%20PASSO%20580%20MANDRIL%20108,342</v>
      </c>
      <c r="I1174" t="e">
        <f t="shared" ca="1" si="37"/>
        <v>#NAME?</v>
      </c>
    </row>
    <row r="1175" spans="1:9" x14ac:dyDescent="0.25">
      <c r="A1175" s="2" t="s">
        <v>1847</v>
      </c>
      <c r="B1175" s="2" t="s">
        <v>10</v>
      </c>
      <c r="C1175" s="3">
        <v>45379</v>
      </c>
      <c r="D1175" t="s">
        <v>1835</v>
      </c>
      <c r="E1175" s="2" t="s">
        <v>12</v>
      </c>
      <c r="F1175" s="2" t="s">
        <v>1848</v>
      </c>
      <c r="G1175" t="s">
        <v>586</v>
      </c>
      <c r="H1175" t="str">
        <f t="shared" si="36"/>
        <v>https://videplast.com.br/consulta-imobilizado?id=22004440&amp;nome=CAMISA%20PORTA%20CLICHE%20PASSO%20580%20MANDRIL%20108,342</v>
      </c>
      <c r="I1175" t="e">
        <f t="shared" ca="1" si="37"/>
        <v>#NAME?</v>
      </c>
    </row>
    <row r="1176" spans="1:9" x14ac:dyDescent="0.25">
      <c r="A1176" s="2" t="s">
        <v>1849</v>
      </c>
      <c r="B1176" s="2" t="s">
        <v>10</v>
      </c>
      <c r="C1176" s="3">
        <v>45379</v>
      </c>
      <c r="D1176" t="s">
        <v>1835</v>
      </c>
      <c r="E1176" s="2" t="s">
        <v>12</v>
      </c>
      <c r="F1176" s="2" t="s">
        <v>1850</v>
      </c>
      <c r="G1176" t="s">
        <v>586</v>
      </c>
      <c r="H1176" t="str">
        <f t="shared" si="36"/>
        <v>https://videplast.com.br/consulta-imobilizado?id=22004441&amp;nome=CAMISA%20PORTA%20CLICHE%20PASSO%20580%20MANDRIL%20108,342</v>
      </c>
      <c r="I1176" t="e">
        <f t="shared" ca="1" si="37"/>
        <v>#NAME?</v>
      </c>
    </row>
    <row r="1177" spans="1:9" x14ac:dyDescent="0.25">
      <c r="A1177" s="2" t="s">
        <v>1851</v>
      </c>
      <c r="B1177" s="2" t="s">
        <v>10</v>
      </c>
      <c r="C1177" s="3">
        <v>45379</v>
      </c>
      <c r="D1177" t="s">
        <v>1852</v>
      </c>
      <c r="E1177" s="2" t="s">
        <v>12</v>
      </c>
      <c r="F1177" s="2" t="s">
        <v>1853</v>
      </c>
      <c r="G1177" t="s">
        <v>586</v>
      </c>
      <c r="H1177" t="str">
        <f t="shared" si="36"/>
        <v>https://videplast.com.br/consulta-imobilizado?id=22004442&amp;nome=CAMISA%20PORTA%20CLICHE%20PASSO%20600%20MANDRIL%20108,342</v>
      </c>
      <c r="I1177" t="e">
        <f t="shared" ca="1" si="37"/>
        <v>#NAME?</v>
      </c>
    </row>
    <row r="1178" spans="1:9" x14ac:dyDescent="0.25">
      <c r="A1178" s="2" t="s">
        <v>1854</v>
      </c>
      <c r="B1178" s="2" t="s">
        <v>10</v>
      </c>
      <c r="C1178" s="3">
        <v>45379</v>
      </c>
      <c r="D1178" t="s">
        <v>1852</v>
      </c>
      <c r="E1178" s="2" t="s">
        <v>12</v>
      </c>
      <c r="F1178" s="2" t="s">
        <v>1855</v>
      </c>
      <c r="G1178" t="s">
        <v>586</v>
      </c>
      <c r="H1178" t="str">
        <f t="shared" si="36"/>
        <v>https://videplast.com.br/consulta-imobilizado?id=22004443&amp;nome=CAMISA%20PORTA%20CLICHE%20PASSO%20600%20MANDRIL%20108,342</v>
      </c>
      <c r="I1178" t="e">
        <f t="shared" ca="1" si="37"/>
        <v>#NAME?</v>
      </c>
    </row>
    <row r="1179" spans="1:9" x14ac:dyDescent="0.25">
      <c r="A1179" s="2" t="s">
        <v>1856</v>
      </c>
      <c r="B1179" s="2" t="s">
        <v>10</v>
      </c>
      <c r="C1179" s="3">
        <v>45379</v>
      </c>
      <c r="D1179" t="s">
        <v>1852</v>
      </c>
      <c r="E1179" s="2" t="s">
        <v>12</v>
      </c>
      <c r="F1179" s="2" t="s">
        <v>1857</v>
      </c>
      <c r="G1179" t="s">
        <v>586</v>
      </c>
      <c r="H1179" t="str">
        <f t="shared" si="36"/>
        <v>https://videplast.com.br/consulta-imobilizado?id=22004444&amp;nome=CAMISA%20PORTA%20CLICHE%20PASSO%20600%20MANDRIL%20108,342</v>
      </c>
      <c r="I1179" t="e">
        <f t="shared" ca="1" si="37"/>
        <v>#NAME?</v>
      </c>
    </row>
    <row r="1180" spans="1:9" x14ac:dyDescent="0.25">
      <c r="A1180" s="2" t="s">
        <v>1858</v>
      </c>
      <c r="B1180" s="2" t="s">
        <v>10</v>
      </c>
      <c r="C1180" s="3">
        <v>45379</v>
      </c>
      <c r="D1180" t="s">
        <v>1852</v>
      </c>
      <c r="E1180" s="2" t="s">
        <v>12</v>
      </c>
      <c r="F1180" s="2" t="s">
        <v>1859</v>
      </c>
      <c r="G1180" t="s">
        <v>586</v>
      </c>
      <c r="H1180" t="str">
        <f t="shared" si="36"/>
        <v>https://videplast.com.br/consulta-imobilizado?id=22004445&amp;nome=CAMISA%20PORTA%20CLICHE%20PASSO%20600%20MANDRIL%20108,342</v>
      </c>
      <c r="I1180" t="e">
        <f t="shared" ca="1" si="37"/>
        <v>#NAME?</v>
      </c>
    </row>
    <row r="1181" spans="1:9" x14ac:dyDescent="0.25">
      <c r="A1181" s="2" t="s">
        <v>1860</v>
      </c>
      <c r="B1181" s="2" t="s">
        <v>10</v>
      </c>
      <c r="C1181" s="3">
        <v>45379</v>
      </c>
      <c r="D1181" t="s">
        <v>1852</v>
      </c>
      <c r="E1181" s="2" t="s">
        <v>12</v>
      </c>
      <c r="F1181" s="2" t="s">
        <v>1861</v>
      </c>
      <c r="G1181" t="s">
        <v>586</v>
      </c>
      <c r="H1181" t="str">
        <f t="shared" si="36"/>
        <v>https://videplast.com.br/consulta-imobilizado?id=22004446&amp;nome=CAMISA%20PORTA%20CLICHE%20PASSO%20600%20MANDRIL%20108,342</v>
      </c>
      <c r="I1181" t="e">
        <f t="shared" ca="1" si="37"/>
        <v>#NAME?</v>
      </c>
    </row>
    <row r="1182" spans="1:9" x14ac:dyDescent="0.25">
      <c r="A1182" s="2" t="s">
        <v>1862</v>
      </c>
      <c r="B1182" s="2" t="s">
        <v>10</v>
      </c>
      <c r="C1182" s="3">
        <v>45379</v>
      </c>
      <c r="D1182" t="s">
        <v>1852</v>
      </c>
      <c r="E1182" s="2" t="s">
        <v>12</v>
      </c>
      <c r="F1182" s="2" t="s">
        <v>1863</v>
      </c>
      <c r="G1182" t="s">
        <v>586</v>
      </c>
      <c r="H1182" t="str">
        <f t="shared" si="36"/>
        <v>https://videplast.com.br/consulta-imobilizado?id=22004447&amp;nome=CAMISA%20PORTA%20CLICHE%20PASSO%20600%20MANDRIL%20108,342</v>
      </c>
      <c r="I1182" t="e">
        <f t="shared" ca="1" si="37"/>
        <v>#NAME?</v>
      </c>
    </row>
    <row r="1183" spans="1:9" x14ac:dyDescent="0.25">
      <c r="A1183" s="2" t="s">
        <v>1864</v>
      </c>
      <c r="B1183" s="2" t="s">
        <v>10</v>
      </c>
      <c r="C1183" s="3">
        <v>45379</v>
      </c>
      <c r="D1183" t="s">
        <v>1852</v>
      </c>
      <c r="E1183" s="2" t="s">
        <v>12</v>
      </c>
      <c r="F1183" s="2" t="s">
        <v>1865</v>
      </c>
      <c r="G1183" t="s">
        <v>586</v>
      </c>
      <c r="H1183" t="str">
        <f t="shared" si="36"/>
        <v>https://videplast.com.br/consulta-imobilizado?id=22004448&amp;nome=CAMISA%20PORTA%20CLICHE%20PASSO%20600%20MANDRIL%20108,342</v>
      </c>
      <c r="I1183" t="e">
        <f t="shared" ca="1" si="37"/>
        <v>#NAME?</v>
      </c>
    </row>
    <row r="1184" spans="1:9" x14ac:dyDescent="0.25">
      <c r="A1184" s="2" t="s">
        <v>1866</v>
      </c>
      <c r="B1184" s="2" t="s">
        <v>10</v>
      </c>
      <c r="C1184" s="3">
        <v>45379</v>
      </c>
      <c r="D1184" t="s">
        <v>1852</v>
      </c>
      <c r="E1184" s="2" t="s">
        <v>12</v>
      </c>
      <c r="F1184" s="2" t="s">
        <v>1867</v>
      </c>
      <c r="G1184" t="s">
        <v>586</v>
      </c>
      <c r="H1184" t="str">
        <f t="shared" si="36"/>
        <v>https://videplast.com.br/consulta-imobilizado?id=22004449&amp;nome=CAMISA%20PORTA%20CLICHE%20PASSO%20600%20MANDRIL%20108,342</v>
      </c>
      <c r="I1184" t="e">
        <f t="shared" ca="1" si="37"/>
        <v>#NAME?</v>
      </c>
    </row>
    <row r="1185" spans="1:9" x14ac:dyDescent="0.25">
      <c r="A1185" s="2" t="s">
        <v>1868</v>
      </c>
      <c r="B1185" s="2" t="s">
        <v>10</v>
      </c>
      <c r="C1185" s="3">
        <v>45379</v>
      </c>
      <c r="D1185" t="s">
        <v>1869</v>
      </c>
      <c r="E1185" s="2" t="s">
        <v>12</v>
      </c>
      <c r="F1185" s="2" t="s">
        <v>1870</v>
      </c>
      <c r="G1185" t="s">
        <v>586</v>
      </c>
      <c r="H1185" t="str">
        <f t="shared" si="36"/>
        <v>https://videplast.com.br/consulta-imobilizado?id=22004450&amp;nome=CAMISA%20PORTA%20CLICHE%20PASSO%20620%20MANDRIL%20108,342</v>
      </c>
      <c r="I1185" t="e">
        <f t="shared" ca="1" si="37"/>
        <v>#NAME?</v>
      </c>
    </row>
    <row r="1186" spans="1:9" x14ac:dyDescent="0.25">
      <c r="A1186" s="2" t="s">
        <v>1871</v>
      </c>
      <c r="B1186" s="2" t="s">
        <v>10</v>
      </c>
      <c r="C1186" s="3">
        <v>45379</v>
      </c>
      <c r="D1186" t="s">
        <v>1869</v>
      </c>
      <c r="E1186" s="2" t="s">
        <v>12</v>
      </c>
      <c r="F1186" s="2" t="s">
        <v>1872</v>
      </c>
      <c r="G1186" t="s">
        <v>586</v>
      </c>
      <c r="H1186" t="str">
        <f t="shared" si="36"/>
        <v>https://videplast.com.br/consulta-imobilizado?id=22004451&amp;nome=CAMISA%20PORTA%20CLICHE%20PASSO%20620%20MANDRIL%20108,342</v>
      </c>
      <c r="I1186" t="e">
        <f t="shared" ca="1" si="37"/>
        <v>#NAME?</v>
      </c>
    </row>
    <row r="1187" spans="1:9" x14ac:dyDescent="0.25">
      <c r="A1187" s="2" t="s">
        <v>1873</v>
      </c>
      <c r="B1187" s="2" t="s">
        <v>10</v>
      </c>
      <c r="C1187" s="3">
        <v>45379</v>
      </c>
      <c r="D1187" t="s">
        <v>1869</v>
      </c>
      <c r="E1187" s="2" t="s">
        <v>12</v>
      </c>
      <c r="F1187" s="2" t="s">
        <v>1874</v>
      </c>
      <c r="G1187" t="s">
        <v>586</v>
      </c>
      <c r="H1187" t="str">
        <f t="shared" si="36"/>
        <v>https://videplast.com.br/consulta-imobilizado?id=22004452&amp;nome=CAMISA%20PORTA%20CLICHE%20PASSO%20620%20MANDRIL%20108,342</v>
      </c>
      <c r="I1187" t="e">
        <f t="shared" ca="1" si="37"/>
        <v>#NAME?</v>
      </c>
    </row>
    <row r="1188" spans="1:9" x14ac:dyDescent="0.25">
      <c r="A1188" s="2" t="s">
        <v>1875</v>
      </c>
      <c r="B1188" s="2" t="s">
        <v>10</v>
      </c>
      <c r="C1188" s="3">
        <v>45379</v>
      </c>
      <c r="D1188" t="s">
        <v>1869</v>
      </c>
      <c r="E1188" s="2" t="s">
        <v>12</v>
      </c>
      <c r="F1188" s="2" t="s">
        <v>1876</v>
      </c>
      <c r="G1188" t="s">
        <v>586</v>
      </c>
      <c r="H1188" t="str">
        <f t="shared" si="36"/>
        <v>https://videplast.com.br/consulta-imobilizado?id=22004453&amp;nome=CAMISA%20PORTA%20CLICHE%20PASSO%20620%20MANDRIL%20108,342</v>
      </c>
      <c r="I1188" t="e">
        <f t="shared" ca="1" si="37"/>
        <v>#NAME?</v>
      </c>
    </row>
    <row r="1189" spans="1:9" x14ac:dyDescent="0.25">
      <c r="A1189" s="2" t="s">
        <v>1877</v>
      </c>
      <c r="B1189" s="2" t="s">
        <v>10</v>
      </c>
      <c r="C1189" s="3">
        <v>45379</v>
      </c>
      <c r="D1189" t="s">
        <v>1869</v>
      </c>
      <c r="E1189" s="2" t="s">
        <v>12</v>
      </c>
      <c r="F1189" s="2" t="s">
        <v>1878</v>
      </c>
      <c r="G1189" t="s">
        <v>586</v>
      </c>
      <c r="H1189" t="str">
        <f t="shared" si="36"/>
        <v>https://videplast.com.br/consulta-imobilizado?id=22004454&amp;nome=CAMISA%20PORTA%20CLICHE%20PASSO%20620%20MANDRIL%20108,342</v>
      </c>
      <c r="I1189" t="e">
        <f t="shared" ca="1" si="37"/>
        <v>#NAME?</v>
      </c>
    </row>
    <row r="1190" spans="1:9" x14ac:dyDescent="0.25">
      <c r="A1190" s="2" t="s">
        <v>1879</v>
      </c>
      <c r="B1190" s="2" t="s">
        <v>10</v>
      </c>
      <c r="C1190" s="3">
        <v>45379</v>
      </c>
      <c r="D1190" t="s">
        <v>1869</v>
      </c>
      <c r="E1190" s="2" t="s">
        <v>12</v>
      </c>
      <c r="F1190" s="2" t="s">
        <v>1880</v>
      </c>
      <c r="G1190" t="s">
        <v>586</v>
      </c>
      <c r="H1190" t="str">
        <f t="shared" si="36"/>
        <v>https://videplast.com.br/consulta-imobilizado?id=22004455&amp;nome=CAMISA%20PORTA%20CLICHE%20PASSO%20620%20MANDRIL%20108,342</v>
      </c>
      <c r="I1190" t="e">
        <f t="shared" ca="1" si="37"/>
        <v>#NAME?</v>
      </c>
    </row>
    <row r="1191" spans="1:9" x14ac:dyDescent="0.25">
      <c r="A1191" s="2" t="s">
        <v>1881</v>
      </c>
      <c r="B1191" s="2" t="s">
        <v>10</v>
      </c>
      <c r="C1191" s="3">
        <v>45379</v>
      </c>
      <c r="D1191" t="s">
        <v>1869</v>
      </c>
      <c r="E1191" s="2" t="s">
        <v>12</v>
      </c>
      <c r="F1191" s="2" t="s">
        <v>1882</v>
      </c>
      <c r="G1191" t="s">
        <v>586</v>
      </c>
      <c r="H1191" t="str">
        <f t="shared" si="36"/>
        <v>https://videplast.com.br/consulta-imobilizado?id=22004456&amp;nome=CAMISA%20PORTA%20CLICHE%20PASSO%20620%20MANDRIL%20108,342</v>
      </c>
      <c r="I1191" t="e">
        <f t="shared" ca="1" si="37"/>
        <v>#NAME?</v>
      </c>
    </row>
    <row r="1192" spans="1:9" x14ac:dyDescent="0.25">
      <c r="A1192" s="2" t="s">
        <v>1883</v>
      </c>
      <c r="B1192" s="2" t="s">
        <v>10</v>
      </c>
      <c r="C1192" s="3">
        <v>45379</v>
      </c>
      <c r="D1192" t="s">
        <v>1869</v>
      </c>
      <c r="E1192" s="2" t="s">
        <v>12</v>
      </c>
      <c r="F1192" s="2" t="s">
        <v>1884</v>
      </c>
      <c r="G1192" t="s">
        <v>586</v>
      </c>
      <c r="H1192" t="str">
        <f t="shared" si="36"/>
        <v>https://videplast.com.br/consulta-imobilizado?id=22004457&amp;nome=CAMISA%20PORTA%20CLICHE%20PASSO%20620%20MANDRIL%20108,342</v>
      </c>
      <c r="I1192" t="e">
        <f t="shared" ca="1" si="37"/>
        <v>#NAME?</v>
      </c>
    </row>
    <row r="1193" spans="1:9" x14ac:dyDescent="0.25">
      <c r="A1193" s="2" t="s">
        <v>1885</v>
      </c>
      <c r="B1193" s="2" t="s">
        <v>10</v>
      </c>
      <c r="C1193" s="3">
        <v>45379</v>
      </c>
      <c r="D1193" t="s">
        <v>1886</v>
      </c>
      <c r="E1193" s="2" t="s">
        <v>12</v>
      </c>
      <c r="F1193" s="2" t="s">
        <v>1887</v>
      </c>
      <c r="G1193" t="s">
        <v>586</v>
      </c>
      <c r="H1193" t="str">
        <f t="shared" si="36"/>
        <v>https://videplast.com.br/consulta-imobilizado?id=22004458&amp;nome=CAMISA%20PORTA%20CLICHE%20PASSO%20660%20MANDRIL%20108,342</v>
      </c>
      <c r="I1193" t="e">
        <f t="shared" ca="1" si="37"/>
        <v>#NAME?</v>
      </c>
    </row>
    <row r="1194" spans="1:9" x14ac:dyDescent="0.25">
      <c r="A1194" s="2" t="s">
        <v>1888</v>
      </c>
      <c r="B1194" s="2" t="s">
        <v>10</v>
      </c>
      <c r="C1194" s="3">
        <v>45379</v>
      </c>
      <c r="D1194" t="s">
        <v>1886</v>
      </c>
      <c r="E1194" s="2" t="s">
        <v>12</v>
      </c>
      <c r="F1194" s="2" t="s">
        <v>1889</v>
      </c>
      <c r="G1194" t="s">
        <v>586</v>
      </c>
      <c r="H1194" t="str">
        <f t="shared" si="36"/>
        <v>https://videplast.com.br/consulta-imobilizado?id=22004459&amp;nome=CAMISA%20PORTA%20CLICHE%20PASSO%20660%20MANDRIL%20108,342</v>
      </c>
      <c r="I1194" t="e">
        <f t="shared" ca="1" si="37"/>
        <v>#NAME?</v>
      </c>
    </row>
    <row r="1195" spans="1:9" x14ac:dyDescent="0.25">
      <c r="A1195" s="2" t="s">
        <v>1890</v>
      </c>
      <c r="B1195" s="2" t="s">
        <v>10</v>
      </c>
      <c r="C1195" s="3">
        <v>45379</v>
      </c>
      <c r="D1195" t="s">
        <v>1886</v>
      </c>
      <c r="E1195" s="2" t="s">
        <v>12</v>
      </c>
      <c r="F1195" s="2" t="s">
        <v>1891</v>
      </c>
      <c r="G1195" t="s">
        <v>586</v>
      </c>
      <c r="H1195" t="str">
        <f t="shared" si="36"/>
        <v>https://videplast.com.br/consulta-imobilizado?id=22004460&amp;nome=CAMISA%20PORTA%20CLICHE%20PASSO%20660%20MANDRIL%20108,342</v>
      </c>
      <c r="I1195" t="e">
        <f t="shared" ca="1" si="37"/>
        <v>#NAME?</v>
      </c>
    </row>
    <row r="1196" spans="1:9" x14ac:dyDescent="0.25">
      <c r="A1196" s="2" t="s">
        <v>1892</v>
      </c>
      <c r="B1196" s="2" t="s">
        <v>10</v>
      </c>
      <c r="C1196" s="3">
        <v>45379</v>
      </c>
      <c r="D1196" t="s">
        <v>1886</v>
      </c>
      <c r="E1196" s="2" t="s">
        <v>12</v>
      </c>
      <c r="F1196" s="2" t="s">
        <v>1893</v>
      </c>
      <c r="G1196" t="s">
        <v>586</v>
      </c>
      <c r="H1196" t="str">
        <f t="shared" si="36"/>
        <v>https://videplast.com.br/consulta-imobilizado?id=22004461&amp;nome=CAMISA%20PORTA%20CLICHE%20PASSO%20660%20MANDRIL%20108,342</v>
      </c>
      <c r="I1196" t="e">
        <f t="shared" ca="1" si="37"/>
        <v>#NAME?</v>
      </c>
    </row>
    <row r="1197" spans="1:9" x14ac:dyDescent="0.25">
      <c r="A1197" s="2" t="s">
        <v>1894</v>
      </c>
      <c r="B1197" s="2" t="s">
        <v>10</v>
      </c>
      <c r="C1197" s="3">
        <v>45379</v>
      </c>
      <c r="D1197" t="s">
        <v>1886</v>
      </c>
      <c r="E1197" s="2" t="s">
        <v>12</v>
      </c>
      <c r="F1197" s="2" t="s">
        <v>1895</v>
      </c>
      <c r="G1197" t="s">
        <v>586</v>
      </c>
      <c r="H1197" t="str">
        <f t="shared" si="36"/>
        <v>https://videplast.com.br/consulta-imobilizado?id=22004462&amp;nome=CAMISA%20PORTA%20CLICHE%20PASSO%20660%20MANDRIL%20108,342</v>
      </c>
      <c r="I1197" t="e">
        <f t="shared" ca="1" si="37"/>
        <v>#NAME?</v>
      </c>
    </row>
    <row r="1198" spans="1:9" x14ac:dyDescent="0.25">
      <c r="A1198" s="2" t="s">
        <v>1896</v>
      </c>
      <c r="B1198" s="2" t="s">
        <v>10</v>
      </c>
      <c r="C1198" s="3">
        <v>45379</v>
      </c>
      <c r="D1198" t="s">
        <v>1886</v>
      </c>
      <c r="E1198" s="2" t="s">
        <v>12</v>
      </c>
      <c r="F1198" s="2" t="s">
        <v>1897</v>
      </c>
      <c r="G1198" t="s">
        <v>586</v>
      </c>
      <c r="H1198" t="str">
        <f t="shared" si="36"/>
        <v>https://videplast.com.br/consulta-imobilizado?id=22004463&amp;nome=CAMISA%20PORTA%20CLICHE%20PASSO%20660%20MANDRIL%20108,342</v>
      </c>
      <c r="I1198" t="e">
        <f t="shared" ca="1" si="37"/>
        <v>#NAME?</v>
      </c>
    </row>
    <row r="1199" spans="1:9" x14ac:dyDescent="0.25">
      <c r="A1199" s="2" t="s">
        <v>1898</v>
      </c>
      <c r="B1199" s="2" t="s">
        <v>10</v>
      </c>
      <c r="C1199" s="3">
        <v>45379</v>
      </c>
      <c r="D1199" t="s">
        <v>1886</v>
      </c>
      <c r="E1199" s="2" t="s">
        <v>12</v>
      </c>
      <c r="F1199" s="2" t="s">
        <v>1899</v>
      </c>
      <c r="G1199" t="s">
        <v>586</v>
      </c>
      <c r="H1199" t="str">
        <f t="shared" si="36"/>
        <v>https://videplast.com.br/consulta-imobilizado?id=22004464&amp;nome=CAMISA%20PORTA%20CLICHE%20PASSO%20660%20MANDRIL%20108,342</v>
      </c>
      <c r="I1199" t="e">
        <f t="shared" ca="1" si="37"/>
        <v>#NAME?</v>
      </c>
    </row>
    <row r="1200" spans="1:9" x14ac:dyDescent="0.25">
      <c r="A1200" s="2" t="s">
        <v>1900</v>
      </c>
      <c r="B1200" s="2" t="s">
        <v>10</v>
      </c>
      <c r="C1200" s="3">
        <v>45379</v>
      </c>
      <c r="D1200" t="s">
        <v>1886</v>
      </c>
      <c r="E1200" s="2" t="s">
        <v>12</v>
      </c>
      <c r="F1200" s="2" t="s">
        <v>1901</v>
      </c>
      <c r="G1200" t="s">
        <v>586</v>
      </c>
      <c r="H1200" t="str">
        <f t="shared" si="36"/>
        <v>https://videplast.com.br/consulta-imobilizado?id=22004465&amp;nome=CAMISA%20PORTA%20CLICHE%20PASSO%20660%20MANDRIL%20108,342</v>
      </c>
      <c r="I1200" t="e">
        <f t="shared" ca="1" si="37"/>
        <v>#NAME?</v>
      </c>
    </row>
    <row r="1201" spans="1:9" x14ac:dyDescent="0.25">
      <c r="A1201" s="2" t="s">
        <v>1902</v>
      </c>
      <c r="B1201" s="2" t="s">
        <v>10</v>
      </c>
      <c r="C1201" s="3">
        <v>45408</v>
      </c>
      <c r="D1201" t="s">
        <v>1903</v>
      </c>
      <c r="E1201" s="2" t="s">
        <v>12</v>
      </c>
      <c r="F1201" s="2" t="s">
        <v>1904</v>
      </c>
      <c r="G1201" t="s">
        <v>586</v>
      </c>
      <c r="H1201" t="str">
        <f t="shared" si="36"/>
        <v>https://videplast.com.br/consulta-imobilizado?id=22004466&amp;nome=CAMISA%20PORTA%20CLICHE%20EVERSTAT%20LIGHT%20SLEEVE%20P730</v>
      </c>
      <c r="I1201" t="e">
        <f t="shared" ca="1" si="37"/>
        <v>#NAME?</v>
      </c>
    </row>
    <row r="1202" spans="1:9" x14ac:dyDescent="0.25">
      <c r="A1202" s="2" t="s">
        <v>1905</v>
      </c>
      <c r="B1202" s="2" t="s">
        <v>10</v>
      </c>
      <c r="C1202" s="3">
        <v>45408</v>
      </c>
      <c r="D1202" t="s">
        <v>1903</v>
      </c>
      <c r="E1202" s="2" t="s">
        <v>12</v>
      </c>
      <c r="F1202" s="2" t="s">
        <v>1906</v>
      </c>
      <c r="G1202" t="s">
        <v>586</v>
      </c>
      <c r="H1202" t="str">
        <f t="shared" si="36"/>
        <v>https://videplast.com.br/consulta-imobilizado?id=22004467&amp;nome=CAMISA%20PORTA%20CLICHE%20EVERSTAT%20LIGHT%20SLEEVE%20P730</v>
      </c>
      <c r="I1202" t="e">
        <f t="shared" ca="1" si="37"/>
        <v>#NAME?</v>
      </c>
    </row>
    <row r="1203" spans="1:9" x14ac:dyDescent="0.25">
      <c r="A1203" s="2" t="s">
        <v>1907</v>
      </c>
      <c r="B1203" s="2" t="s">
        <v>10</v>
      </c>
      <c r="C1203" s="3">
        <v>45408</v>
      </c>
      <c r="D1203" t="s">
        <v>1903</v>
      </c>
      <c r="E1203" s="2" t="s">
        <v>12</v>
      </c>
      <c r="F1203" s="2" t="s">
        <v>1908</v>
      </c>
      <c r="G1203" t="s">
        <v>586</v>
      </c>
      <c r="H1203" t="str">
        <f t="shared" si="36"/>
        <v>https://videplast.com.br/consulta-imobilizado?id=22004468&amp;nome=CAMISA%20PORTA%20CLICHE%20EVERSTAT%20LIGHT%20SLEEVE%20P730</v>
      </c>
      <c r="I1203" t="e">
        <f t="shared" ca="1" si="37"/>
        <v>#NAME?</v>
      </c>
    </row>
    <row r="1204" spans="1:9" x14ac:dyDescent="0.25">
      <c r="A1204" s="2" t="s">
        <v>1909</v>
      </c>
      <c r="B1204" s="2" t="s">
        <v>10</v>
      </c>
      <c r="C1204" s="3">
        <v>45408</v>
      </c>
      <c r="D1204" t="s">
        <v>1903</v>
      </c>
      <c r="E1204" s="2" t="s">
        <v>12</v>
      </c>
      <c r="F1204" s="2" t="s">
        <v>1910</v>
      </c>
      <c r="G1204" t="s">
        <v>586</v>
      </c>
      <c r="H1204" t="str">
        <f t="shared" si="36"/>
        <v>https://videplast.com.br/consulta-imobilizado?id=22004469&amp;nome=CAMISA%20PORTA%20CLICHE%20EVERSTAT%20LIGHT%20SLEEVE%20P730</v>
      </c>
      <c r="I1204" t="e">
        <f t="shared" ca="1" si="37"/>
        <v>#NAME?</v>
      </c>
    </row>
    <row r="1205" spans="1:9" x14ac:dyDescent="0.25">
      <c r="A1205" s="2" t="s">
        <v>1911</v>
      </c>
      <c r="B1205" s="2" t="s">
        <v>10</v>
      </c>
      <c r="C1205" s="3">
        <v>45408</v>
      </c>
      <c r="D1205" t="s">
        <v>1903</v>
      </c>
      <c r="E1205" s="2" t="s">
        <v>12</v>
      </c>
      <c r="F1205" s="2" t="s">
        <v>1912</v>
      </c>
      <c r="G1205" t="s">
        <v>586</v>
      </c>
      <c r="H1205" t="str">
        <f t="shared" si="36"/>
        <v>https://videplast.com.br/consulta-imobilizado?id=22004470&amp;nome=CAMISA%20PORTA%20CLICHE%20EVERSTAT%20LIGHT%20SLEEVE%20P730</v>
      </c>
      <c r="I1205" t="e">
        <f t="shared" ca="1" si="37"/>
        <v>#NAME?</v>
      </c>
    </row>
    <row r="1206" spans="1:9" x14ac:dyDescent="0.25">
      <c r="A1206" s="2" t="s">
        <v>1913</v>
      </c>
      <c r="B1206" s="2" t="s">
        <v>10</v>
      </c>
      <c r="C1206" s="3">
        <v>45408</v>
      </c>
      <c r="D1206" t="s">
        <v>1903</v>
      </c>
      <c r="E1206" s="2" t="s">
        <v>12</v>
      </c>
      <c r="F1206" s="2" t="s">
        <v>1914</v>
      </c>
      <c r="G1206" t="s">
        <v>586</v>
      </c>
      <c r="H1206" t="str">
        <f t="shared" si="36"/>
        <v>https://videplast.com.br/consulta-imobilizado?id=22004471&amp;nome=CAMISA%20PORTA%20CLICHE%20EVERSTAT%20LIGHT%20SLEEVE%20P730</v>
      </c>
      <c r="I1206" t="e">
        <f t="shared" ca="1" si="37"/>
        <v>#NAME?</v>
      </c>
    </row>
    <row r="1207" spans="1:9" x14ac:dyDescent="0.25">
      <c r="A1207" s="2" t="s">
        <v>1915</v>
      </c>
      <c r="B1207" s="2" t="s">
        <v>10</v>
      </c>
      <c r="C1207" s="3">
        <v>45408</v>
      </c>
      <c r="D1207" t="s">
        <v>1903</v>
      </c>
      <c r="E1207" s="2" t="s">
        <v>12</v>
      </c>
      <c r="F1207" s="2" t="s">
        <v>1916</v>
      </c>
      <c r="G1207" t="s">
        <v>586</v>
      </c>
      <c r="H1207" t="str">
        <f t="shared" si="36"/>
        <v>https://videplast.com.br/consulta-imobilizado?id=22004472&amp;nome=CAMISA%20PORTA%20CLICHE%20EVERSTAT%20LIGHT%20SLEEVE%20P730</v>
      </c>
      <c r="I1207" t="e">
        <f t="shared" ca="1" si="37"/>
        <v>#NAME?</v>
      </c>
    </row>
    <row r="1208" spans="1:9" x14ac:dyDescent="0.25">
      <c r="A1208" s="2" t="s">
        <v>1917</v>
      </c>
      <c r="B1208" s="2" t="s">
        <v>10</v>
      </c>
      <c r="C1208" s="3">
        <v>45408</v>
      </c>
      <c r="D1208" t="s">
        <v>1903</v>
      </c>
      <c r="E1208" s="2" t="s">
        <v>12</v>
      </c>
      <c r="F1208" s="2" t="s">
        <v>1918</v>
      </c>
      <c r="G1208" t="s">
        <v>586</v>
      </c>
      <c r="H1208" t="str">
        <f t="shared" si="36"/>
        <v>https://videplast.com.br/consulta-imobilizado?id=22004473&amp;nome=CAMISA%20PORTA%20CLICHE%20EVERSTAT%20LIGHT%20SLEEVE%20P730</v>
      </c>
      <c r="I1208" t="e">
        <f t="shared" ca="1" si="37"/>
        <v>#NAME?</v>
      </c>
    </row>
    <row r="1209" spans="1:9" x14ac:dyDescent="0.25">
      <c r="A1209" s="2" t="s">
        <v>1919</v>
      </c>
      <c r="B1209" s="2" t="s">
        <v>10</v>
      </c>
      <c r="C1209" s="3">
        <v>45379</v>
      </c>
      <c r="D1209" t="s">
        <v>1920</v>
      </c>
      <c r="E1209" s="2" t="s">
        <v>12</v>
      </c>
      <c r="F1209" s="2" t="s">
        <v>1921</v>
      </c>
      <c r="G1209" t="s">
        <v>586</v>
      </c>
      <c r="H1209" t="str">
        <f t="shared" si="36"/>
        <v>https://videplast.com.br/consulta-imobilizado?id=22004474&amp;nome=CAMISA%20PONTE%20CARRIER%20CARBO%20BRIDGE%20SIDE%20152,905%20MM</v>
      </c>
      <c r="I1209" t="e">
        <f t="shared" ca="1" si="37"/>
        <v>#NAME?</v>
      </c>
    </row>
    <row r="1210" spans="1:9" x14ac:dyDescent="0.25">
      <c r="A1210" s="2" t="s">
        <v>1922</v>
      </c>
      <c r="B1210" s="2" t="s">
        <v>10</v>
      </c>
      <c r="C1210" s="3">
        <v>45379</v>
      </c>
      <c r="D1210" t="s">
        <v>1920</v>
      </c>
      <c r="E1210" s="2" t="s">
        <v>12</v>
      </c>
      <c r="F1210" s="2" t="s">
        <v>1923</v>
      </c>
      <c r="G1210" t="s">
        <v>586</v>
      </c>
      <c r="H1210" t="str">
        <f t="shared" si="36"/>
        <v>https://videplast.com.br/consulta-imobilizado?id=22004475&amp;nome=CAMISA%20PONTE%20CARRIER%20CARBO%20BRIDGE%20SIDE%20152,905%20MM</v>
      </c>
      <c r="I1210" t="e">
        <f t="shared" ca="1" si="37"/>
        <v>#NAME?</v>
      </c>
    </row>
    <row r="1211" spans="1:9" x14ac:dyDescent="0.25">
      <c r="A1211" s="2" t="s">
        <v>1924</v>
      </c>
      <c r="B1211" s="2" t="s">
        <v>10</v>
      </c>
      <c r="C1211" s="3">
        <v>45379</v>
      </c>
      <c r="D1211" t="s">
        <v>1920</v>
      </c>
      <c r="E1211" s="2" t="s">
        <v>12</v>
      </c>
      <c r="F1211" s="2" t="s">
        <v>1925</v>
      </c>
      <c r="G1211" t="s">
        <v>586</v>
      </c>
      <c r="H1211" t="str">
        <f t="shared" si="36"/>
        <v>https://videplast.com.br/consulta-imobilizado?id=22004476&amp;nome=CAMISA%20PONTE%20CARRIER%20CARBO%20BRIDGE%20SIDE%20152,905%20MM</v>
      </c>
      <c r="I1211" t="e">
        <f t="shared" ca="1" si="37"/>
        <v>#NAME?</v>
      </c>
    </row>
    <row r="1212" spans="1:9" x14ac:dyDescent="0.25">
      <c r="A1212" s="2" t="s">
        <v>1926</v>
      </c>
      <c r="B1212" s="2" t="s">
        <v>10</v>
      </c>
      <c r="C1212" s="3">
        <v>45379</v>
      </c>
      <c r="D1212" t="s">
        <v>1920</v>
      </c>
      <c r="E1212" s="2" t="s">
        <v>12</v>
      </c>
      <c r="F1212" s="2" t="s">
        <v>1927</v>
      </c>
      <c r="G1212" t="s">
        <v>586</v>
      </c>
      <c r="H1212" t="str">
        <f t="shared" si="36"/>
        <v>https://videplast.com.br/consulta-imobilizado?id=22004477&amp;nome=CAMISA%20PONTE%20CARRIER%20CARBO%20BRIDGE%20SIDE%20152,905%20MM</v>
      </c>
      <c r="I1212" t="e">
        <f t="shared" ca="1" si="37"/>
        <v>#NAME?</v>
      </c>
    </row>
    <row r="1213" spans="1:9" x14ac:dyDescent="0.25">
      <c r="A1213" s="2" t="s">
        <v>1928</v>
      </c>
      <c r="B1213" s="2" t="s">
        <v>10</v>
      </c>
      <c r="C1213" s="3">
        <v>45379</v>
      </c>
      <c r="D1213" t="s">
        <v>1920</v>
      </c>
      <c r="E1213" s="2" t="s">
        <v>12</v>
      </c>
      <c r="F1213" s="2" t="s">
        <v>1929</v>
      </c>
      <c r="G1213" t="s">
        <v>586</v>
      </c>
      <c r="H1213" t="str">
        <f t="shared" si="36"/>
        <v>https://videplast.com.br/consulta-imobilizado?id=22004478&amp;nome=CAMISA%20PONTE%20CARRIER%20CARBO%20BRIDGE%20SIDE%20152,905%20MM</v>
      </c>
      <c r="I1213" t="e">
        <f t="shared" ca="1" si="37"/>
        <v>#NAME?</v>
      </c>
    </row>
    <row r="1214" spans="1:9" x14ac:dyDescent="0.25">
      <c r="A1214" s="2" t="s">
        <v>1930</v>
      </c>
      <c r="B1214" s="2" t="s">
        <v>10</v>
      </c>
      <c r="C1214" s="3">
        <v>45379</v>
      </c>
      <c r="D1214" t="s">
        <v>1920</v>
      </c>
      <c r="E1214" s="2" t="s">
        <v>12</v>
      </c>
      <c r="F1214" s="2" t="s">
        <v>1931</v>
      </c>
      <c r="G1214" t="s">
        <v>586</v>
      </c>
      <c r="H1214" t="str">
        <f t="shared" si="36"/>
        <v>https://videplast.com.br/consulta-imobilizado?id=22004479&amp;nome=CAMISA%20PONTE%20CARRIER%20CARBO%20BRIDGE%20SIDE%20152,905%20MM</v>
      </c>
      <c r="I1214" t="e">
        <f t="shared" ca="1" si="37"/>
        <v>#NAME?</v>
      </c>
    </row>
    <row r="1215" spans="1:9" x14ac:dyDescent="0.25">
      <c r="A1215" s="2" t="s">
        <v>1932</v>
      </c>
      <c r="B1215" s="2" t="s">
        <v>10</v>
      </c>
      <c r="C1215" s="3">
        <v>45379</v>
      </c>
      <c r="D1215" t="s">
        <v>1920</v>
      </c>
      <c r="E1215" s="2" t="s">
        <v>12</v>
      </c>
      <c r="F1215" s="2" t="s">
        <v>1933</v>
      </c>
      <c r="G1215" t="s">
        <v>586</v>
      </c>
      <c r="H1215" t="str">
        <f t="shared" si="36"/>
        <v>https://videplast.com.br/consulta-imobilizado?id=22004480&amp;nome=CAMISA%20PONTE%20CARRIER%20CARBO%20BRIDGE%20SIDE%20152,905%20MM</v>
      </c>
      <c r="I1215" t="e">
        <f t="shared" ca="1" si="37"/>
        <v>#NAME?</v>
      </c>
    </row>
    <row r="1216" spans="1:9" x14ac:dyDescent="0.25">
      <c r="A1216" s="2" t="s">
        <v>1934</v>
      </c>
      <c r="B1216" s="2" t="s">
        <v>10</v>
      </c>
      <c r="C1216" s="3">
        <v>45379</v>
      </c>
      <c r="D1216" t="s">
        <v>1920</v>
      </c>
      <c r="E1216" s="2" t="s">
        <v>12</v>
      </c>
      <c r="F1216" s="2" t="s">
        <v>1935</v>
      </c>
      <c r="G1216" t="s">
        <v>586</v>
      </c>
      <c r="H1216" t="str">
        <f t="shared" si="36"/>
        <v>https://videplast.com.br/consulta-imobilizado?id=22004481&amp;nome=CAMISA%20PONTE%20CARRIER%20CARBO%20BRIDGE%20SIDE%20152,905%20MM</v>
      </c>
      <c r="I1216" t="e">
        <f t="shared" ca="1" si="37"/>
        <v>#NAME?</v>
      </c>
    </row>
    <row r="1217" spans="1:9" x14ac:dyDescent="0.25">
      <c r="A1217" s="2" t="s">
        <v>1936</v>
      </c>
      <c r="B1217" s="2" t="s">
        <v>10</v>
      </c>
      <c r="C1217" s="3">
        <v>45379</v>
      </c>
      <c r="D1217" t="s">
        <v>1937</v>
      </c>
      <c r="E1217" s="2" t="s">
        <v>12</v>
      </c>
      <c r="F1217" s="2" t="s">
        <v>1938</v>
      </c>
      <c r="G1217" t="s">
        <v>586</v>
      </c>
      <c r="H1217" t="str">
        <f t="shared" si="36"/>
        <v>https://videplast.com.br/consulta-imobilizado?id=22004482&amp;nome=CAMISA%20PONTE%20CARRIER%20CARBO%20BRIDGE%20SIDE%20213,384%20MM</v>
      </c>
      <c r="I1217" t="e">
        <f t="shared" ca="1" si="37"/>
        <v>#NAME?</v>
      </c>
    </row>
    <row r="1218" spans="1:9" x14ac:dyDescent="0.25">
      <c r="A1218" s="2" t="s">
        <v>1939</v>
      </c>
      <c r="B1218" s="2" t="s">
        <v>10</v>
      </c>
      <c r="C1218" s="3">
        <v>45379</v>
      </c>
      <c r="D1218" t="s">
        <v>1937</v>
      </c>
      <c r="E1218" s="2" t="s">
        <v>12</v>
      </c>
      <c r="F1218" s="2" t="s">
        <v>1940</v>
      </c>
      <c r="G1218" t="s">
        <v>586</v>
      </c>
      <c r="H1218" t="str">
        <f t="shared" ref="H1218:H1281" si="38" xml:space="preserve"> "https://videplast.com.br/consulta-imobilizado?id=" &amp; A1218 &amp; "&amp;nome=" &amp; SUBSTITUTE(D1218, " ", "%20")</f>
        <v>https://videplast.com.br/consulta-imobilizado?id=22004483&amp;nome=CAMISA%20PONTE%20CARRIER%20CARBO%20BRIDGE%20SIDE%20213,384%20MM</v>
      </c>
      <c r="I1218" t="e">
        <f t="shared" ref="I1218:I1281" ca="1" si="39">_xlfn.IMAGE("https://chart.googleapis.com/chart?chs=150x150&amp;cht=qr&amp;chl=" &amp; H1218)</f>
        <v>#NAME?</v>
      </c>
    </row>
    <row r="1219" spans="1:9" x14ac:dyDescent="0.25">
      <c r="A1219" s="2" t="s">
        <v>1941</v>
      </c>
      <c r="B1219" s="2" t="s">
        <v>10</v>
      </c>
      <c r="C1219" s="3">
        <v>45379</v>
      </c>
      <c r="D1219" t="s">
        <v>1937</v>
      </c>
      <c r="E1219" s="2" t="s">
        <v>12</v>
      </c>
      <c r="F1219" s="2" t="s">
        <v>1942</v>
      </c>
      <c r="G1219" t="s">
        <v>586</v>
      </c>
      <c r="H1219" t="str">
        <f t="shared" si="38"/>
        <v>https://videplast.com.br/consulta-imobilizado?id=22004484&amp;nome=CAMISA%20PONTE%20CARRIER%20CARBO%20BRIDGE%20SIDE%20213,384%20MM</v>
      </c>
      <c r="I1219" t="e">
        <f t="shared" ca="1" si="39"/>
        <v>#NAME?</v>
      </c>
    </row>
    <row r="1220" spans="1:9" x14ac:dyDescent="0.25">
      <c r="A1220" s="2" t="s">
        <v>1943</v>
      </c>
      <c r="B1220" s="2" t="s">
        <v>10</v>
      </c>
      <c r="C1220" s="3">
        <v>45379</v>
      </c>
      <c r="D1220" t="s">
        <v>1937</v>
      </c>
      <c r="E1220" s="2" t="s">
        <v>12</v>
      </c>
      <c r="F1220" s="2" t="s">
        <v>1944</v>
      </c>
      <c r="G1220" t="s">
        <v>586</v>
      </c>
      <c r="H1220" t="str">
        <f t="shared" si="38"/>
        <v>https://videplast.com.br/consulta-imobilizado?id=22004485&amp;nome=CAMISA%20PONTE%20CARRIER%20CARBO%20BRIDGE%20SIDE%20213,384%20MM</v>
      </c>
      <c r="I1220" t="e">
        <f t="shared" ca="1" si="39"/>
        <v>#NAME?</v>
      </c>
    </row>
    <row r="1221" spans="1:9" x14ac:dyDescent="0.25">
      <c r="A1221" s="2" t="s">
        <v>1945</v>
      </c>
      <c r="B1221" s="2" t="s">
        <v>10</v>
      </c>
      <c r="C1221" s="3">
        <v>45379</v>
      </c>
      <c r="D1221" t="s">
        <v>1937</v>
      </c>
      <c r="E1221" s="2" t="s">
        <v>12</v>
      </c>
      <c r="F1221" s="2" t="s">
        <v>1946</v>
      </c>
      <c r="G1221" t="s">
        <v>586</v>
      </c>
      <c r="H1221" t="str">
        <f t="shared" si="38"/>
        <v>https://videplast.com.br/consulta-imobilizado?id=22004486&amp;nome=CAMISA%20PONTE%20CARRIER%20CARBO%20BRIDGE%20SIDE%20213,384%20MM</v>
      </c>
      <c r="I1221" t="e">
        <f t="shared" ca="1" si="39"/>
        <v>#NAME?</v>
      </c>
    </row>
    <row r="1222" spans="1:9" x14ac:dyDescent="0.25">
      <c r="A1222" s="2" t="s">
        <v>1947</v>
      </c>
      <c r="B1222" s="2" t="s">
        <v>10</v>
      </c>
      <c r="C1222" s="3">
        <v>45379</v>
      </c>
      <c r="D1222" t="s">
        <v>1937</v>
      </c>
      <c r="E1222" s="2" t="s">
        <v>12</v>
      </c>
      <c r="F1222" s="2" t="s">
        <v>1948</v>
      </c>
      <c r="G1222" t="s">
        <v>586</v>
      </c>
      <c r="H1222" t="str">
        <f t="shared" si="38"/>
        <v>https://videplast.com.br/consulta-imobilizado?id=22004487&amp;nome=CAMISA%20PONTE%20CARRIER%20CARBO%20BRIDGE%20SIDE%20213,384%20MM</v>
      </c>
      <c r="I1222" t="e">
        <f t="shared" ca="1" si="39"/>
        <v>#NAME?</v>
      </c>
    </row>
    <row r="1223" spans="1:9" x14ac:dyDescent="0.25">
      <c r="A1223" s="2" t="s">
        <v>1949</v>
      </c>
      <c r="B1223" s="2" t="s">
        <v>10</v>
      </c>
      <c r="C1223" s="3">
        <v>45379</v>
      </c>
      <c r="D1223" t="s">
        <v>1937</v>
      </c>
      <c r="E1223" s="2" t="s">
        <v>12</v>
      </c>
      <c r="F1223" s="2" t="s">
        <v>1950</v>
      </c>
      <c r="G1223" t="s">
        <v>586</v>
      </c>
      <c r="H1223" t="str">
        <f t="shared" si="38"/>
        <v>https://videplast.com.br/consulta-imobilizado?id=22004488&amp;nome=CAMISA%20PONTE%20CARRIER%20CARBO%20BRIDGE%20SIDE%20213,384%20MM</v>
      </c>
      <c r="I1223" t="e">
        <f t="shared" ca="1" si="39"/>
        <v>#NAME?</v>
      </c>
    </row>
    <row r="1224" spans="1:9" x14ac:dyDescent="0.25">
      <c r="A1224" s="2" t="s">
        <v>1951</v>
      </c>
      <c r="B1224" s="2" t="s">
        <v>10</v>
      </c>
      <c r="C1224" s="3">
        <v>45379</v>
      </c>
      <c r="D1224" t="s">
        <v>1937</v>
      </c>
      <c r="E1224" s="2" t="s">
        <v>12</v>
      </c>
      <c r="F1224" s="2" t="s">
        <v>1952</v>
      </c>
      <c r="G1224" t="s">
        <v>586</v>
      </c>
      <c r="H1224" t="str">
        <f t="shared" si="38"/>
        <v>https://videplast.com.br/consulta-imobilizado?id=22004489&amp;nome=CAMISA%20PONTE%20CARRIER%20CARBO%20BRIDGE%20SIDE%20213,384%20MM</v>
      </c>
      <c r="I1224" t="e">
        <f t="shared" ca="1" si="39"/>
        <v>#NAME?</v>
      </c>
    </row>
    <row r="1225" spans="1:9" x14ac:dyDescent="0.25">
      <c r="A1225" s="2" t="s">
        <v>1953</v>
      </c>
      <c r="B1225" s="2" t="s">
        <v>10</v>
      </c>
      <c r="C1225" s="3">
        <v>45379</v>
      </c>
      <c r="D1225" t="s">
        <v>1954</v>
      </c>
      <c r="E1225" s="2" t="s">
        <v>12</v>
      </c>
      <c r="F1225" s="2" t="s">
        <v>1955</v>
      </c>
      <c r="G1225" t="s">
        <v>586</v>
      </c>
      <c r="H1225" t="str">
        <f t="shared" si="38"/>
        <v>https://videplast.com.br/consulta-imobilizado?id=22004490&amp;nome=CAMISA%20PONTE%20CARRIER%20STAT%20STANDARD%20152,905</v>
      </c>
      <c r="I1225" t="e">
        <f t="shared" ca="1" si="39"/>
        <v>#NAME?</v>
      </c>
    </row>
    <row r="1226" spans="1:9" x14ac:dyDescent="0.25">
      <c r="A1226" s="2" t="s">
        <v>1956</v>
      </c>
      <c r="B1226" s="2" t="s">
        <v>10</v>
      </c>
      <c r="C1226" s="3">
        <v>45590</v>
      </c>
      <c r="D1226" t="s">
        <v>1957</v>
      </c>
      <c r="E1226" s="2" t="s">
        <v>1958</v>
      </c>
      <c r="F1226" s="2" t="s">
        <v>1959</v>
      </c>
      <c r="G1226" t="s">
        <v>586</v>
      </c>
      <c r="H1226" t="str">
        <f t="shared" si="38"/>
        <v>https://videplast.com.br/consulta-imobilizado?id=22004710&amp;nome=CAMISA%20ANILOX%20EVERSTAT%20LIGHT%20SLEEVE%20470%20146,32X111</v>
      </c>
      <c r="I1226" t="e">
        <f t="shared" ca="1" si="39"/>
        <v>#NAME?</v>
      </c>
    </row>
    <row r="1227" spans="1:9" x14ac:dyDescent="0.25">
      <c r="A1227" s="2" t="s">
        <v>1960</v>
      </c>
      <c r="B1227" s="2" t="s">
        <v>10</v>
      </c>
      <c r="C1227" s="3">
        <v>45646</v>
      </c>
      <c r="D1227" t="s">
        <v>1961</v>
      </c>
      <c r="E1227" s="2" t="s">
        <v>1962</v>
      </c>
      <c r="F1227" s="2" t="s">
        <v>1963</v>
      </c>
      <c r="G1227" t="s">
        <v>586</v>
      </c>
      <c r="H1227" t="str">
        <f t="shared" si="38"/>
        <v>https://videplast.com.br/consulta-imobilizado?id=22004711&amp;nome=CAMISA%20ANILOX%20EVERSTAT%20LIGHT%20SLEEVE%20510%20159,15X152</v>
      </c>
      <c r="I1227" t="e">
        <f t="shared" ca="1" si="39"/>
        <v>#NAME?</v>
      </c>
    </row>
    <row r="1228" spans="1:9" x14ac:dyDescent="0.25">
      <c r="A1228" s="2" t="s">
        <v>1960</v>
      </c>
      <c r="B1228" s="2" t="s">
        <v>26</v>
      </c>
      <c r="C1228" s="3">
        <v>45646</v>
      </c>
      <c r="D1228" t="s">
        <v>1964</v>
      </c>
      <c r="E1228" s="2" t="s">
        <v>12</v>
      </c>
      <c r="F1228" s="2" t="s">
        <v>12</v>
      </c>
      <c r="G1228" t="s">
        <v>586</v>
      </c>
      <c r="H1228" t="str">
        <f t="shared" si="38"/>
        <v>https://videplast.com.br/consulta-imobilizado?id=22004711&amp;nome=FRETE%20CAMISA%20ANILOX</v>
      </c>
      <c r="I1228" t="e">
        <f t="shared" ca="1" si="39"/>
        <v>#NAME?</v>
      </c>
    </row>
    <row r="1229" spans="1:9" x14ac:dyDescent="0.25">
      <c r="A1229" s="2" t="s">
        <v>1965</v>
      </c>
      <c r="B1229" s="2" t="s">
        <v>10</v>
      </c>
      <c r="C1229" s="3">
        <v>45590</v>
      </c>
      <c r="D1229" t="s">
        <v>1961</v>
      </c>
      <c r="E1229" s="2" t="s">
        <v>1966</v>
      </c>
      <c r="F1229" s="2" t="s">
        <v>1967</v>
      </c>
      <c r="G1229" t="s">
        <v>586</v>
      </c>
      <c r="H1229" t="str">
        <f t="shared" si="38"/>
        <v>https://videplast.com.br/consulta-imobilizado?id=22004712&amp;nome=CAMISA%20ANILOX%20EVERSTAT%20LIGHT%20SLEEVE%20510%20159,15X152</v>
      </c>
      <c r="I1229" t="e">
        <f t="shared" ca="1" si="39"/>
        <v>#NAME?</v>
      </c>
    </row>
    <row r="1230" spans="1:9" x14ac:dyDescent="0.25">
      <c r="A1230" s="2" t="s">
        <v>1968</v>
      </c>
      <c r="B1230" s="2" t="s">
        <v>10</v>
      </c>
      <c r="C1230" s="3">
        <v>45590</v>
      </c>
      <c r="D1230" t="s">
        <v>1961</v>
      </c>
      <c r="E1230" s="2" t="s">
        <v>1969</v>
      </c>
      <c r="F1230" s="2" t="s">
        <v>1970</v>
      </c>
      <c r="G1230" t="s">
        <v>586</v>
      </c>
      <c r="H1230" t="str">
        <f t="shared" si="38"/>
        <v>https://videplast.com.br/consulta-imobilizado?id=22004713&amp;nome=CAMISA%20ANILOX%20EVERSTAT%20LIGHT%20SLEEVE%20510%20159,15X152</v>
      </c>
      <c r="I1230" t="e">
        <f t="shared" ca="1" si="39"/>
        <v>#NAME?</v>
      </c>
    </row>
    <row r="1231" spans="1:9" x14ac:dyDescent="0.25">
      <c r="A1231" s="2" t="s">
        <v>1971</v>
      </c>
      <c r="B1231" s="2" t="s">
        <v>10</v>
      </c>
      <c r="C1231" s="3">
        <v>45590</v>
      </c>
      <c r="D1231" t="s">
        <v>1961</v>
      </c>
      <c r="E1231" s="2" t="s">
        <v>1972</v>
      </c>
      <c r="F1231" s="2" t="s">
        <v>1973</v>
      </c>
      <c r="G1231" t="s">
        <v>586</v>
      </c>
      <c r="H1231" t="str">
        <f t="shared" si="38"/>
        <v>https://videplast.com.br/consulta-imobilizado?id=22004714&amp;nome=CAMISA%20ANILOX%20EVERSTAT%20LIGHT%20SLEEVE%20510%20159,15X152</v>
      </c>
      <c r="I1231" t="e">
        <f t="shared" ca="1" si="39"/>
        <v>#NAME?</v>
      </c>
    </row>
    <row r="1232" spans="1:9" x14ac:dyDescent="0.25">
      <c r="A1232" s="2" t="s">
        <v>1974</v>
      </c>
      <c r="B1232" s="2" t="s">
        <v>10</v>
      </c>
      <c r="C1232" s="3">
        <v>45590</v>
      </c>
      <c r="D1232" t="s">
        <v>1975</v>
      </c>
      <c r="E1232" s="2" t="s">
        <v>1976</v>
      </c>
      <c r="F1232" s="2" t="s">
        <v>1977</v>
      </c>
      <c r="G1232" t="s">
        <v>586</v>
      </c>
      <c r="H1232" t="str">
        <f t="shared" si="38"/>
        <v>https://videplast.com.br/consulta-imobilizado?id=22004715&amp;nome=CAMISA%20ANILOX%20EVERSTAT%20LIGHT%20SLEEVE%20660%20206,90X152</v>
      </c>
      <c r="I1232" t="e">
        <f t="shared" ca="1" si="39"/>
        <v>#NAME?</v>
      </c>
    </row>
    <row r="1233" spans="1:9" x14ac:dyDescent="0.25">
      <c r="A1233" s="2" t="s">
        <v>1978</v>
      </c>
      <c r="B1233" s="2" t="s">
        <v>10</v>
      </c>
      <c r="C1233" s="3">
        <v>45590</v>
      </c>
      <c r="D1233" t="s">
        <v>1975</v>
      </c>
      <c r="E1233" s="2" t="s">
        <v>1979</v>
      </c>
      <c r="F1233" s="2" t="s">
        <v>1980</v>
      </c>
      <c r="G1233" t="s">
        <v>586</v>
      </c>
      <c r="H1233" t="str">
        <f t="shared" si="38"/>
        <v>https://videplast.com.br/consulta-imobilizado?id=22004716&amp;nome=CAMISA%20ANILOX%20EVERSTAT%20LIGHT%20SLEEVE%20660%20206,90X152</v>
      </c>
      <c r="I1233" t="e">
        <f t="shared" ca="1" si="39"/>
        <v>#NAME?</v>
      </c>
    </row>
    <row r="1234" spans="1:9" x14ac:dyDescent="0.25">
      <c r="A1234" s="2" t="s">
        <v>1981</v>
      </c>
      <c r="B1234" s="2" t="s">
        <v>10</v>
      </c>
      <c r="C1234" s="3">
        <v>45590</v>
      </c>
      <c r="D1234" t="s">
        <v>1961</v>
      </c>
      <c r="E1234" s="2" t="s">
        <v>1982</v>
      </c>
      <c r="F1234" s="2" t="s">
        <v>1983</v>
      </c>
      <c r="G1234" t="s">
        <v>586</v>
      </c>
      <c r="H1234" t="str">
        <f t="shared" si="38"/>
        <v>https://videplast.com.br/consulta-imobilizado?id=22004717&amp;nome=CAMISA%20ANILOX%20EVERSTAT%20LIGHT%20SLEEVE%20510%20159,15X152</v>
      </c>
      <c r="I1234" t="e">
        <f t="shared" ca="1" si="39"/>
        <v>#NAME?</v>
      </c>
    </row>
    <row r="1235" spans="1:9" x14ac:dyDescent="0.25">
      <c r="A1235" s="2" t="s">
        <v>1984</v>
      </c>
      <c r="B1235" s="2" t="s">
        <v>10</v>
      </c>
      <c r="C1235" s="3">
        <v>45590</v>
      </c>
      <c r="D1235" t="s">
        <v>1985</v>
      </c>
      <c r="E1235" s="2" t="s">
        <v>1986</v>
      </c>
      <c r="F1235" s="2" t="s">
        <v>1987</v>
      </c>
      <c r="G1235" t="s">
        <v>586</v>
      </c>
      <c r="H1235" t="str">
        <f t="shared" si="38"/>
        <v>https://videplast.com.br/consulta-imobilizado?id=22004718&amp;nome=CAMISA%20ANILOX%20EVERSTAT%20LIGHT%20SLEEVE%20460%20143,14X121</v>
      </c>
      <c r="I1235" t="e">
        <f t="shared" ca="1" si="39"/>
        <v>#NAME?</v>
      </c>
    </row>
    <row r="1236" spans="1:9" x14ac:dyDescent="0.25">
      <c r="A1236" s="2" t="s">
        <v>1988</v>
      </c>
      <c r="B1236" s="2" t="s">
        <v>10</v>
      </c>
      <c r="C1236" s="3">
        <v>45590</v>
      </c>
      <c r="D1236" t="s">
        <v>1985</v>
      </c>
      <c r="E1236" s="2" t="s">
        <v>1989</v>
      </c>
      <c r="F1236" s="2" t="s">
        <v>1990</v>
      </c>
      <c r="G1236" t="s">
        <v>586</v>
      </c>
      <c r="H1236" t="str">
        <f t="shared" si="38"/>
        <v>https://videplast.com.br/consulta-imobilizado?id=22004719&amp;nome=CAMISA%20ANILOX%20EVERSTAT%20LIGHT%20SLEEVE%20460%20143,14X121</v>
      </c>
      <c r="I1236" t="e">
        <f t="shared" ca="1" si="39"/>
        <v>#NAME?</v>
      </c>
    </row>
    <row r="1237" spans="1:9" x14ac:dyDescent="0.25">
      <c r="A1237" s="2" t="s">
        <v>1991</v>
      </c>
      <c r="B1237" s="2" t="s">
        <v>10</v>
      </c>
      <c r="C1237" s="3">
        <v>45590</v>
      </c>
      <c r="D1237" t="s">
        <v>1961</v>
      </c>
      <c r="E1237" s="2" t="s">
        <v>1992</v>
      </c>
      <c r="F1237" s="2" t="s">
        <v>1993</v>
      </c>
      <c r="G1237" t="s">
        <v>586</v>
      </c>
      <c r="H1237" t="str">
        <f t="shared" si="38"/>
        <v>https://videplast.com.br/consulta-imobilizado?id=22004720&amp;nome=CAMISA%20ANILOX%20EVERSTAT%20LIGHT%20SLEEVE%20510%20159,15X152</v>
      </c>
      <c r="I1237" t="e">
        <f t="shared" ca="1" si="39"/>
        <v>#NAME?</v>
      </c>
    </row>
    <row r="1238" spans="1:9" x14ac:dyDescent="0.25">
      <c r="A1238" s="2" t="s">
        <v>1994</v>
      </c>
      <c r="B1238" s="2" t="s">
        <v>10</v>
      </c>
      <c r="C1238" s="3">
        <v>45590</v>
      </c>
      <c r="D1238" t="s">
        <v>1985</v>
      </c>
      <c r="E1238" s="2" t="s">
        <v>1995</v>
      </c>
      <c r="F1238" s="2" t="s">
        <v>1996</v>
      </c>
      <c r="G1238" t="s">
        <v>586</v>
      </c>
      <c r="H1238" t="str">
        <f t="shared" si="38"/>
        <v>https://videplast.com.br/consulta-imobilizado?id=22004721&amp;nome=CAMISA%20ANILOX%20EVERSTAT%20LIGHT%20SLEEVE%20460%20143,14X121</v>
      </c>
      <c r="I1238" t="e">
        <f t="shared" ca="1" si="39"/>
        <v>#NAME?</v>
      </c>
    </row>
    <row r="1239" spans="1:9" x14ac:dyDescent="0.25">
      <c r="A1239" s="2" t="s">
        <v>1997</v>
      </c>
      <c r="B1239" s="2" t="s">
        <v>10</v>
      </c>
      <c r="C1239" s="3">
        <v>45590</v>
      </c>
      <c r="D1239" t="s">
        <v>1961</v>
      </c>
      <c r="E1239" s="2" t="s">
        <v>1998</v>
      </c>
      <c r="F1239" s="2" t="s">
        <v>1999</v>
      </c>
      <c r="G1239" t="s">
        <v>586</v>
      </c>
      <c r="H1239" t="str">
        <f t="shared" si="38"/>
        <v>https://videplast.com.br/consulta-imobilizado?id=22004722&amp;nome=CAMISA%20ANILOX%20EVERSTAT%20LIGHT%20SLEEVE%20510%20159,15X152</v>
      </c>
      <c r="I1239" t="e">
        <f t="shared" ca="1" si="39"/>
        <v>#NAME?</v>
      </c>
    </row>
    <row r="1240" spans="1:9" x14ac:dyDescent="0.25">
      <c r="A1240" s="2" t="s">
        <v>2000</v>
      </c>
      <c r="B1240" s="2" t="s">
        <v>10</v>
      </c>
      <c r="C1240" s="3">
        <v>45590</v>
      </c>
      <c r="D1240" t="s">
        <v>2001</v>
      </c>
      <c r="E1240" s="2" t="s">
        <v>2002</v>
      </c>
      <c r="F1240" s="2" t="s">
        <v>2003</v>
      </c>
      <c r="G1240" t="s">
        <v>586</v>
      </c>
      <c r="H1240" t="str">
        <f t="shared" si="38"/>
        <v>https://videplast.com.br/consulta-imobilizado?id=22004723&amp;nome=CAMISA%20ANILOX%20EVERSTAT%20LIGHT%20SLEEVE%20680%20213,27X152</v>
      </c>
      <c r="I1240" t="e">
        <f t="shared" ca="1" si="39"/>
        <v>#NAME?</v>
      </c>
    </row>
    <row r="1241" spans="1:9" x14ac:dyDescent="0.25">
      <c r="A1241" s="2" t="s">
        <v>2004</v>
      </c>
      <c r="B1241" s="2" t="s">
        <v>10</v>
      </c>
      <c r="C1241" s="3">
        <v>45590</v>
      </c>
      <c r="D1241" t="s">
        <v>1985</v>
      </c>
      <c r="E1241" s="2" t="s">
        <v>2005</v>
      </c>
      <c r="F1241" s="2" t="s">
        <v>2006</v>
      </c>
      <c r="G1241" t="s">
        <v>586</v>
      </c>
      <c r="H1241" t="str">
        <f t="shared" si="38"/>
        <v>https://videplast.com.br/consulta-imobilizado?id=22004724&amp;nome=CAMISA%20ANILOX%20EVERSTAT%20LIGHT%20SLEEVE%20460%20143,14X121</v>
      </c>
      <c r="I1241" t="e">
        <f t="shared" ca="1" si="39"/>
        <v>#NAME?</v>
      </c>
    </row>
    <row r="1242" spans="1:9" x14ac:dyDescent="0.25">
      <c r="A1242" s="2" t="s">
        <v>2007</v>
      </c>
      <c r="B1242" s="2" t="s">
        <v>10</v>
      </c>
      <c r="C1242" s="3">
        <v>45590</v>
      </c>
      <c r="D1242" t="s">
        <v>2001</v>
      </c>
      <c r="E1242" s="2" t="s">
        <v>2008</v>
      </c>
      <c r="F1242" s="2" t="s">
        <v>2009</v>
      </c>
      <c r="G1242" t="s">
        <v>586</v>
      </c>
      <c r="H1242" t="str">
        <f t="shared" si="38"/>
        <v>https://videplast.com.br/consulta-imobilizado?id=22004725&amp;nome=CAMISA%20ANILOX%20EVERSTAT%20LIGHT%20SLEEVE%20680%20213,27X152</v>
      </c>
      <c r="I1242" t="e">
        <f t="shared" ca="1" si="39"/>
        <v>#NAME?</v>
      </c>
    </row>
    <row r="1243" spans="1:9" x14ac:dyDescent="0.25">
      <c r="A1243" s="2" t="s">
        <v>2010</v>
      </c>
      <c r="B1243" s="2" t="s">
        <v>10</v>
      </c>
      <c r="C1243" s="3">
        <v>45590</v>
      </c>
      <c r="D1243" t="s">
        <v>1985</v>
      </c>
      <c r="E1243" s="2" t="s">
        <v>2011</v>
      </c>
      <c r="F1243" s="2" t="s">
        <v>2012</v>
      </c>
      <c r="G1243" t="s">
        <v>586</v>
      </c>
      <c r="H1243" t="str">
        <f t="shared" si="38"/>
        <v>https://videplast.com.br/consulta-imobilizado?id=22004726&amp;nome=CAMISA%20ANILOX%20EVERSTAT%20LIGHT%20SLEEVE%20460%20143,14X121</v>
      </c>
      <c r="I1243" t="e">
        <f t="shared" ca="1" si="39"/>
        <v>#NAME?</v>
      </c>
    </row>
    <row r="1244" spans="1:9" x14ac:dyDescent="0.25">
      <c r="A1244" s="2" t="s">
        <v>2013</v>
      </c>
      <c r="B1244" s="2" t="s">
        <v>10</v>
      </c>
      <c r="C1244" s="3">
        <v>45590</v>
      </c>
      <c r="D1244" t="s">
        <v>2001</v>
      </c>
      <c r="E1244" s="2" t="s">
        <v>2014</v>
      </c>
      <c r="F1244" s="2" t="s">
        <v>2015</v>
      </c>
      <c r="G1244" t="s">
        <v>586</v>
      </c>
      <c r="H1244" t="str">
        <f t="shared" si="38"/>
        <v>https://videplast.com.br/consulta-imobilizado?id=22004727&amp;nome=CAMISA%20ANILOX%20EVERSTAT%20LIGHT%20SLEEVE%20680%20213,27X152</v>
      </c>
      <c r="I1244" t="e">
        <f t="shared" ca="1" si="39"/>
        <v>#NAME?</v>
      </c>
    </row>
    <row r="1245" spans="1:9" x14ac:dyDescent="0.25">
      <c r="A1245" s="2" t="s">
        <v>2016</v>
      </c>
      <c r="B1245" s="2" t="s">
        <v>10</v>
      </c>
      <c r="C1245" s="3">
        <v>45590</v>
      </c>
      <c r="D1245" t="s">
        <v>1985</v>
      </c>
      <c r="E1245" s="2" t="s">
        <v>2017</v>
      </c>
      <c r="F1245" s="2" t="s">
        <v>2018</v>
      </c>
      <c r="G1245" t="s">
        <v>586</v>
      </c>
      <c r="H1245" t="str">
        <f t="shared" si="38"/>
        <v>https://videplast.com.br/consulta-imobilizado?id=22004728&amp;nome=CAMISA%20ANILOX%20EVERSTAT%20LIGHT%20SLEEVE%20460%20143,14X121</v>
      </c>
      <c r="I1245" t="e">
        <f t="shared" ca="1" si="39"/>
        <v>#NAME?</v>
      </c>
    </row>
    <row r="1246" spans="1:9" x14ac:dyDescent="0.25">
      <c r="A1246" s="2" t="s">
        <v>2019</v>
      </c>
      <c r="B1246" s="2" t="s">
        <v>10</v>
      </c>
      <c r="C1246" s="3">
        <v>45590</v>
      </c>
      <c r="D1246" t="s">
        <v>2001</v>
      </c>
      <c r="E1246" s="2" t="s">
        <v>2020</v>
      </c>
      <c r="F1246" s="2" t="s">
        <v>2021</v>
      </c>
      <c r="G1246" t="s">
        <v>586</v>
      </c>
      <c r="H1246" t="str">
        <f t="shared" si="38"/>
        <v>https://videplast.com.br/consulta-imobilizado?id=22004729&amp;nome=CAMISA%20ANILOX%20EVERSTAT%20LIGHT%20SLEEVE%20680%20213,27X152</v>
      </c>
      <c r="I1246" t="e">
        <f t="shared" ca="1" si="39"/>
        <v>#NAME?</v>
      </c>
    </row>
    <row r="1247" spans="1:9" x14ac:dyDescent="0.25">
      <c r="A1247" s="2" t="s">
        <v>2022</v>
      </c>
      <c r="B1247" s="2" t="s">
        <v>10</v>
      </c>
      <c r="C1247" s="3">
        <v>45590</v>
      </c>
      <c r="D1247" t="s">
        <v>1961</v>
      </c>
      <c r="E1247" s="2" t="s">
        <v>2023</v>
      </c>
      <c r="F1247" s="2" t="s">
        <v>2024</v>
      </c>
      <c r="G1247" t="s">
        <v>586</v>
      </c>
      <c r="H1247" t="str">
        <f t="shared" si="38"/>
        <v>https://videplast.com.br/consulta-imobilizado?id=22004730&amp;nome=CAMISA%20ANILOX%20EVERSTAT%20LIGHT%20SLEEVE%20510%20159,15X152</v>
      </c>
      <c r="I1247" t="e">
        <f t="shared" ca="1" si="39"/>
        <v>#NAME?</v>
      </c>
    </row>
    <row r="1248" spans="1:9" x14ac:dyDescent="0.25">
      <c r="A1248" s="2" t="s">
        <v>2025</v>
      </c>
      <c r="B1248" s="2" t="s">
        <v>10</v>
      </c>
      <c r="C1248" s="3">
        <v>45590</v>
      </c>
      <c r="D1248" t="s">
        <v>2001</v>
      </c>
      <c r="E1248" s="2" t="s">
        <v>2026</v>
      </c>
      <c r="F1248" s="2" t="s">
        <v>2027</v>
      </c>
      <c r="G1248" t="s">
        <v>586</v>
      </c>
      <c r="H1248" t="str">
        <f t="shared" si="38"/>
        <v>https://videplast.com.br/consulta-imobilizado?id=22004731&amp;nome=CAMISA%20ANILOX%20EVERSTAT%20LIGHT%20SLEEVE%20680%20213,27X152</v>
      </c>
      <c r="I1248" t="e">
        <f t="shared" ca="1" si="39"/>
        <v>#NAME?</v>
      </c>
    </row>
    <row r="1249" spans="1:9" x14ac:dyDescent="0.25">
      <c r="A1249" s="2" t="s">
        <v>2028</v>
      </c>
      <c r="B1249" s="2" t="s">
        <v>10</v>
      </c>
      <c r="C1249" s="3">
        <v>45590</v>
      </c>
      <c r="D1249" t="s">
        <v>1985</v>
      </c>
      <c r="E1249" s="2" t="s">
        <v>2029</v>
      </c>
      <c r="F1249" s="2" t="s">
        <v>2030</v>
      </c>
      <c r="G1249" t="s">
        <v>586</v>
      </c>
      <c r="H1249" t="str">
        <f t="shared" si="38"/>
        <v>https://videplast.com.br/consulta-imobilizado?id=22004732&amp;nome=CAMISA%20ANILOX%20EVERSTAT%20LIGHT%20SLEEVE%20460%20143,14X121</v>
      </c>
      <c r="I1249" t="e">
        <f t="shared" ca="1" si="39"/>
        <v>#NAME?</v>
      </c>
    </row>
    <row r="1250" spans="1:9" x14ac:dyDescent="0.25">
      <c r="A1250" s="2" t="s">
        <v>2031</v>
      </c>
      <c r="B1250" s="2" t="s">
        <v>10</v>
      </c>
      <c r="C1250" s="3">
        <v>45590</v>
      </c>
      <c r="D1250" t="s">
        <v>2001</v>
      </c>
      <c r="E1250" s="2" t="s">
        <v>2032</v>
      </c>
      <c r="F1250" s="2" t="s">
        <v>2033</v>
      </c>
      <c r="G1250" t="s">
        <v>586</v>
      </c>
      <c r="H1250" t="str">
        <f t="shared" si="38"/>
        <v>https://videplast.com.br/consulta-imobilizado?id=22004733&amp;nome=CAMISA%20ANILOX%20EVERSTAT%20LIGHT%20SLEEVE%20680%20213,27X152</v>
      </c>
      <c r="I1250" t="e">
        <f t="shared" ca="1" si="39"/>
        <v>#NAME?</v>
      </c>
    </row>
    <row r="1251" spans="1:9" x14ac:dyDescent="0.25">
      <c r="A1251" s="2" t="s">
        <v>2034</v>
      </c>
      <c r="B1251" s="2" t="s">
        <v>10</v>
      </c>
      <c r="C1251" s="3">
        <v>45590</v>
      </c>
      <c r="D1251" t="s">
        <v>1985</v>
      </c>
      <c r="E1251" s="2" t="s">
        <v>2035</v>
      </c>
      <c r="F1251" s="2" t="s">
        <v>2036</v>
      </c>
      <c r="G1251" t="s">
        <v>586</v>
      </c>
      <c r="H1251" t="str">
        <f t="shared" si="38"/>
        <v>https://videplast.com.br/consulta-imobilizado?id=22004734&amp;nome=CAMISA%20ANILOX%20EVERSTAT%20LIGHT%20SLEEVE%20460%20143,14X121</v>
      </c>
      <c r="I1251" t="e">
        <f t="shared" ca="1" si="39"/>
        <v>#NAME?</v>
      </c>
    </row>
    <row r="1252" spans="1:9" x14ac:dyDescent="0.25">
      <c r="A1252" s="2" t="s">
        <v>2037</v>
      </c>
      <c r="B1252" s="2" t="s">
        <v>10</v>
      </c>
      <c r="C1252" s="3">
        <v>45590</v>
      </c>
      <c r="D1252" t="s">
        <v>2001</v>
      </c>
      <c r="E1252" s="2" t="s">
        <v>2038</v>
      </c>
      <c r="F1252" s="2" t="s">
        <v>2039</v>
      </c>
      <c r="G1252" t="s">
        <v>586</v>
      </c>
      <c r="H1252" t="str">
        <f t="shared" si="38"/>
        <v>https://videplast.com.br/consulta-imobilizado?id=22004735&amp;nome=CAMISA%20ANILOX%20EVERSTAT%20LIGHT%20SLEEVE%20680%20213,27X152</v>
      </c>
      <c r="I1252" t="e">
        <f t="shared" ca="1" si="39"/>
        <v>#NAME?</v>
      </c>
    </row>
    <row r="1253" spans="1:9" x14ac:dyDescent="0.25">
      <c r="A1253" s="2" t="s">
        <v>2040</v>
      </c>
      <c r="B1253" s="2" t="s">
        <v>10</v>
      </c>
      <c r="C1253" s="3">
        <v>45590</v>
      </c>
      <c r="D1253" t="s">
        <v>2001</v>
      </c>
      <c r="E1253" s="2" t="s">
        <v>2041</v>
      </c>
      <c r="F1253" s="2" t="s">
        <v>2042</v>
      </c>
      <c r="G1253" t="s">
        <v>586</v>
      </c>
      <c r="H1253" t="str">
        <f t="shared" si="38"/>
        <v>https://videplast.com.br/consulta-imobilizado?id=22004736&amp;nome=CAMISA%20ANILOX%20EVERSTAT%20LIGHT%20SLEEVE%20680%20213,27X152</v>
      </c>
      <c r="I1253" t="e">
        <f t="shared" ca="1" si="39"/>
        <v>#NAME?</v>
      </c>
    </row>
    <row r="1254" spans="1:9" x14ac:dyDescent="0.25">
      <c r="A1254" s="2" t="s">
        <v>2043</v>
      </c>
      <c r="B1254" s="2" t="s">
        <v>10</v>
      </c>
      <c r="C1254" s="3">
        <v>45590</v>
      </c>
      <c r="D1254" t="s">
        <v>2044</v>
      </c>
      <c r="E1254" s="2" t="s">
        <v>12</v>
      </c>
      <c r="F1254" s="2" t="s">
        <v>12</v>
      </c>
      <c r="G1254" t="s">
        <v>586</v>
      </c>
      <c r="H1254" t="str">
        <f t="shared" si="38"/>
        <v>https://videplast.com.br/consulta-imobilizado?id=22004737&amp;nome=CAMISA%20ANILOX%20EVERSTAT%20LIGHT%20SLEEVE</v>
      </c>
      <c r="I1254" t="e">
        <f t="shared" ca="1" si="39"/>
        <v>#NAME?</v>
      </c>
    </row>
    <row r="1255" spans="1:9" x14ac:dyDescent="0.25">
      <c r="A1255" s="2" t="s">
        <v>2045</v>
      </c>
      <c r="B1255" s="2" t="s">
        <v>10</v>
      </c>
      <c r="C1255" s="3">
        <v>45499</v>
      </c>
      <c r="D1255" t="s">
        <v>2046</v>
      </c>
      <c r="E1255" s="2" t="s">
        <v>12</v>
      </c>
      <c r="F1255" s="2" t="s">
        <v>2047</v>
      </c>
      <c r="G1255" t="s">
        <v>586</v>
      </c>
      <c r="H1255" t="str">
        <f t="shared" si="38"/>
        <v>https://videplast.com.br/consulta-imobilizado?id=22004738&amp;nome=CAMISA%20ANILOX%20GTT%20M1</v>
      </c>
      <c r="I1255" t="e">
        <f t="shared" ca="1" si="39"/>
        <v>#NAME?</v>
      </c>
    </row>
    <row r="1256" spans="1:9" x14ac:dyDescent="0.25">
      <c r="A1256" s="2" t="s">
        <v>2048</v>
      </c>
      <c r="B1256" s="2" t="s">
        <v>10</v>
      </c>
      <c r="C1256" s="3">
        <v>45499</v>
      </c>
      <c r="D1256" t="s">
        <v>2049</v>
      </c>
      <c r="E1256" s="2" t="s">
        <v>12</v>
      </c>
      <c r="F1256" s="2" t="s">
        <v>2050</v>
      </c>
      <c r="G1256" t="s">
        <v>586</v>
      </c>
      <c r="H1256" t="str">
        <f t="shared" si="38"/>
        <v>https://videplast.com.br/consulta-imobilizado?id=22004869&amp;nome=CAMISA%20ANILOX%20FISCHER%20E%20KRECKE%201300</v>
      </c>
      <c r="I1256" t="e">
        <f t="shared" ca="1" si="39"/>
        <v>#NAME?</v>
      </c>
    </row>
    <row r="1257" spans="1:9" x14ac:dyDescent="0.25">
      <c r="A1257" s="2" t="s">
        <v>2051</v>
      </c>
      <c r="B1257" s="2" t="s">
        <v>10</v>
      </c>
      <c r="C1257" s="3">
        <v>45499</v>
      </c>
      <c r="D1257" t="s">
        <v>2049</v>
      </c>
      <c r="E1257" s="2" t="s">
        <v>12</v>
      </c>
      <c r="F1257" s="2" t="s">
        <v>2052</v>
      </c>
      <c r="G1257" t="s">
        <v>586</v>
      </c>
      <c r="H1257" t="str">
        <f t="shared" si="38"/>
        <v>https://videplast.com.br/consulta-imobilizado?id=22004870&amp;nome=CAMISA%20ANILOX%20FISCHER%20E%20KRECKE%201300</v>
      </c>
      <c r="I1257" t="e">
        <f t="shared" ca="1" si="39"/>
        <v>#NAME?</v>
      </c>
    </row>
    <row r="1258" spans="1:9" x14ac:dyDescent="0.25">
      <c r="A1258" s="2" t="s">
        <v>2053</v>
      </c>
      <c r="B1258" s="2" t="s">
        <v>10</v>
      </c>
      <c r="C1258" s="3">
        <v>45482</v>
      </c>
      <c r="D1258" t="s">
        <v>2049</v>
      </c>
      <c r="E1258" s="2" t="s">
        <v>12</v>
      </c>
      <c r="F1258" s="2" t="s">
        <v>2054</v>
      </c>
      <c r="G1258" t="s">
        <v>586</v>
      </c>
      <c r="H1258" t="str">
        <f t="shared" si="38"/>
        <v>https://videplast.com.br/consulta-imobilizado?id=22004871&amp;nome=CAMISA%20ANILOX%20FISCHER%20E%20KRECKE%201300</v>
      </c>
      <c r="I1258" t="e">
        <f t="shared" ca="1" si="39"/>
        <v>#NAME?</v>
      </c>
    </row>
    <row r="1259" spans="1:9" x14ac:dyDescent="0.25">
      <c r="A1259" s="2" t="s">
        <v>2055</v>
      </c>
      <c r="B1259" s="2" t="s">
        <v>10</v>
      </c>
      <c r="C1259" s="3">
        <v>45516</v>
      </c>
      <c r="D1259" t="s">
        <v>1414</v>
      </c>
      <c r="E1259" s="2" t="s">
        <v>12</v>
      </c>
      <c r="F1259" s="2" t="s">
        <v>12</v>
      </c>
      <c r="G1259" t="s">
        <v>586</v>
      </c>
      <c r="H1259" t="str">
        <f t="shared" si="38"/>
        <v>https://videplast.com.br/consulta-imobilizado?id=22004897&amp;nome=CAMISA%20SLEEVELOX%20ALUMINIO</v>
      </c>
      <c r="I1259" t="e">
        <f t="shared" ca="1" si="39"/>
        <v>#NAME?</v>
      </c>
    </row>
    <row r="1260" spans="1:9" x14ac:dyDescent="0.25">
      <c r="A1260" s="2" t="s">
        <v>2056</v>
      </c>
      <c r="B1260" s="2" t="s">
        <v>10</v>
      </c>
      <c r="C1260" s="3">
        <v>45516</v>
      </c>
      <c r="D1260" t="s">
        <v>1410</v>
      </c>
      <c r="E1260" s="2" t="s">
        <v>12</v>
      </c>
      <c r="F1260" s="2" t="s">
        <v>12</v>
      </c>
      <c r="G1260" t="s">
        <v>586</v>
      </c>
      <c r="H1260" t="str">
        <f t="shared" si="38"/>
        <v>https://videplast.com.br/consulta-imobilizado?id=22004898&amp;nome=CAMISA%20PORTA%20CLICHE%20CARBOFLEX%20STD%20P490</v>
      </c>
      <c r="I1260" t="e">
        <f t="shared" ca="1" si="39"/>
        <v>#NAME?</v>
      </c>
    </row>
    <row r="1261" spans="1:9" x14ac:dyDescent="0.25">
      <c r="A1261" s="2" t="s">
        <v>2057</v>
      </c>
      <c r="B1261" s="2" t="s">
        <v>10</v>
      </c>
      <c r="C1261" s="3">
        <v>45516</v>
      </c>
      <c r="D1261" t="s">
        <v>1214</v>
      </c>
      <c r="E1261" s="2" t="s">
        <v>12</v>
      </c>
      <c r="F1261" s="2" t="s">
        <v>12</v>
      </c>
      <c r="G1261" t="s">
        <v>586</v>
      </c>
      <c r="H1261" t="str">
        <f t="shared" si="38"/>
        <v>https://videplast.com.br/consulta-imobilizado?id=22004901&amp;nome=CAMISA%20LAMIFLEX</v>
      </c>
      <c r="I1261" t="e">
        <f t="shared" ca="1" si="39"/>
        <v>#NAME?</v>
      </c>
    </row>
    <row r="1262" spans="1:9" x14ac:dyDescent="0.25">
      <c r="A1262" s="2" t="s">
        <v>2058</v>
      </c>
      <c r="B1262" s="2" t="s">
        <v>10</v>
      </c>
      <c r="C1262" s="3">
        <v>45516</v>
      </c>
      <c r="D1262" t="s">
        <v>1235</v>
      </c>
      <c r="E1262" s="2" t="s">
        <v>12</v>
      </c>
      <c r="F1262" s="2" t="s">
        <v>12</v>
      </c>
      <c r="G1262" t="s">
        <v>586</v>
      </c>
      <c r="H1262" t="str">
        <f t="shared" si="38"/>
        <v>https://videplast.com.br/consulta-imobilizado?id=22004903&amp;nome=CILINDRO%20CONTRA%20PESSAO</v>
      </c>
      <c r="I1262" t="e">
        <f t="shared" ca="1" si="39"/>
        <v>#NAME?</v>
      </c>
    </row>
    <row r="1263" spans="1:9" x14ac:dyDescent="0.25">
      <c r="A1263" s="2" t="s">
        <v>2059</v>
      </c>
      <c r="B1263" s="2" t="s">
        <v>10</v>
      </c>
      <c r="C1263" s="3">
        <v>45516</v>
      </c>
      <c r="D1263" t="s">
        <v>1275</v>
      </c>
      <c r="E1263" s="2" t="s">
        <v>12</v>
      </c>
      <c r="F1263" s="2" t="s">
        <v>12</v>
      </c>
      <c r="G1263" t="s">
        <v>586</v>
      </c>
      <c r="H1263" t="str">
        <f t="shared" si="38"/>
        <v>https://videplast.com.br/consulta-imobilizado?id=22004904&amp;nome=CILINDRO%20PORTA%20CLICHE%20P%20420</v>
      </c>
      <c r="I1263" t="e">
        <f t="shared" ca="1" si="39"/>
        <v>#NAME?</v>
      </c>
    </row>
    <row r="1264" spans="1:9" x14ac:dyDescent="0.25">
      <c r="A1264" s="2" t="s">
        <v>2060</v>
      </c>
      <c r="B1264" s="2" t="s">
        <v>10</v>
      </c>
      <c r="C1264" s="3">
        <v>45516</v>
      </c>
      <c r="D1264" t="s">
        <v>1278</v>
      </c>
      <c r="E1264" s="2" t="s">
        <v>12</v>
      </c>
      <c r="F1264" s="2" t="s">
        <v>12</v>
      </c>
      <c r="G1264" t="s">
        <v>586</v>
      </c>
      <c r="H1264" t="str">
        <f t="shared" si="38"/>
        <v>https://videplast.com.br/consulta-imobilizado?id=22004905&amp;nome=CILINDRO%20PORTA%20CLICHE%20PASSO%2052</v>
      </c>
      <c r="I1264" t="e">
        <f t="shared" ca="1" si="39"/>
        <v>#NAME?</v>
      </c>
    </row>
    <row r="1265" spans="1:9" x14ac:dyDescent="0.25">
      <c r="A1265" s="2" t="s">
        <v>2061</v>
      </c>
      <c r="B1265" s="2" t="s">
        <v>10</v>
      </c>
      <c r="C1265" s="3">
        <v>45516</v>
      </c>
      <c r="D1265" t="s">
        <v>1300</v>
      </c>
      <c r="E1265" s="2" t="s">
        <v>12</v>
      </c>
      <c r="F1265" s="2" t="s">
        <v>12</v>
      </c>
      <c r="G1265" t="s">
        <v>586</v>
      </c>
      <c r="H1265" t="str">
        <f t="shared" si="38"/>
        <v>https://videplast.com.br/consulta-imobilizado?id=22004906&amp;nome=CILINDRO%20ANILOX%20LASERLIGHT</v>
      </c>
      <c r="I1265" t="e">
        <f t="shared" ca="1" si="39"/>
        <v>#NAME?</v>
      </c>
    </row>
    <row r="1266" spans="1:9" x14ac:dyDescent="0.25">
      <c r="A1266" s="2" t="s">
        <v>2062</v>
      </c>
      <c r="B1266" s="2" t="s">
        <v>10</v>
      </c>
      <c r="C1266" s="3">
        <v>45516</v>
      </c>
      <c r="D1266" t="s">
        <v>1312</v>
      </c>
      <c r="E1266" s="2" t="s">
        <v>12</v>
      </c>
      <c r="F1266" s="2" t="s">
        <v>12</v>
      </c>
      <c r="G1266" t="s">
        <v>586</v>
      </c>
      <c r="H1266" t="str">
        <f t="shared" si="38"/>
        <v>https://videplast.com.br/consulta-imobilizado?id=22004907&amp;nome=CILINDRO%20ANILOX%20UCARLOX</v>
      </c>
      <c r="I1266" t="e">
        <f t="shared" ca="1" si="39"/>
        <v>#NAME?</v>
      </c>
    </row>
    <row r="1267" spans="1:9" x14ac:dyDescent="0.25">
      <c r="A1267" s="2" t="s">
        <v>2063</v>
      </c>
      <c r="B1267" s="2" t="s">
        <v>10</v>
      </c>
      <c r="C1267" s="3">
        <v>45516</v>
      </c>
      <c r="D1267" t="s">
        <v>1231</v>
      </c>
      <c r="E1267" s="2" t="s">
        <v>12</v>
      </c>
      <c r="F1267" s="2" t="s">
        <v>12</v>
      </c>
      <c r="G1267" t="s">
        <v>586</v>
      </c>
      <c r="H1267" t="str">
        <f t="shared" si="38"/>
        <v>https://videplast.com.br/consulta-imobilizado?id=22004908&amp;nome=CILINDROS%20NORGREN%20SEM%20HASTE%20ACAO%20DUPLA%2025X1555MM</v>
      </c>
      <c r="I1267" t="e">
        <f t="shared" ca="1" si="39"/>
        <v>#NAME?</v>
      </c>
    </row>
    <row r="1268" spans="1:9" x14ac:dyDescent="0.25">
      <c r="A1268" s="2" t="s">
        <v>2064</v>
      </c>
      <c r="B1268" s="2" t="s">
        <v>10</v>
      </c>
      <c r="C1268" s="3">
        <v>45516</v>
      </c>
      <c r="D1268" t="s">
        <v>1285</v>
      </c>
      <c r="E1268" s="2" t="s">
        <v>12</v>
      </c>
      <c r="F1268" s="2" t="s">
        <v>12</v>
      </c>
      <c r="G1268" t="s">
        <v>586</v>
      </c>
      <c r="H1268" t="str">
        <f t="shared" si="38"/>
        <v>https://videplast.com.br/consulta-imobilizado?id=22004909&amp;nome=CILINDRO%20PORTA%20CLICHE</v>
      </c>
      <c r="I1268" t="e">
        <f t="shared" ca="1" si="39"/>
        <v>#NAME?</v>
      </c>
    </row>
    <row r="1269" spans="1:9" x14ac:dyDescent="0.25">
      <c r="A1269" s="2" t="s">
        <v>2065</v>
      </c>
      <c r="B1269" s="2" t="s">
        <v>10</v>
      </c>
      <c r="C1269" s="3">
        <v>45516</v>
      </c>
      <c r="D1269" t="s">
        <v>1237</v>
      </c>
      <c r="E1269" s="2" t="s">
        <v>12</v>
      </c>
      <c r="F1269" s="2" t="s">
        <v>12</v>
      </c>
      <c r="G1269" t="s">
        <v>586</v>
      </c>
      <c r="H1269" t="str">
        <f t="shared" si="38"/>
        <v>https://videplast.com.br/consulta-imobilizado?id=22004910&amp;nome=CILINDRO%20PORTA%20CLICHES%20P%2034</v>
      </c>
      <c r="I1269" t="e">
        <f t="shared" ca="1" si="39"/>
        <v>#NAME?</v>
      </c>
    </row>
    <row r="1270" spans="1:9" x14ac:dyDescent="0.25">
      <c r="A1270" s="2" t="s">
        <v>2066</v>
      </c>
      <c r="B1270" s="2" t="s">
        <v>10</v>
      </c>
      <c r="C1270" s="3">
        <v>45516</v>
      </c>
      <c r="D1270" t="s">
        <v>1233</v>
      </c>
      <c r="E1270" s="2" t="s">
        <v>12</v>
      </c>
      <c r="F1270" s="2" t="s">
        <v>12</v>
      </c>
      <c r="G1270" t="s">
        <v>586</v>
      </c>
      <c r="H1270" t="str">
        <f t="shared" si="38"/>
        <v>https://videplast.com.br/consulta-imobilizado?id=22004911&amp;nome=CILINDRO%20ROTOFLEX%20183,64%20X%201000%20MM</v>
      </c>
      <c r="I1270" t="e">
        <f t="shared" ca="1" si="39"/>
        <v>#NAME?</v>
      </c>
    </row>
    <row r="1271" spans="1:9" x14ac:dyDescent="0.25">
      <c r="A1271" s="2" t="s">
        <v>2067</v>
      </c>
      <c r="B1271" s="2" t="s">
        <v>10</v>
      </c>
      <c r="C1271" s="3">
        <v>45547</v>
      </c>
      <c r="D1271" t="s">
        <v>2068</v>
      </c>
      <c r="E1271" s="2" t="s">
        <v>12</v>
      </c>
      <c r="F1271" s="2" t="s">
        <v>2069</v>
      </c>
      <c r="G1271" t="s">
        <v>586</v>
      </c>
      <c r="H1271" t="str">
        <f t="shared" si="38"/>
        <v>https://videplast.com.br/consulta-imobilizado?id=22005114&amp;nome=CAMISA%20ANILOX%20SLEEVELOX%20ALUMINIO%20260LPC%202,4BCM</v>
      </c>
      <c r="I1271" t="e">
        <f t="shared" ca="1" si="39"/>
        <v>#NAME?</v>
      </c>
    </row>
    <row r="1272" spans="1:9" x14ac:dyDescent="0.25">
      <c r="A1272" s="2" t="s">
        <v>2070</v>
      </c>
      <c r="B1272" s="2" t="s">
        <v>10</v>
      </c>
      <c r="C1272" s="3">
        <v>45547</v>
      </c>
      <c r="D1272" t="s">
        <v>2071</v>
      </c>
      <c r="E1272" s="2" t="s">
        <v>12</v>
      </c>
      <c r="F1272" s="2" t="s">
        <v>2072</v>
      </c>
      <c r="G1272" t="s">
        <v>586</v>
      </c>
      <c r="H1272" t="str">
        <f t="shared" si="38"/>
        <v>https://videplast.com.br/consulta-imobilizado?id=22005115&amp;nome=CAMISA%20ANILOX%20SLEEVELOX%20ALUMINIO%20280LPC%202,6BCM</v>
      </c>
      <c r="I1272" t="e">
        <f t="shared" ca="1" si="39"/>
        <v>#NAME?</v>
      </c>
    </row>
    <row r="1273" spans="1:9" x14ac:dyDescent="0.25">
      <c r="A1273" s="2" t="s">
        <v>2073</v>
      </c>
      <c r="B1273" s="2" t="s">
        <v>10</v>
      </c>
      <c r="C1273" s="3">
        <v>45547</v>
      </c>
      <c r="D1273" t="s">
        <v>1340</v>
      </c>
      <c r="E1273" s="2" t="s">
        <v>12</v>
      </c>
      <c r="F1273" s="2" t="s">
        <v>2074</v>
      </c>
      <c r="G1273" t="s">
        <v>586</v>
      </c>
      <c r="H1273" t="str">
        <f t="shared" si="38"/>
        <v>https://videplast.com.br/consulta-imobilizado?id=22005116&amp;nome=CAMISA%20ANILOX%20BETA%201200%20GEAR%20LESS%204,5%20BCM</v>
      </c>
      <c r="I1273" t="e">
        <f t="shared" ca="1" si="39"/>
        <v>#NAME?</v>
      </c>
    </row>
    <row r="1274" spans="1:9" x14ac:dyDescent="0.25">
      <c r="A1274" s="2" t="s">
        <v>2075</v>
      </c>
      <c r="B1274" s="2" t="s">
        <v>10</v>
      </c>
      <c r="C1274" s="3">
        <v>45547</v>
      </c>
      <c r="D1274" t="s">
        <v>2076</v>
      </c>
      <c r="E1274" s="2" t="s">
        <v>12</v>
      </c>
      <c r="F1274" s="2" t="s">
        <v>2077</v>
      </c>
      <c r="G1274" t="s">
        <v>586</v>
      </c>
      <c r="H1274" t="str">
        <f t="shared" si="38"/>
        <v>https://videplast.com.br/consulta-imobilizado?id=22005117&amp;nome=CAMISA%20ANILOX%20BETA%201200%20GEAR%20LESS%204,0%20BCM</v>
      </c>
      <c r="I1274" t="e">
        <f t="shared" ca="1" si="39"/>
        <v>#NAME?</v>
      </c>
    </row>
    <row r="1275" spans="1:9" x14ac:dyDescent="0.25">
      <c r="A1275" s="2" t="s">
        <v>2078</v>
      </c>
      <c r="B1275" s="2" t="s">
        <v>10</v>
      </c>
      <c r="C1275" s="3">
        <v>45547</v>
      </c>
      <c r="D1275" t="s">
        <v>2076</v>
      </c>
      <c r="E1275" s="2" t="s">
        <v>12</v>
      </c>
      <c r="F1275" s="2" t="s">
        <v>2079</v>
      </c>
      <c r="G1275" t="s">
        <v>586</v>
      </c>
      <c r="H1275" t="str">
        <f t="shared" si="38"/>
        <v>https://videplast.com.br/consulta-imobilizado?id=22005118&amp;nome=CAMISA%20ANILOX%20BETA%201200%20GEAR%20LESS%204,0%20BCM</v>
      </c>
      <c r="I1275" t="e">
        <f t="shared" ca="1" si="39"/>
        <v>#NAME?</v>
      </c>
    </row>
    <row r="1276" spans="1:9" x14ac:dyDescent="0.25">
      <c r="A1276" s="2" t="s">
        <v>2080</v>
      </c>
      <c r="B1276" s="2" t="s">
        <v>10</v>
      </c>
      <c r="C1276" s="3">
        <v>45547</v>
      </c>
      <c r="D1276" t="s">
        <v>2081</v>
      </c>
      <c r="E1276" s="2" t="s">
        <v>12</v>
      </c>
      <c r="F1276" s="2" t="s">
        <v>2082</v>
      </c>
      <c r="G1276" t="s">
        <v>586</v>
      </c>
      <c r="H1276" t="str">
        <f t="shared" si="38"/>
        <v>https://videplast.com.br/consulta-imobilizado?id=22005119&amp;nome=CAMISA%20ANILOX%20BETA%201200%20GEAR%20LESS%205,5%20BCM</v>
      </c>
      <c r="I1276" t="e">
        <f t="shared" ca="1" si="39"/>
        <v>#NAME?</v>
      </c>
    </row>
    <row r="1277" spans="1:9" x14ac:dyDescent="0.25">
      <c r="A1277" s="2" t="s">
        <v>2083</v>
      </c>
      <c r="B1277" s="2" t="s">
        <v>10</v>
      </c>
      <c r="C1277" s="3">
        <v>45547</v>
      </c>
      <c r="D1277" t="s">
        <v>2081</v>
      </c>
      <c r="E1277" s="2" t="s">
        <v>12</v>
      </c>
      <c r="F1277" s="2" t="s">
        <v>2084</v>
      </c>
      <c r="G1277" t="s">
        <v>586</v>
      </c>
      <c r="H1277" t="str">
        <f t="shared" si="38"/>
        <v>https://videplast.com.br/consulta-imobilizado?id=22005120&amp;nome=CAMISA%20ANILOX%20BETA%201200%20GEAR%20LESS%205,5%20BCM</v>
      </c>
      <c r="I1277" t="e">
        <f t="shared" ca="1" si="39"/>
        <v>#NAME?</v>
      </c>
    </row>
    <row r="1278" spans="1:9" x14ac:dyDescent="0.25">
      <c r="A1278" s="2" t="s">
        <v>2085</v>
      </c>
      <c r="B1278" s="2" t="s">
        <v>10</v>
      </c>
      <c r="C1278" s="3">
        <v>45547</v>
      </c>
      <c r="D1278" t="s">
        <v>1306</v>
      </c>
      <c r="E1278" s="2" t="s">
        <v>12</v>
      </c>
      <c r="F1278" s="2" t="s">
        <v>12</v>
      </c>
      <c r="G1278" t="s">
        <v>586</v>
      </c>
      <c r="H1278" t="str">
        <f t="shared" si="38"/>
        <v>https://videplast.com.br/consulta-imobilizado?id=22005121&amp;nome=CILINDRO%20ANILOX%20GRAVADO%20A%20LASER%207BCM</v>
      </c>
      <c r="I1278" t="e">
        <f t="shared" ca="1" si="39"/>
        <v>#NAME?</v>
      </c>
    </row>
    <row r="1279" spans="1:9" x14ac:dyDescent="0.25">
      <c r="A1279" s="2" t="s">
        <v>2086</v>
      </c>
      <c r="B1279" s="2" t="s">
        <v>10</v>
      </c>
      <c r="C1279" s="3">
        <v>45547</v>
      </c>
      <c r="D1279" t="s">
        <v>1306</v>
      </c>
      <c r="E1279" s="2" t="s">
        <v>12</v>
      </c>
      <c r="F1279" s="2" t="s">
        <v>12</v>
      </c>
      <c r="G1279" t="s">
        <v>586</v>
      </c>
      <c r="H1279" t="str">
        <f t="shared" si="38"/>
        <v>https://videplast.com.br/consulta-imobilizado?id=22005122&amp;nome=CILINDRO%20ANILOX%20GRAVADO%20A%20LASER%207BCM</v>
      </c>
      <c r="I1279" t="e">
        <f t="shared" ca="1" si="39"/>
        <v>#NAME?</v>
      </c>
    </row>
    <row r="1280" spans="1:9" x14ac:dyDescent="0.25">
      <c r="A1280" s="2" t="s">
        <v>2087</v>
      </c>
      <c r="B1280" s="2" t="s">
        <v>10</v>
      </c>
      <c r="C1280" s="3">
        <v>45547</v>
      </c>
      <c r="D1280" t="s">
        <v>1306</v>
      </c>
      <c r="E1280" s="2" t="s">
        <v>12</v>
      </c>
      <c r="F1280" s="2" t="s">
        <v>12</v>
      </c>
      <c r="G1280" t="s">
        <v>586</v>
      </c>
      <c r="H1280" t="str">
        <f t="shared" si="38"/>
        <v>https://videplast.com.br/consulta-imobilizado?id=22005123&amp;nome=CILINDRO%20ANILOX%20GRAVADO%20A%20LASER%207BCM</v>
      </c>
      <c r="I1280" t="e">
        <f t="shared" ca="1" si="39"/>
        <v>#NAME?</v>
      </c>
    </row>
    <row r="1281" spans="1:9" x14ac:dyDescent="0.25">
      <c r="A1281" s="2" t="s">
        <v>2088</v>
      </c>
      <c r="B1281" s="2" t="s">
        <v>10</v>
      </c>
      <c r="C1281" s="3">
        <v>45677</v>
      </c>
      <c r="D1281" t="s">
        <v>2089</v>
      </c>
      <c r="E1281" s="2" t="s">
        <v>12</v>
      </c>
      <c r="F1281" s="2" t="s">
        <v>12</v>
      </c>
      <c r="G1281" t="s">
        <v>586</v>
      </c>
      <c r="H1281" t="str">
        <f t="shared" si="38"/>
        <v>https://videplast.com.br/consulta-imobilizado?id=22005135&amp;nome=CAMISA%20ANILOX%20159x136x1346MM</v>
      </c>
      <c r="I1281" t="e">
        <f t="shared" ca="1" si="39"/>
        <v>#NAME?</v>
      </c>
    </row>
    <row r="1282" spans="1:9" x14ac:dyDescent="0.25">
      <c r="A1282" s="2" t="s">
        <v>2088</v>
      </c>
      <c r="B1282" s="2" t="s">
        <v>26</v>
      </c>
      <c r="C1282" s="3">
        <v>45677</v>
      </c>
      <c r="D1282" t="s">
        <v>2090</v>
      </c>
      <c r="E1282" s="2" t="s">
        <v>12</v>
      </c>
      <c r="F1282" s="2" t="s">
        <v>12</v>
      </c>
      <c r="G1282" t="s">
        <v>586</v>
      </c>
      <c r="H1282" t="str">
        <f t="shared" ref="H1282:H1345" si="40" xml:space="preserve"> "https://videplast.com.br/consulta-imobilizado?id=" &amp; A1282 &amp; "&amp;nome=" &amp; SUBSTITUTE(D1282, " ", "%20")</f>
        <v>https://videplast.com.br/consulta-imobilizado?id=22005135&amp;nome=FRETE%20AQUISIÇÃO%20CAMISA%20ANILOX%20159x136x1346MM</v>
      </c>
      <c r="I1282" t="e">
        <f t="shared" ref="I1282:I1345" ca="1" si="41">_xlfn.IMAGE("https://chart.googleapis.com/chart?chs=150x150&amp;cht=qr&amp;chl=" &amp; H1282)</f>
        <v>#NAME?</v>
      </c>
    </row>
    <row r="1283" spans="1:9" x14ac:dyDescent="0.25">
      <c r="A1283" s="2" t="s">
        <v>2091</v>
      </c>
      <c r="B1283" s="2" t="s">
        <v>10</v>
      </c>
      <c r="C1283" s="3">
        <v>45721</v>
      </c>
      <c r="D1283" t="s">
        <v>2092</v>
      </c>
      <c r="E1283" s="2" t="s">
        <v>12</v>
      </c>
      <c r="F1283" s="2" t="s">
        <v>2093</v>
      </c>
      <c r="G1283" t="s">
        <v>586</v>
      </c>
      <c r="H1283" t="str">
        <f t="shared" si="40"/>
        <v>https://videplast.com.br/consulta-imobilizado?id=22005249&amp;nome=CAMISA%20ANILOX%20CARBOLOX%20TBA%20159,15X136,98X1346X0,67</v>
      </c>
      <c r="I1283" t="e">
        <f t="shared" ca="1" si="41"/>
        <v>#NAME?</v>
      </c>
    </row>
    <row r="1284" spans="1:9" x14ac:dyDescent="0.25">
      <c r="A1284" s="2" t="s">
        <v>2091</v>
      </c>
      <c r="B1284" s="2" t="s">
        <v>26</v>
      </c>
      <c r="C1284" s="3">
        <v>45722</v>
      </c>
      <c r="D1284" t="s">
        <v>1964</v>
      </c>
      <c r="E1284" s="2" t="s">
        <v>12</v>
      </c>
      <c r="F1284" s="2" t="s">
        <v>12</v>
      </c>
      <c r="G1284" t="s">
        <v>586</v>
      </c>
      <c r="H1284" t="str">
        <f t="shared" si="40"/>
        <v>https://videplast.com.br/consulta-imobilizado?id=22005249&amp;nome=FRETE%20CAMISA%20ANILOX</v>
      </c>
      <c r="I1284" t="e">
        <f t="shared" ca="1" si="41"/>
        <v>#NAME?</v>
      </c>
    </row>
    <row r="1285" spans="1:9" x14ac:dyDescent="0.25">
      <c r="A1285" s="2" t="s">
        <v>2094</v>
      </c>
      <c r="B1285" s="2" t="s">
        <v>10</v>
      </c>
      <c r="C1285" s="3">
        <v>45721</v>
      </c>
      <c r="D1285" t="s">
        <v>2092</v>
      </c>
      <c r="E1285" s="2" t="s">
        <v>12</v>
      </c>
      <c r="F1285" s="2" t="s">
        <v>2095</v>
      </c>
      <c r="G1285" t="s">
        <v>586</v>
      </c>
      <c r="H1285" t="str">
        <f t="shared" si="40"/>
        <v>https://videplast.com.br/consulta-imobilizado?id=22005250&amp;nome=CAMISA%20ANILOX%20CARBOLOX%20TBA%20159,15X136,98X1346X0,67</v>
      </c>
      <c r="I1285" t="e">
        <f t="shared" ca="1" si="41"/>
        <v>#NAME?</v>
      </c>
    </row>
    <row r="1286" spans="1:9" x14ac:dyDescent="0.25">
      <c r="A1286" s="2" t="s">
        <v>2094</v>
      </c>
      <c r="B1286" s="2" t="s">
        <v>26</v>
      </c>
      <c r="C1286" s="3">
        <v>45722</v>
      </c>
      <c r="D1286" t="s">
        <v>1964</v>
      </c>
      <c r="E1286" s="2" t="s">
        <v>12</v>
      </c>
      <c r="F1286" s="2" t="s">
        <v>12</v>
      </c>
      <c r="G1286" t="s">
        <v>586</v>
      </c>
      <c r="H1286" t="str">
        <f t="shared" si="40"/>
        <v>https://videplast.com.br/consulta-imobilizado?id=22005250&amp;nome=FRETE%20CAMISA%20ANILOX</v>
      </c>
      <c r="I1286" t="e">
        <f t="shared" ca="1" si="41"/>
        <v>#NAME?</v>
      </c>
    </row>
    <row r="1287" spans="1:9" x14ac:dyDescent="0.25">
      <c r="A1287" s="2" t="s">
        <v>2096</v>
      </c>
      <c r="B1287" s="2" t="s">
        <v>10</v>
      </c>
      <c r="C1287" s="3">
        <v>45721</v>
      </c>
      <c r="D1287" t="s">
        <v>2092</v>
      </c>
      <c r="E1287" s="2" t="s">
        <v>12</v>
      </c>
      <c r="F1287" s="2" t="s">
        <v>2097</v>
      </c>
      <c r="G1287" t="s">
        <v>586</v>
      </c>
      <c r="H1287" t="str">
        <f t="shared" si="40"/>
        <v>https://videplast.com.br/consulta-imobilizado?id=22005251&amp;nome=CAMISA%20ANILOX%20CARBOLOX%20TBA%20159,15X136,98X1346X0,67</v>
      </c>
      <c r="I1287" t="e">
        <f t="shared" ca="1" si="41"/>
        <v>#NAME?</v>
      </c>
    </row>
    <row r="1288" spans="1:9" x14ac:dyDescent="0.25">
      <c r="A1288" s="2" t="s">
        <v>2096</v>
      </c>
      <c r="B1288" s="2" t="s">
        <v>26</v>
      </c>
      <c r="C1288" s="3">
        <v>45722</v>
      </c>
      <c r="D1288" t="s">
        <v>1964</v>
      </c>
      <c r="E1288" s="2" t="s">
        <v>12</v>
      </c>
      <c r="F1288" s="2" t="s">
        <v>12</v>
      </c>
      <c r="G1288" t="s">
        <v>586</v>
      </c>
      <c r="H1288" t="str">
        <f t="shared" si="40"/>
        <v>https://videplast.com.br/consulta-imobilizado?id=22005251&amp;nome=FRETE%20CAMISA%20ANILOX</v>
      </c>
      <c r="I1288" t="e">
        <f t="shared" ca="1" si="41"/>
        <v>#NAME?</v>
      </c>
    </row>
    <row r="1289" spans="1:9" x14ac:dyDescent="0.25">
      <c r="A1289" s="2" t="s">
        <v>2098</v>
      </c>
      <c r="B1289" s="2" t="s">
        <v>10</v>
      </c>
      <c r="C1289" s="3">
        <v>45721</v>
      </c>
      <c r="D1289" t="s">
        <v>2092</v>
      </c>
      <c r="E1289" s="2" t="s">
        <v>12</v>
      </c>
      <c r="F1289" s="2" t="s">
        <v>2099</v>
      </c>
      <c r="G1289" t="s">
        <v>586</v>
      </c>
      <c r="H1289" t="str">
        <f t="shared" si="40"/>
        <v>https://videplast.com.br/consulta-imobilizado?id=22005252&amp;nome=CAMISA%20ANILOX%20CARBOLOX%20TBA%20159,15X136,98X1346X0,67</v>
      </c>
      <c r="I1289" t="e">
        <f t="shared" ca="1" si="41"/>
        <v>#NAME?</v>
      </c>
    </row>
    <row r="1290" spans="1:9" x14ac:dyDescent="0.25">
      <c r="A1290" s="2" t="s">
        <v>2098</v>
      </c>
      <c r="B1290" s="2" t="s">
        <v>26</v>
      </c>
      <c r="C1290" s="3">
        <v>45722</v>
      </c>
      <c r="D1290" t="s">
        <v>1964</v>
      </c>
      <c r="E1290" s="2" t="s">
        <v>12</v>
      </c>
      <c r="F1290" s="2" t="s">
        <v>12</v>
      </c>
      <c r="G1290" t="s">
        <v>586</v>
      </c>
      <c r="H1290" t="str">
        <f t="shared" si="40"/>
        <v>https://videplast.com.br/consulta-imobilizado?id=22005252&amp;nome=FRETE%20CAMISA%20ANILOX</v>
      </c>
      <c r="I1290" t="e">
        <f t="shared" ca="1" si="41"/>
        <v>#NAME?</v>
      </c>
    </row>
    <row r="1291" spans="1:9" x14ac:dyDescent="0.25">
      <c r="A1291" s="2" t="s">
        <v>2100</v>
      </c>
      <c r="B1291" s="2" t="s">
        <v>10</v>
      </c>
      <c r="C1291" s="3">
        <v>41152</v>
      </c>
      <c r="D1291" t="s">
        <v>2101</v>
      </c>
      <c r="E1291" s="2" t="s">
        <v>12</v>
      </c>
      <c r="F1291" s="2" t="s">
        <v>12</v>
      </c>
      <c r="G1291" t="s">
        <v>586</v>
      </c>
      <c r="H1291" t="str">
        <f t="shared" si="40"/>
        <v>https://videplast.com.br/consulta-imobilizado?id=30000120&amp;nome=ARQUIVO%20DE%20ACO%204%20GAVETAS%200,70%20CMAIOF4E%20CZ%20VEGEL</v>
      </c>
      <c r="I1291" t="e">
        <f t="shared" ca="1" si="41"/>
        <v>#NAME?</v>
      </c>
    </row>
    <row r="1292" spans="1:9" x14ac:dyDescent="0.25">
      <c r="A1292" s="2" t="s">
        <v>2102</v>
      </c>
      <c r="B1292" s="2" t="s">
        <v>10</v>
      </c>
      <c r="C1292" s="3">
        <v>41152</v>
      </c>
      <c r="D1292" t="s">
        <v>2103</v>
      </c>
      <c r="E1292" s="2" t="s">
        <v>12</v>
      </c>
      <c r="F1292" s="2" t="s">
        <v>12</v>
      </c>
      <c r="G1292" t="s">
        <v>586</v>
      </c>
      <c r="H1292" t="str">
        <f t="shared" si="40"/>
        <v>https://videplast.com.br/consulta-imobilizado?id=30000121&amp;nome=BEBEDOURO%20ACQUA%20GELATA%20PAG-100%203%20TORNEIRAS%20220V</v>
      </c>
      <c r="I1292" t="e">
        <f t="shared" ca="1" si="41"/>
        <v>#NAME?</v>
      </c>
    </row>
    <row r="1293" spans="1:9" x14ac:dyDescent="0.25">
      <c r="A1293" s="2" t="s">
        <v>2104</v>
      </c>
      <c r="B1293" s="2" t="s">
        <v>10</v>
      </c>
      <c r="C1293" s="3">
        <v>41243</v>
      </c>
      <c r="D1293" t="s">
        <v>2105</v>
      </c>
      <c r="E1293" s="2" t="s">
        <v>12</v>
      </c>
      <c r="F1293" s="2" t="s">
        <v>12</v>
      </c>
      <c r="G1293" t="s">
        <v>586</v>
      </c>
      <c r="H1293" t="str">
        <f t="shared" si="40"/>
        <v>https://videplast.com.br/consulta-imobilizado?id=30000126&amp;nome=TV%2040%20POLEGADA%20SAMSUNG%20LED%20UN40EH5000%20FHD/DTV/USB</v>
      </c>
      <c r="I1293" t="e">
        <f t="shared" ca="1" si="41"/>
        <v>#NAME?</v>
      </c>
    </row>
    <row r="1294" spans="1:9" x14ac:dyDescent="0.25">
      <c r="A1294" s="2" t="s">
        <v>2106</v>
      </c>
      <c r="B1294" s="2" t="s">
        <v>10</v>
      </c>
      <c r="C1294" s="3">
        <v>41608</v>
      </c>
      <c r="D1294" t="s">
        <v>2107</v>
      </c>
      <c r="E1294" s="2" t="s">
        <v>2108</v>
      </c>
      <c r="F1294" s="2" t="s">
        <v>12</v>
      </c>
      <c r="G1294" t="s">
        <v>586</v>
      </c>
      <c r="H1294" t="str">
        <f t="shared" si="40"/>
        <v>https://videplast.com.br/consulta-imobilizado?id=30000133&amp;nome=AR%20CONDICIONADO%20INT/EXT%20SPRINGER%20WALL%20WAY%2012000BTU</v>
      </c>
      <c r="I1294" t="e">
        <f t="shared" ca="1" si="41"/>
        <v>#NAME?</v>
      </c>
    </row>
    <row r="1295" spans="1:9" x14ac:dyDescent="0.25">
      <c r="A1295" s="2" t="s">
        <v>2109</v>
      </c>
      <c r="B1295" s="2" t="s">
        <v>10</v>
      </c>
      <c r="C1295" s="3">
        <v>41820</v>
      </c>
      <c r="D1295" t="s">
        <v>2110</v>
      </c>
      <c r="E1295" s="2" t="s">
        <v>12</v>
      </c>
      <c r="F1295" s="2" t="s">
        <v>12</v>
      </c>
      <c r="G1295" t="s">
        <v>586</v>
      </c>
      <c r="H1295" t="str">
        <f t="shared" si="40"/>
        <v>https://videplast.com.br/consulta-imobilizado?id=30000141&amp;nome=LAVADORA%20DE%20ALTA%20PRESSAO%201600%20LIBRAS%20220V</v>
      </c>
      <c r="I1295" t="e">
        <f t="shared" ca="1" si="41"/>
        <v>#NAME?</v>
      </c>
    </row>
    <row r="1296" spans="1:9" x14ac:dyDescent="0.25">
      <c r="A1296" s="2" t="s">
        <v>2111</v>
      </c>
      <c r="B1296" s="2" t="s">
        <v>10</v>
      </c>
      <c r="C1296" s="3">
        <v>41912</v>
      </c>
      <c r="D1296" t="s">
        <v>2112</v>
      </c>
      <c r="E1296" s="2" t="s">
        <v>2113</v>
      </c>
      <c r="F1296" s="2" t="s">
        <v>12</v>
      </c>
      <c r="G1296" t="s">
        <v>586</v>
      </c>
      <c r="H1296" t="str">
        <f t="shared" si="40"/>
        <v>https://videplast.com.br/consulta-imobilizado?id=30000143&amp;nome=ARMARIO%20DE%20ACO%2098X090X040%20CINZA%20VEGEL.</v>
      </c>
      <c r="I1296" t="e">
        <f t="shared" ca="1" si="41"/>
        <v>#NAME?</v>
      </c>
    </row>
    <row r="1297" spans="1:9" x14ac:dyDescent="0.25">
      <c r="A1297" s="2" t="s">
        <v>2114</v>
      </c>
      <c r="B1297" s="2" t="s">
        <v>10</v>
      </c>
      <c r="C1297" s="3">
        <v>41973</v>
      </c>
      <c r="D1297" t="s">
        <v>2115</v>
      </c>
      <c r="E1297" s="2" t="s">
        <v>2116</v>
      </c>
      <c r="F1297" s="2" t="s">
        <v>12</v>
      </c>
      <c r="G1297" t="s">
        <v>586</v>
      </c>
      <c r="H1297" t="str">
        <f t="shared" si="40"/>
        <v>https://videplast.com.br/consulta-imobilizado?id=30000150&amp;nome=BEBEDOURO%20ACQUA%20GELATA%20PAG%20-100%20COM%203%20TORNEIRAS</v>
      </c>
      <c r="I1297" t="e">
        <f t="shared" ca="1" si="41"/>
        <v>#NAME?</v>
      </c>
    </row>
    <row r="1298" spans="1:9" x14ac:dyDescent="0.25">
      <c r="A1298" s="2" t="s">
        <v>2117</v>
      </c>
      <c r="B1298" s="2" t="s">
        <v>10</v>
      </c>
      <c r="C1298" s="3">
        <v>36829</v>
      </c>
      <c r="D1298" t="s">
        <v>411</v>
      </c>
      <c r="E1298" s="2" t="s">
        <v>12</v>
      </c>
      <c r="F1298" s="2" t="s">
        <v>12</v>
      </c>
      <c r="G1298" t="s">
        <v>586</v>
      </c>
      <c r="H1298" t="str">
        <f t="shared" si="40"/>
        <v>https://videplast.com.br/consulta-imobilizado?id=30000153&amp;nome=BEBEDOURO%20ELETRICO</v>
      </c>
      <c r="I1298" t="e">
        <f t="shared" ca="1" si="41"/>
        <v>#NAME?</v>
      </c>
    </row>
    <row r="1299" spans="1:9" x14ac:dyDescent="0.25">
      <c r="A1299" s="2" t="s">
        <v>2118</v>
      </c>
      <c r="B1299" s="2" t="s">
        <v>10</v>
      </c>
      <c r="C1299" s="3">
        <v>38105</v>
      </c>
      <c r="D1299" t="s">
        <v>2119</v>
      </c>
      <c r="E1299" s="2" t="s">
        <v>12</v>
      </c>
      <c r="F1299" s="2" t="s">
        <v>12</v>
      </c>
      <c r="G1299" t="s">
        <v>586</v>
      </c>
      <c r="H1299" t="str">
        <f t="shared" si="40"/>
        <v>https://videplast.com.br/consulta-imobilizado?id=30000180&amp;nome=ESTUFA%20DE%20CIRCULACAO%20DE%20AR</v>
      </c>
      <c r="I1299" t="e">
        <f t="shared" ca="1" si="41"/>
        <v>#NAME?</v>
      </c>
    </row>
    <row r="1300" spans="1:9" x14ac:dyDescent="0.25">
      <c r="A1300" s="2" t="s">
        <v>2120</v>
      </c>
      <c r="B1300" s="2" t="s">
        <v>10</v>
      </c>
      <c r="C1300" s="3">
        <v>38100</v>
      </c>
      <c r="D1300" t="s">
        <v>2121</v>
      </c>
      <c r="E1300" s="2" t="s">
        <v>12</v>
      </c>
      <c r="F1300" s="2" t="s">
        <v>12</v>
      </c>
      <c r="G1300" t="s">
        <v>586</v>
      </c>
      <c r="H1300" t="str">
        <f t="shared" si="40"/>
        <v>https://videplast.com.br/consulta-imobilizado?id=30000182&amp;nome=5%20VENTILADORES%20EU-56%2012130</v>
      </c>
      <c r="I1300" t="e">
        <f t="shared" ca="1" si="41"/>
        <v>#NAME?</v>
      </c>
    </row>
    <row r="1301" spans="1:9" x14ac:dyDescent="0.25">
      <c r="A1301" s="2" t="s">
        <v>2122</v>
      </c>
      <c r="B1301" s="2" t="s">
        <v>10</v>
      </c>
      <c r="C1301" s="3">
        <v>38105</v>
      </c>
      <c r="D1301" t="s">
        <v>2123</v>
      </c>
      <c r="E1301" s="2" t="s">
        <v>12</v>
      </c>
      <c r="F1301" s="2" t="s">
        <v>12</v>
      </c>
      <c r="G1301" t="s">
        <v>586</v>
      </c>
      <c r="H1301" t="str">
        <f t="shared" si="40"/>
        <v>https://videplast.com.br/consulta-imobilizado?id=30000183&amp;nome=ARQUIVO%20ACO%204%20GAVETAS%20PANDIM%20CORREDICAS%20TELESC%20ROL</v>
      </c>
      <c r="I1301" t="e">
        <f t="shared" ca="1" si="41"/>
        <v>#NAME?</v>
      </c>
    </row>
    <row r="1302" spans="1:9" x14ac:dyDescent="0.25">
      <c r="A1302" s="2" t="s">
        <v>2124</v>
      </c>
      <c r="B1302" s="2" t="s">
        <v>10</v>
      </c>
      <c r="C1302" s="3">
        <v>40512</v>
      </c>
      <c r="D1302" t="s">
        <v>2125</v>
      </c>
      <c r="E1302" s="2" t="s">
        <v>12</v>
      </c>
      <c r="F1302" s="2" t="s">
        <v>12</v>
      </c>
      <c r="G1302" t="s">
        <v>586</v>
      </c>
      <c r="H1302" t="str">
        <f t="shared" si="40"/>
        <v>https://videplast.com.br/consulta-imobilizado?id=30000238&amp;nome=6%20AR%20CONDICIONADO%20SPLIT%20CARRIER%20W%209000%20E%2012000%20BTU</v>
      </c>
      <c r="I1302" t="e">
        <f t="shared" ca="1" si="41"/>
        <v>#NAME?</v>
      </c>
    </row>
    <row r="1303" spans="1:9" x14ac:dyDescent="0.25">
      <c r="A1303" s="2" t="s">
        <v>2126</v>
      </c>
      <c r="B1303" s="2" t="s">
        <v>29</v>
      </c>
      <c r="C1303" s="3">
        <v>42063</v>
      </c>
      <c r="D1303" t="s">
        <v>2127</v>
      </c>
      <c r="E1303" s="2" t="s">
        <v>2128</v>
      </c>
      <c r="F1303" s="2" t="s">
        <v>12</v>
      </c>
      <c r="G1303" t="s">
        <v>586</v>
      </c>
      <c r="H1303" t="str">
        <f t="shared" si="40"/>
        <v>https://videplast.com.br/consulta-imobilizado?id=30000244&amp;nome=AR%20CONDICIONADO%20INT/EXT%20SPLIT%20CONSUL%2022000%20BTU</v>
      </c>
      <c r="I1303" t="e">
        <f t="shared" ca="1" si="41"/>
        <v>#NAME?</v>
      </c>
    </row>
    <row r="1304" spans="1:9" x14ac:dyDescent="0.25">
      <c r="A1304" s="2" t="s">
        <v>2126</v>
      </c>
      <c r="B1304" s="2" t="s">
        <v>31</v>
      </c>
      <c r="C1304" s="3">
        <v>42063</v>
      </c>
      <c r="D1304" t="s">
        <v>2127</v>
      </c>
      <c r="E1304" s="2" t="s">
        <v>2129</v>
      </c>
      <c r="F1304" s="2" t="s">
        <v>12</v>
      </c>
      <c r="G1304" t="s">
        <v>586</v>
      </c>
      <c r="H1304" t="str">
        <f t="shared" si="40"/>
        <v>https://videplast.com.br/consulta-imobilizado?id=30000244&amp;nome=AR%20CONDICIONADO%20INT/EXT%20SPLIT%20CONSUL%2022000%20BTU</v>
      </c>
      <c r="I1304" t="e">
        <f t="shared" ca="1" si="41"/>
        <v>#NAME?</v>
      </c>
    </row>
    <row r="1305" spans="1:9" x14ac:dyDescent="0.25">
      <c r="A1305" s="2" t="s">
        <v>2130</v>
      </c>
      <c r="B1305" s="2" t="s">
        <v>10</v>
      </c>
      <c r="C1305" s="3">
        <v>42548</v>
      </c>
      <c r="D1305" t="s">
        <v>2131</v>
      </c>
      <c r="E1305" s="2" t="s">
        <v>2132</v>
      </c>
      <c r="F1305" s="2" t="s">
        <v>12</v>
      </c>
      <c r="G1305" t="s">
        <v>586</v>
      </c>
      <c r="H1305" t="str">
        <f t="shared" si="40"/>
        <v>https://videplast.com.br/consulta-imobilizado?id=30001436&amp;nome=LAVADORA%20STIHL%20RE%20143</v>
      </c>
      <c r="I1305" t="e">
        <f t="shared" ca="1" si="41"/>
        <v>#NAME?</v>
      </c>
    </row>
    <row r="1306" spans="1:9" x14ac:dyDescent="0.25">
      <c r="A1306" s="2" t="s">
        <v>2133</v>
      </c>
      <c r="B1306" s="2" t="s">
        <v>10</v>
      </c>
      <c r="C1306" s="3">
        <v>42732</v>
      </c>
      <c r="D1306" t="s">
        <v>2134</v>
      </c>
      <c r="E1306" s="2" t="s">
        <v>12</v>
      </c>
      <c r="F1306" s="2" t="s">
        <v>12</v>
      </c>
      <c r="G1306" t="s">
        <v>586</v>
      </c>
      <c r="H1306" t="str">
        <f t="shared" si="40"/>
        <v>https://videplast.com.br/consulta-imobilizado?id=30001515&amp;nome=AGITADOR%20INDUSTRIAL%20PARA%20CONTEINER%20DE%201000L</v>
      </c>
      <c r="I1306" t="e">
        <f t="shared" ca="1" si="41"/>
        <v>#NAME?</v>
      </c>
    </row>
    <row r="1307" spans="1:9" x14ac:dyDescent="0.25">
      <c r="A1307" s="2" t="s">
        <v>2135</v>
      </c>
      <c r="B1307" s="2" t="s">
        <v>10</v>
      </c>
      <c r="C1307" s="3">
        <v>42886</v>
      </c>
      <c r="D1307" t="s">
        <v>2136</v>
      </c>
      <c r="E1307" s="2" t="s">
        <v>2137</v>
      </c>
      <c r="F1307" s="2" t="s">
        <v>12</v>
      </c>
      <c r="G1307" t="s">
        <v>586</v>
      </c>
      <c r="H1307" t="str">
        <f t="shared" si="40"/>
        <v>https://videplast.com.br/consulta-imobilizado?id=30001614&amp;nome=AR%20CONDICIONADO%20SPLIT%20FUJITSU%20FRIO%20HW%2027000%20BTU</v>
      </c>
      <c r="I1307" t="e">
        <f t="shared" ca="1" si="41"/>
        <v>#NAME?</v>
      </c>
    </row>
    <row r="1308" spans="1:9" x14ac:dyDescent="0.25">
      <c r="A1308" s="2" t="s">
        <v>2138</v>
      </c>
      <c r="B1308" s="2" t="s">
        <v>10</v>
      </c>
      <c r="C1308" s="3">
        <v>43080</v>
      </c>
      <c r="D1308" t="s">
        <v>2139</v>
      </c>
      <c r="E1308" s="2" t="s">
        <v>12</v>
      </c>
      <c r="F1308" s="2" t="s">
        <v>12</v>
      </c>
      <c r="G1308" t="s">
        <v>586</v>
      </c>
      <c r="H1308" t="str">
        <f t="shared" si="40"/>
        <v>https://videplast.com.br/consulta-imobilizado?id=30001675&amp;nome=AR%20CONDICIONADO%20SPLIT%20INT/EXT%20FUJITSU%2022000BTU</v>
      </c>
      <c r="I1308" t="e">
        <f t="shared" ca="1" si="41"/>
        <v>#NAME?</v>
      </c>
    </row>
    <row r="1309" spans="1:9" x14ac:dyDescent="0.25">
      <c r="A1309" s="2" t="s">
        <v>2140</v>
      </c>
      <c r="B1309" s="2" t="s">
        <v>10</v>
      </c>
      <c r="C1309" s="3">
        <v>43185</v>
      </c>
      <c r="D1309" t="s">
        <v>2141</v>
      </c>
      <c r="E1309" s="2" t="s">
        <v>12</v>
      </c>
      <c r="F1309" s="2" t="s">
        <v>12</v>
      </c>
      <c r="G1309" t="s">
        <v>586</v>
      </c>
      <c r="H1309" t="str">
        <f t="shared" si="40"/>
        <v>https://videplast.com.br/consulta-imobilizado?id=30001690&amp;nome=AR%20CONDICIONADO%20SPLIT%20FUJITSU%2012000%20BTU</v>
      </c>
      <c r="I1309" t="e">
        <f t="shared" ca="1" si="41"/>
        <v>#NAME?</v>
      </c>
    </row>
    <row r="1310" spans="1:9" x14ac:dyDescent="0.25">
      <c r="A1310" s="2" t="s">
        <v>2142</v>
      </c>
      <c r="B1310" s="2" t="s">
        <v>10</v>
      </c>
      <c r="C1310" s="3">
        <v>43199</v>
      </c>
      <c r="D1310" t="s">
        <v>2143</v>
      </c>
      <c r="E1310" s="2" t="s">
        <v>12</v>
      </c>
      <c r="F1310" s="2" t="s">
        <v>12</v>
      </c>
      <c r="G1310" t="s">
        <v>586</v>
      </c>
      <c r="H1310" t="str">
        <f t="shared" si="40"/>
        <v>https://videplast.com.br/consulta-imobilizado?id=30001693&amp;nome=ESTROBOSCÓPIO%20MAXITEC%20VE-100</v>
      </c>
      <c r="I1310" t="e">
        <f t="shared" ca="1" si="41"/>
        <v>#NAME?</v>
      </c>
    </row>
    <row r="1311" spans="1:9" x14ac:dyDescent="0.25">
      <c r="A1311" s="2" t="s">
        <v>2144</v>
      </c>
      <c r="B1311" s="2" t="s">
        <v>10</v>
      </c>
      <c r="C1311" s="3">
        <v>43208</v>
      </c>
      <c r="D1311" t="s">
        <v>2134</v>
      </c>
      <c r="E1311" s="2" t="s">
        <v>2145</v>
      </c>
      <c r="F1311" s="2" t="s">
        <v>12</v>
      </c>
      <c r="G1311" t="s">
        <v>586</v>
      </c>
      <c r="H1311" t="str">
        <f t="shared" si="40"/>
        <v>https://videplast.com.br/consulta-imobilizado?id=30001696&amp;nome=AGITADOR%20INDUSTRIAL%20PARA%20CONTEINER%20DE%201000L</v>
      </c>
      <c r="I1311" t="e">
        <f t="shared" ca="1" si="41"/>
        <v>#NAME?</v>
      </c>
    </row>
    <row r="1312" spans="1:9" x14ac:dyDescent="0.25">
      <c r="A1312" s="2" t="s">
        <v>2146</v>
      </c>
      <c r="B1312" s="2" t="s">
        <v>10</v>
      </c>
      <c r="C1312" s="3">
        <v>43234</v>
      </c>
      <c r="D1312" t="s">
        <v>2147</v>
      </c>
      <c r="E1312" s="2" t="s">
        <v>12</v>
      </c>
      <c r="F1312" s="2" t="s">
        <v>12</v>
      </c>
      <c r="G1312" t="s">
        <v>586</v>
      </c>
      <c r="H1312" t="str">
        <f t="shared" si="40"/>
        <v>https://videplast.com.br/consulta-imobilizado?id=30001703&amp;nome=MONITOR%20TOUCH%20SCREEN%20VIDEO%20SCAN%20SHS400</v>
      </c>
      <c r="I1312" t="e">
        <f t="shared" ca="1" si="41"/>
        <v>#NAME?</v>
      </c>
    </row>
    <row r="1313" spans="1:9" x14ac:dyDescent="0.25">
      <c r="A1313" s="2" t="s">
        <v>2148</v>
      </c>
      <c r="B1313" s="2" t="s">
        <v>10</v>
      </c>
      <c r="C1313" s="3">
        <v>43462</v>
      </c>
      <c r="D1313" t="s">
        <v>2149</v>
      </c>
      <c r="E1313" s="2" t="s">
        <v>12</v>
      </c>
      <c r="F1313" s="2" t="s">
        <v>725</v>
      </c>
      <c r="G1313" t="s">
        <v>586</v>
      </c>
      <c r="H1313" t="str">
        <f t="shared" si="40"/>
        <v>https://videplast.com.br/consulta-imobilizado?id=30001748&amp;nome=AR%20CONDICONADO%20PARA%20MONTAGEM%20LATERAL%201.420W</v>
      </c>
      <c r="I1313" t="e">
        <f t="shared" ca="1" si="41"/>
        <v>#NAME?</v>
      </c>
    </row>
    <row r="1314" spans="1:9" x14ac:dyDescent="0.25">
      <c r="A1314" s="2" t="s">
        <v>2150</v>
      </c>
      <c r="B1314" s="2" t="s">
        <v>10</v>
      </c>
      <c r="C1314" s="3">
        <v>43488</v>
      </c>
      <c r="D1314" t="s">
        <v>2151</v>
      </c>
      <c r="E1314" s="2" t="s">
        <v>12</v>
      </c>
      <c r="F1314" s="2" t="s">
        <v>12</v>
      </c>
      <c r="G1314" t="s">
        <v>586</v>
      </c>
      <c r="H1314" t="str">
        <f t="shared" si="40"/>
        <v>https://videplast.com.br/consulta-imobilizado?id=30001760&amp;nome=LAVADORA%20ALTA%20PRESSAO%20JACTOCLEAN%20J7600</v>
      </c>
      <c r="I1314" t="e">
        <f t="shared" ca="1" si="41"/>
        <v>#NAME?</v>
      </c>
    </row>
    <row r="1315" spans="1:9" x14ac:dyDescent="0.25">
      <c r="A1315" s="2" t="s">
        <v>2152</v>
      </c>
      <c r="B1315" s="2" t="s">
        <v>10</v>
      </c>
      <c r="C1315" s="3">
        <v>43515</v>
      </c>
      <c r="D1315" t="s">
        <v>2153</v>
      </c>
      <c r="E1315" s="2" t="s">
        <v>12</v>
      </c>
      <c r="F1315" s="2" t="s">
        <v>12</v>
      </c>
      <c r="G1315" t="s">
        <v>586</v>
      </c>
      <c r="H1315" t="str">
        <f t="shared" si="40"/>
        <v>https://videplast.com.br/consulta-imobilizado?id=30001770&amp;nome=CLIMATIZADOR%20ROTOPLAST%20160%20CONFORT</v>
      </c>
      <c r="I1315" t="e">
        <f t="shared" ca="1" si="41"/>
        <v>#NAME?</v>
      </c>
    </row>
    <row r="1316" spans="1:9" x14ac:dyDescent="0.25">
      <c r="A1316" s="2" t="s">
        <v>2154</v>
      </c>
      <c r="B1316" s="2" t="s">
        <v>10</v>
      </c>
      <c r="C1316" s="3">
        <v>43515</v>
      </c>
      <c r="D1316" t="s">
        <v>2153</v>
      </c>
      <c r="E1316" s="2" t="s">
        <v>12</v>
      </c>
      <c r="F1316" s="2" t="s">
        <v>12</v>
      </c>
      <c r="G1316" t="s">
        <v>586</v>
      </c>
      <c r="H1316" t="str">
        <f t="shared" si="40"/>
        <v>https://videplast.com.br/consulta-imobilizado?id=30001771&amp;nome=CLIMATIZADOR%20ROTOPLAST%20160%20CONFORT</v>
      </c>
      <c r="I1316" t="e">
        <f t="shared" ca="1" si="41"/>
        <v>#NAME?</v>
      </c>
    </row>
    <row r="1317" spans="1:9" x14ac:dyDescent="0.25">
      <c r="A1317" s="2" t="s">
        <v>2155</v>
      </c>
      <c r="B1317" s="2" t="s">
        <v>10</v>
      </c>
      <c r="C1317" s="3">
        <v>43515</v>
      </c>
      <c r="D1317" t="s">
        <v>2153</v>
      </c>
      <c r="E1317" s="2" t="s">
        <v>12</v>
      </c>
      <c r="F1317" s="2" t="s">
        <v>12</v>
      </c>
      <c r="G1317" t="s">
        <v>586</v>
      </c>
      <c r="H1317" t="str">
        <f t="shared" si="40"/>
        <v>https://videplast.com.br/consulta-imobilizado?id=30001772&amp;nome=CLIMATIZADOR%20ROTOPLAST%20160%20CONFORT</v>
      </c>
      <c r="I1317" t="e">
        <f t="shared" ca="1" si="41"/>
        <v>#NAME?</v>
      </c>
    </row>
    <row r="1318" spans="1:9" x14ac:dyDescent="0.25">
      <c r="A1318" s="2" t="s">
        <v>2156</v>
      </c>
      <c r="B1318" s="2" t="s">
        <v>10</v>
      </c>
      <c r="C1318" s="3">
        <v>43515</v>
      </c>
      <c r="D1318" t="s">
        <v>2153</v>
      </c>
      <c r="E1318" s="2" t="s">
        <v>12</v>
      </c>
      <c r="F1318" s="2" t="s">
        <v>12</v>
      </c>
      <c r="G1318" t="s">
        <v>586</v>
      </c>
      <c r="H1318" t="str">
        <f t="shared" si="40"/>
        <v>https://videplast.com.br/consulta-imobilizado?id=30001773&amp;nome=CLIMATIZADOR%20ROTOPLAST%20160%20CONFORT</v>
      </c>
      <c r="I1318" t="e">
        <f t="shared" ca="1" si="41"/>
        <v>#NAME?</v>
      </c>
    </row>
    <row r="1319" spans="1:9" x14ac:dyDescent="0.25">
      <c r="A1319" s="2" t="s">
        <v>2157</v>
      </c>
      <c r="B1319" s="2" t="s">
        <v>10</v>
      </c>
      <c r="C1319" s="3">
        <v>43515</v>
      </c>
      <c r="D1319" t="s">
        <v>2153</v>
      </c>
      <c r="E1319" s="2" t="s">
        <v>12</v>
      </c>
      <c r="F1319" s="2" t="s">
        <v>12</v>
      </c>
      <c r="G1319" t="s">
        <v>586</v>
      </c>
      <c r="H1319" t="str">
        <f t="shared" si="40"/>
        <v>https://videplast.com.br/consulta-imobilizado?id=30001774&amp;nome=CLIMATIZADOR%20ROTOPLAST%20160%20CONFORT</v>
      </c>
      <c r="I1319" t="e">
        <f t="shared" ca="1" si="41"/>
        <v>#NAME?</v>
      </c>
    </row>
    <row r="1320" spans="1:9" x14ac:dyDescent="0.25">
      <c r="A1320" s="2" t="s">
        <v>2158</v>
      </c>
      <c r="B1320" s="2" t="s">
        <v>10</v>
      </c>
      <c r="C1320" s="3">
        <v>43515</v>
      </c>
      <c r="D1320" t="s">
        <v>2153</v>
      </c>
      <c r="E1320" s="2" t="s">
        <v>12</v>
      </c>
      <c r="F1320" s="2" t="s">
        <v>12</v>
      </c>
      <c r="G1320" t="s">
        <v>586</v>
      </c>
      <c r="H1320" t="str">
        <f t="shared" si="40"/>
        <v>https://videplast.com.br/consulta-imobilizado?id=30001775&amp;nome=CLIMATIZADOR%20ROTOPLAST%20160%20CONFORT</v>
      </c>
      <c r="I1320" t="e">
        <f t="shared" ca="1" si="41"/>
        <v>#NAME?</v>
      </c>
    </row>
    <row r="1321" spans="1:9" x14ac:dyDescent="0.25">
      <c r="A1321" s="2" t="s">
        <v>2159</v>
      </c>
      <c r="B1321" s="2" t="s">
        <v>10</v>
      </c>
      <c r="C1321" s="3">
        <v>43515</v>
      </c>
      <c r="D1321" t="s">
        <v>2153</v>
      </c>
      <c r="E1321" s="2" t="s">
        <v>12</v>
      </c>
      <c r="F1321" s="2" t="s">
        <v>12</v>
      </c>
      <c r="G1321" t="s">
        <v>586</v>
      </c>
      <c r="H1321" t="str">
        <f t="shared" si="40"/>
        <v>https://videplast.com.br/consulta-imobilizado?id=30001776&amp;nome=CLIMATIZADOR%20ROTOPLAST%20160%20CONFORT</v>
      </c>
      <c r="I1321" t="e">
        <f t="shared" ca="1" si="41"/>
        <v>#NAME?</v>
      </c>
    </row>
    <row r="1322" spans="1:9" x14ac:dyDescent="0.25">
      <c r="A1322" s="2" t="s">
        <v>2160</v>
      </c>
      <c r="B1322" s="2" t="s">
        <v>10</v>
      </c>
      <c r="C1322" s="3">
        <v>43515</v>
      </c>
      <c r="D1322" t="s">
        <v>2153</v>
      </c>
      <c r="E1322" s="2" t="s">
        <v>12</v>
      </c>
      <c r="F1322" s="2" t="s">
        <v>12</v>
      </c>
      <c r="G1322" t="s">
        <v>586</v>
      </c>
      <c r="H1322" t="str">
        <f t="shared" si="40"/>
        <v>https://videplast.com.br/consulta-imobilizado?id=30001777&amp;nome=CLIMATIZADOR%20ROTOPLAST%20160%20CONFORT</v>
      </c>
      <c r="I1322" t="e">
        <f t="shared" ca="1" si="41"/>
        <v>#NAME?</v>
      </c>
    </row>
    <row r="1323" spans="1:9" x14ac:dyDescent="0.25">
      <c r="A1323" s="2" t="s">
        <v>2161</v>
      </c>
      <c r="B1323" s="2" t="s">
        <v>10</v>
      </c>
      <c r="C1323" s="3">
        <v>43515</v>
      </c>
      <c r="D1323" t="s">
        <v>2153</v>
      </c>
      <c r="E1323" s="2" t="s">
        <v>12</v>
      </c>
      <c r="F1323" s="2" t="s">
        <v>12</v>
      </c>
      <c r="G1323" t="s">
        <v>586</v>
      </c>
      <c r="H1323" t="str">
        <f t="shared" si="40"/>
        <v>https://videplast.com.br/consulta-imobilizado?id=30001778&amp;nome=CLIMATIZADOR%20ROTOPLAST%20160%20CONFORT</v>
      </c>
      <c r="I1323" t="e">
        <f t="shared" ca="1" si="41"/>
        <v>#NAME?</v>
      </c>
    </row>
    <row r="1324" spans="1:9" x14ac:dyDescent="0.25">
      <c r="A1324" s="2" t="s">
        <v>2162</v>
      </c>
      <c r="B1324" s="2" t="s">
        <v>10</v>
      </c>
      <c r="C1324" s="3">
        <v>43515</v>
      </c>
      <c r="D1324" t="s">
        <v>2153</v>
      </c>
      <c r="E1324" s="2" t="s">
        <v>12</v>
      </c>
      <c r="F1324" s="2" t="s">
        <v>12</v>
      </c>
      <c r="G1324" t="s">
        <v>586</v>
      </c>
      <c r="H1324" t="str">
        <f t="shared" si="40"/>
        <v>https://videplast.com.br/consulta-imobilizado?id=30001779&amp;nome=CLIMATIZADOR%20ROTOPLAST%20160%20CONFORT</v>
      </c>
      <c r="I1324" t="e">
        <f t="shared" ca="1" si="41"/>
        <v>#NAME?</v>
      </c>
    </row>
    <row r="1325" spans="1:9" x14ac:dyDescent="0.25">
      <c r="A1325" s="2" t="s">
        <v>2163</v>
      </c>
      <c r="B1325" s="2" t="s">
        <v>10</v>
      </c>
      <c r="C1325" s="3">
        <v>43515</v>
      </c>
      <c r="D1325" t="s">
        <v>2153</v>
      </c>
      <c r="E1325" s="2" t="s">
        <v>12</v>
      </c>
      <c r="F1325" s="2" t="s">
        <v>12</v>
      </c>
      <c r="G1325" t="s">
        <v>586</v>
      </c>
      <c r="H1325" t="str">
        <f t="shared" si="40"/>
        <v>https://videplast.com.br/consulta-imobilizado?id=30001780&amp;nome=CLIMATIZADOR%20ROTOPLAST%20160%20CONFORT</v>
      </c>
      <c r="I1325" t="e">
        <f t="shared" ca="1" si="41"/>
        <v>#NAME?</v>
      </c>
    </row>
    <row r="1326" spans="1:9" x14ac:dyDescent="0.25">
      <c r="A1326" s="2" t="s">
        <v>2164</v>
      </c>
      <c r="B1326" s="2" t="s">
        <v>10</v>
      </c>
      <c r="C1326" s="3">
        <v>43515</v>
      </c>
      <c r="D1326" t="s">
        <v>2153</v>
      </c>
      <c r="E1326" s="2" t="s">
        <v>12</v>
      </c>
      <c r="F1326" s="2" t="s">
        <v>12</v>
      </c>
      <c r="G1326" t="s">
        <v>586</v>
      </c>
      <c r="H1326" t="str">
        <f t="shared" si="40"/>
        <v>https://videplast.com.br/consulta-imobilizado?id=30001781&amp;nome=CLIMATIZADOR%20ROTOPLAST%20160%20CONFORT</v>
      </c>
      <c r="I1326" t="e">
        <f t="shared" ca="1" si="41"/>
        <v>#NAME?</v>
      </c>
    </row>
    <row r="1327" spans="1:9" x14ac:dyDescent="0.25">
      <c r="A1327" s="2" t="s">
        <v>2165</v>
      </c>
      <c r="B1327" s="2" t="s">
        <v>10</v>
      </c>
      <c r="C1327" s="3">
        <v>43515</v>
      </c>
      <c r="D1327" t="s">
        <v>2153</v>
      </c>
      <c r="E1327" s="2" t="s">
        <v>12</v>
      </c>
      <c r="F1327" s="2" t="s">
        <v>12</v>
      </c>
      <c r="G1327" t="s">
        <v>586</v>
      </c>
      <c r="H1327" t="str">
        <f t="shared" si="40"/>
        <v>https://videplast.com.br/consulta-imobilizado?id=30001782&amp;nome=CLIMATIZADOR%20ROTOPLAST%20160%20CONFORT</v>
      </c>
      <c r="I1327" t="e">
        <f t="shared" ca="1" si="41"/>
        <v>#NAME?</v>
      </c>
    </row>
    <row r="1328" spans="1:9" x14ac:dyDescent="0.25">
      <c r="A1328" s="2" t="s">
        <v>2166</v>
      </c>
      <c r="B1328" s="2" t="s">
        <v>10</v>
      </c>
      <c r="C1328" s="3">
        <v>43515</v>
      </c>
      <c r="D1328" t="s">
        <v>2153</v>
      </c>
      <c r="E1328" s="2" t="s">
        <v>12</v>
      </c>
      <c r="F1328" s="2" t="s">
        <v>12</v>
      </c>
      <c r="G1328" t="s">
        <v>586</v>
      </c>
      <c r="H1328" t="str">
        <f t="shared" si="40"/>
        <v>https://videplast.com.br/consulta-imobilizado?id=30001783&amp;nome=CLIMATIZADOR%20ROTOPLAST%20160%20CONFORT</v>
      </c>
      <c r="I1328" t="e">
        <f t="shared" ca="1" si="41"/>
        <v>#NAME?</v>
      </c>
    </row>
    <row r="1329" spans="1:9" x14ac:dyDescent="0.25">
      <c r="A1329" s="2" t="s">
        <v>2167</v>
      </c>
      <c r="B1329" s="2" t="s">
        <v>10</v>
      </c>
      <c r="C1329" s="3">
        <v>43515</v>
      </c>
      <c r="D1329" t="s">
        <v>2153</v>
      </c>
      <c r="E1329" s="2" t="s">
        <v>12</v>
      </c>
      <c r="F1329" s="2" t="s">
        <v>12</v>
      </c>
      <c r="G1329" t="s">
        <v>586</v>
      </c>
      <c r="H1329" t="str">
        <f t="shared" si="40"/>
        <v>https://videplast.com.br/consulta-imobilizado?id=30001784&amp;nome=CLIMATIZADOR%20ROTOPLAST%20160%20CONFORT</v>
      </c>
      <c r="I1329" t="e">
        <f t="shared" ca="1" si="41"/>
        <v>#NAME?</v>
      </c>
    </row>
    <row r="1330" spans="1:9" x14ac:dyDescent="0.25">
      <c r="A1330" s="2" t="s">
        <v>2168</v>
      </c>
      <c r="B1330" s="2" t="s">
        <v>10</v>
      </c>
      <c r="C1330" s="3">
        <v>43515</v>
      </c>
      <c r="D1330" t="s">
        <v>2153</v>
      </c>
      <c r="E1330" s="2" t="s">
        <v>12</v>
      </c>
      <c r="F1330" s="2" t="s">
        <v>12</v>
      </c>
      <c r="G1330" t="s">
        <v>586</v>
      </c>
      <c r="H1330" t="str">
        <f t="shared" si="40"/>
        <v>https://videplast.com.br/consulta-imobilizado?id=30001785&amp;nome=CLIMATIZADOR%20ROTOPLAST%20160%20CONFORT</v>
      </c>
      <c r="I1330" t="e">
        <f t="shared" ca="1" si="41"/>
        <v>#NAME?</v>
      </c>
    </row>
    <row r="1331" spans="1:9" x14ac:dyDescent="0.25">
      <c r="A1331" s="2" t="s">
        <v>2169</v>
      </c>
      <c r="B1331" s="2" t="s">
        <v>10</v>
      </c>
      <c r="C1331" s="3">
        <v>43515</v>
      </c>
      <c r="D1331" t="s">
        <v>2153</v>
      </c>
      <c r="E1331" s="2" t="s">
        <v>12</v>
      </c>
      <c r="F1331" s="2" t="s">
        <v>12</v>
      </c>
      <c r="G1331" t="s">
        <v>586</v>
      </c>
      <c r="H1331" t="str">
        <f t="shared" si="40"/>
        <v>https://videplast.com.br/consulta-imobilizado?id=30001786&amp;nome=CLIMATIZADOR%20ROTOPLAST%20160%20CONFORT</v>
      </c>
      <c r="I1331" t="e">
        <f t="shared" ca="1" si="41"/>
        <v>#NAME?</v>
      </c>
    </row>
    <row r="1332" spans="1:9" x14ac:dyDescent="0.25">
      <c r="A1332" s="2" t="s">
        <v>2170</v>
      </c>
      <c r="B1332" s="2" t="s">
        <v>10</v>
      </c>
      <c r="C1332" s="3">
        <v>43515</v>
      </c>
      <c r="D1332" t="s">
        <v>2153</v>
      </c>
      <c r="E1332" s="2" t="s">
        <v>12</v>
      </c>
      <c r="F1332" s="2" t="s">
        <v>12</v>
      </c>
      <c r="G1332" t="s">
        <v>586</v>
      </c>
      <c r="H1332" t="str">
        <f t="shared" si="40"/>
        <v>https://videplast.com.br/consulta-imobilizado?id=30001787&amp;nome=CLIMATIZADOR%20ROTOPLAST%20160%20CONFORT</v>
      </c>
      <c r="I1332" t="e">
        <f t="shared" ca="1" si="41"/>
        <v>#NAME?</v>
      </c>
    </row>
    <row r="1333" spans="1:9" x14ac:dyDescent="0.25">
      <c r="A1333" s="2" t="s">
        <v>2171</v>
      </c>
      <c r="B1333" s="2" t="s">
        <v>10</v>
      </c>
      <c r="C1333" s="3">
        <v>43515</v>
      </c>
      <c r="D1333" t="s">
        <v>2153</v>
      </c>
      <c r="E1333" s="2" t="s">
        <v>12</v>
      </c>
      <c r="F1333" s="2" t="s">
        <v>12</v>
      </c>
      <c r="G1333" t="s">
        <v>586</v>
      </c>
      <c r="H1333" t="str">
        <f t="shared" si="40"/>
        <v>https://videplast.com.br/consulta-imobilizado?id=30001788&amp;nome=CLIMATIZADOR%20ROTOPLAST%20160%20CONFORT</v>
      </c>
      <c r="I1333" t="e">
        <f t="shared" ca="1" si="41"/>
        <v>#NAME?</v>
      </c>
    </row>
    <row r="1334" spans="1:9" x14ac:dyDescent="0.25">
      <c r="A1334" s="2" t="s">
        <v>2172</v>
      </c>
      <c r="B1334" s="2" t="s">
        <v>10</v>
      </c>
      <c r="C1334" s="3">
        <v>43515</v>
      </c>
      <c r="D1334" t="s">
        <v>2153</v>
      </c>
      <c r="E1334" s="2" t="s">
        <v>12</v>
      </c>
      <c r="F1334" s="2" t="s">
        <v>12</v>
      </c>
      <c r="G1334" t="s">
        <v>586</v>
      </c>
      <c r="H1334" t="str">
        <f t="shared" si="40"/>
        <v>https://videplast.com.br/consulta-imobilizado?id=30001789&amp;nome=CLIMATIZADOR%20ROTOPLAST%20160%20CONFORT</v>
      </c>
      <c r="I1334" t="e">
        <f t="shared" ca="1" si="41"/>
        <v>#NAME?</v>
      </c>
    </row>
    <row r="1335" spans="1:9" x14ac:dyDescent="0.25">
      <c r="A1335" s="2" t="s">
        <v>2173</v>
      </c>
      <c r="B1335" s="2" t="s">
        <v>10</v>
      </c>
      <c r="C1335" s="3">
        <v>43798</v>
      </c>
      <c r="D1335" t="s">
        <v>2174</v>
      </c>
      <c r="E1335" s="2" t="s">
        <v>12</v>
      </c>
      <c r="F1335" s="2" t="s">
        <v>12</v>
      </c>
      <c r="G1335" t="s">
        <v>586</v>
      </c>
      <c r="H1335" t="str">
        <f t="shared" si="40"/>
        <v>https://videplast.com.br/consulta-imobilizado?id=30002331&amp;nome=RACK%20DESMONTAVEL%2019"X42%20U%20600X800MM%20PT</v>
      </c>
      <c r="I1335" t="e">
        <f t="shared" ca="1" si="41"/>
        <v>#NAME?</v>
      </c>
    </row>
    <row r="1336" spans="1:9" x14ac:dyDescent="0.25">
      <c r="A1336" s="2" t="s">
        <v>2175</v>
      </c>
      <c r="B1336" s="2" t="s">
        <v>10</v>
      </c>
      <c r="C1336" s="3">
        <v>44574</v>
      </c>
      <c r="D1336" t="s">
        <v>2176</v>
      </c>
      <c r="E1336" s="2" t="s">
        <v>12</v>
      </c>
      <c r="F1336" s="2" t="s">
        <v>12</v>
      </c>
      <c r="G1336" t="s">
        <v>586</v>
      </c>
      <c r="H1336" t="str">
        <f t="shared" si="40"/>
        <v>https://videplast.com.br/consulta-imobilizado?id=30003540&amp;nome=PALLET%20DE%20CONTENCAO%202%20TAMBORES%20200L</v>
      </c>
      <c r="I1336" t="e">
        <f t="shared" ca="1" si="41"/>
        <v>#NAME?</v>
      </c>
    </row>
    <row r="1337" spans="1:9" x14ac:dyDescent="0.25">
      <c r="A1337" s="2" t="s">
        <v>2177</v>
      </c>
      <c r="B1337" s="2" t="s">
        <v>10</v>
      </c>
      <c r="C1337" s="3">
        <v>44711</v>
      </c>
      <c r="D1337" t="s">
        <v>2178</v>
      </c>
      <c r="E1337" s="2" t="s">
        <v>2179</v>
      </c>
      <c r="F1337" s="2" t="s">
        <v>12</v>
      </c>
      <c r="G1337" t="s">
        <v>586</v>
      </c>
      <c r="H1337" t="str">
        <f t="shared" si="40"/>
        <v>https://videplast.com.br/consulta-imobilizado?id=30003639&amp;nome=PALLET%20DE%20CONTENCAO%20INOPLASTIC%202%20TAMBORES%20600KG</v>
      </c>
      <c r="I1337" t="e">
        <f t="shared" ca="1" si="41"/>
        <v>#NAME?</v>
      </c>
    </row>
    <row r="1338" spans="1:9" x14ac:dyDescent="0.25">
      <c r="A1338" s="2" t="s">
        <v>2180</v>
      </c>
      <c r="B1338" s="2" t="s">
        <v>10</v>
      </c>
      <c r="C1338" s="3">
        <v>44711</v>
      </c>
      <c r="D1338" t="s">
        <v>2178</v>
      </c>
      <c r="E1338" s="2" t="s">
        <v>2181</v>
      </c>
      <c r="F1338" s="2" t="s">
        <v>12</v>
      </c>
      <c r="G1338" t="s">
        <v>586</v>
      </c>
      <c r="H1338" t="str">
        <f t="shared" si="40"/>
        <v>https://videplast.com.br/consulta-imobilizado?id=30003640&amp;nome=PALLET%20DE%20CONTENCAO%20INOPLASTIC%202%20TAMBORES%20600KG</v>
      </c>
      <c r="I1338" t="e">
        <f t="shared" ca="1" si="41"/>
        <v>#NAME?</v>
      </c>
    </row>
    <row r="1339" spans="1:9" x14ac:dyDescent="0.25">
      <c r="A1339" s="2" t="s">
        <v>2182</v>
      </c>
      <c r="B1339" s="2" t="s">
        <v>10</v>
      </c>
      <c r="C1339" s="3">
        <v>44715</v>
      </c>
      <c r="D1339" t="s">
        <v>447</v>
      </c>
      <c r="E1339" s="2" t="s">
        <v>2183</v>
      </c>
      <c r="F1339" s="2" t="s">
        <v>12</v>
      </c>
      <c r="G1339" t="s">
        <v>586</v>
      </c>
      <c r="H1339" t="str">
        <f t="shared" si="40"/>
        <v>https://videplast.com.br/consulta-imobilizado?id=30003642&amp;nome=RACK%20METAL%2016UX570MM</v>
      </c>
      <c r="I1339" t="e">
        <f t="shared" ca="1" si="41"/>
        <v>#NAME?</v>
      </c>
    </row>
    <row r="1340" spans="1:9" x14ac:dyDescent="0.25">
      <c r="A1340" s="2" t="s">
        <v>2184</v>
      </c>
      <c r="B1340" s="2" t="s">
        <v>10</v>
      </c>
      <c r="C1340" s="3">
        <v>44876</v>
      </c>
      <c r="D1340" t="s">
        <v>457</v>
      </c>
      <c r="E1340" s="2" t="s">
        <v>2185</v>
      </c>
      <c r="F1340" s="2" t="s">
        <v>12</v>
      </c>
      <c r="G1340" t="s">
        <v>586</v>
      </c>
      <c r="H1340" t="str">
        <f t="shared" si="40"/>
        <v>https://videplast.com.br/consulta-imobilizado?id=30003693&amp;nome=ARMARIO%20DE%20ACO%20CINZA%20COM%2050%20PORTAS%201140X1030X280MM</v>
      </c>
      <c r="I1340" t="e">
        <f t="shared" ca="1" si="41"/>
        <v>#NAME?</v>
      </c>
    </row>
    <row r="1341" spans="1:9" x14ac:dyDescent="0.25">
      <c r="A1341" s="2" t="s">
        <v>2186</v>
      </c>
      <c r="B1341" s="2" t="s">
        <v>10</v>
      </c>
      <c r="C1341" s="3">
        <v>44876</v>
      </c>
      <c r="D1341" t="s">
        <v>457</v>
      </c>
      <c r="E1341" s="2" t="s">
        <v>2187</v>
      </c>
      <c r="F1341" s="2" t="s">
        <v>12</v>
      </c>
      <c r="G1341" t="s">
        <v>586</v>
      </c>
      <c r="H1341" t="str">
        <f t="shared" si="40"/>
        <v>https://videplast.com.br/consulta-imobilizado?id=30003694&amp;nome=ARMARIO%20DE%20ACO%20CINZA%20COM%2050%20PORTAS%201140X1030X280MM</v>
      </c>
      <c r="I1341" t="e">
        <f t="shared" ca="1" si="41"/>
        <v>#NAME?</v>
      </c>
    </row>
    <row r="1342" spans="1:9" x14ac:dyDescent="0.25">
      <c r="A1342" s="2" t="s">
        <v>2188</v>
      </c>
      <c r="B1342" s="2" t="s">
        <v>10</v>
      </c>
      <c r="C1342" s="3">
        <v>44883</v>
      </c>
      <c r="D1342" t="s">
        <v>2189</v>
      </c>
      <c r="E1342" s="2" t="s">
        <v>2190</v>
      </c>
      <c r="F1342" s="2" t="s">
        <v>12</v>
      </c>
      <c r="G1342" t="s">
        <v>586</v>
      </c>
      <c r="H1342" t="str">
        <f t="shared" si="40"/>
        <v>https://videplast.com.br/consulta-imobilizado?id=30003738&amp;nome=CADEIRA%20CAIXA%20EXECUTIVA%20COM%20BRACO%20T</v>
      </c>
      <c r="I1342" t="e">
        <f t="shared" ca="1" si="41"/>
        <v>#NAME?</v>
      </c>
    </row>
    <row r="1343" spans="1:9" x14ac:dyDescent="0.25">
      <c r="A1343" s="2" t="s">
        <v>2191</v>
      </c>
      <c r="B1343" s="2" t="s">
        <v>10</v>
      </c>
      <c r="C1343" s="3">
        <v>44883</v>
      </c>
      <c r="D1343" t="s">
        <v>2189</v>
      </c>
      <c r="E1343" s="2" t="s">
        <v>2192</v>
      </c>
      <c r="F1343" s="2" t="s">
        <v>12</v>
      </c>
      <c r="G1343" t="s">
        <v>586</v>
      </c>
      <c r="H1343" t="str">
        <f t="shared" si="40"/>
        <v>https://videplast.com.br/consulta-imobilizado?id=30003739&amp;nome=CADEIRA%20CAIXA%20EXECUTIVA%20COM%20BRACO%20T</v>
      </c>
      <c r="I1343" t="e">
        <f t="shared" ca="1" si="41"/>
        <v>#NAME?</v>
      </c>
    </row>
    <row r="1344" spans="1:9" x14ac:dyDescent="0.25">
      <c r="A1344" s="2" t="s">
        <v>2193</v>
      </c>
      <c r="B1344" s="2" t="s">
        <v>10</v>
      </c>
      <c r="C1344" s="3">
        <v>44883</v>
      </c>
      <c r="D1344" t="s">
        <v>2189</v>
      </c>
      <c r="E1344" s="2" t="s">
        <v>2194</v>
      </c>
      <c r="F1344" s="2" t="s">
        <v>12</v>
      </c>
      <c r="G1344" t="s">
        <v>586</v>
      </c>
      <c r="H1344" t="str">
        <f t="shared" si="40"/>
        <v>https://videplast.com.br/consulta-imobilizado?id=30003740&amp;nome=CADEIRA%20CAIXA%20EXECUTIVA%20COM%20BRACO%20T</v>
      </c>
      <c r="I1344" t="e">
        <f t="shared" ca="1" si="41"/>
        <v>#NAME?</v>
      </c>
    </row>
    <row r="1345" spans="1:9" x14ac:dyDescent="0.25">
      <c r="A1345" s="2" t="s">
        <v>2195</v>
      </c>
      <c r="B1345" s="2" t="s">
        <v>10</v>
      </c>
      <c r="C1345" s="3">
        <v>44952</v>
      </c>
      <c r="D1345" t="s">
        <v>2196</v>
      </c>
      <c r="E1345" s="2" t="s">
        <v>2197</v>
      </c>
      <c r="F1345" s="2" t="s">
        <v>2198</v>
      </c>
      <c r="G1345" t="s">
        <v>586</v>
      </c>
      <c r="H1345" t="str">
        <f t="shared" si="40"/>
        <v>https://videplast.com.br/consulta-imobilizado?id=30003796&amp;nome=AR%20CONDICIONADO%20FRIO%20FUJITSU%2012000%20BTUS</v>
      </c>
      <c r="I1345" t="e">
        <f t="shared" ca="1" si="41"/>
        <v>#NAME?</v>
      </c>
    </row>
    <row r="1346" spans="1:9" x14ac:dyDescent="0.25">
      <c r="A1346" s="2" t="s">
        <v>2199</v>
      </c>
      <c r="B1346" s="2" t="s">
        <v>10</v>
      </c>
      <c r="C1346" s="3">
        <v>45033</v>
      </c>
      <c r="D1346" t="s">
        <v>2200</v>
      </c>
      <c r="E1346" s="2" t="s">
        <v>2201</v>
      </c>
      <c r="F1346" s="2" t="s">
        <v>12</v>
      </c>
      <c r="G1346" t="s">
        <v>586</v>
      </c>
      <c r="H1346" t="str">
        <f t="shared" ref="H1346:H1409" si="42" xml:space="preserve"> "https://videplast.com.br/consulta-imobilizado?id=" &amp; A1346 &amp; "&amp;nome=" &amp; SUBSTITUTE(D1346, " ", "%20")</f>
        <v>https://videplast.com.br/consulta-imobilizado?id=30003799&amp;nome=ARMARIO%20120X160X0,80%20COM%20PRATELEIRAS</v>
      </c>
      <c r="I1346" t="e">
        <f t="shared" ref="I1346:I1409" ca="1" si="43">_xlfn.IMAGE("https://chart.googleapis.com/chart?chs=150x150&amp;cht=qr&amp;chl=" &amp; H1346)</f>
        <v>#NAME?</v>
      </c>
    </row>
    <row r="1347" spans="1:9" x14ac:dyDescent="0.25">
      <c r="A1347" s="2" t="s">
        <v>2202</v>
      </c>
      <c r="B1347" s="2" t="s">
        <v>10</v>
      </c>
      <c r="C1347" s="3">
        <v>45195</v>
      </c>
      <c r="D1347" t="s">
        <v>2203</v>
      </c>
      <c r="E1347" s="2" t="s">
        <v>12</v>
      </c>
      <c r="F1347" s="2" t="s">
        <v>2204</v>
      </c>
      <c r="G1347" t="s">
        <v>586</v>
      </c>
      <c r="H1347" t="str">
        <f t="shared" si="42"/>
        <v>https://videplast.com.br/consulta-imobilizado?id=30003939&amp;nome=LAVADORA%20DE%20ALTA%20PRESSAO%20JACTOCLEAN%20J6800%20220V</v>
      </c>
      <c r="I1347" t="e">
        <f t="shared" ca="1" si="43"/>
        <v>#NAME?</v>
      </c>
    </row>
    <row r="1348" spans="1:9" x14ac:dyDescent="0.25">
      <c r="A1348" s="2" t="s">
        <v>2205</v>
      </c>
      <c r="B1348" s="2" t="s">
        <v>10</v>
      </c>
      <c r="C1348" s="3">
        <v>45230</v>
      </c>
      <c r="D1348" t="s">
        <v>2206</v>
      </c>
      <c r="E1348" s="2" t="s">
        <v>2207</v>
      </c>
      <c r="F1348" s="2" t="s">
        <v>2208</v>
      </c>
      <c r="G1348" t="s">
        <v>586</v>
      </c>
      <c r="H1348" t="str">
        <f t="shared" si="42"/>
        <v>https://videplast.com.br/consulta-imobilizado?id=30004007&amp;nome=AR%20CONDICIONADO%20EXT/INT%20FRIO%20FUJITSU%2035000%20BTU</v>
      </c>
      <c r="I1348" t="e">
        <f t="shared" ca="1" si="43"/>
        <v>#NAME?</v>
      </c>
    </row>
    <row r="1349" spans="1:9" x14ac:dyDescent="0.25">
      <c r="A1349" s="2" t="s">
        <v>2209</v>
      </c>
      <c r="B1349" s="2" t="s">
        <v>10</v>
      </c>
      <c r="C1349" s="3">
        <v>45399</v>
      </c>
      <c r="D1349" t="s">
        <v>2210</v>
      </c>
      <c r="E1349" s="2" t="s">
        <v>2211</v>
      </c>
      <c r="F1349" s="2" t="s">
        <v>2212</v>
      </c>
      <c r="G1349" t="s">
        <v>586</v>
      </c>
      <c r="H1349" t="str">
        <f t="shared" si="42"/>
        <v>https://videplast.com.br/consulta-imobilizado?id=30004013&amp;nome=AR%20CONDICIONADO%20EXT/INT%20FRIO%20FUJITSU%2018000%20BTU</v>
      </c>
      <c r="I1349" t="e">
        <f t="shared" ca="1" si="43"/>
        <v>#NAME?</v>
      </c>
    </row>
    <row r="1350" spans="1:9" x14ac:dyDescent="0.25">
      <c r="A1350" s="2" t="s">
        <v>2213</v>
      </c>
      <c r="B1350" s="2" t="s">
        <v>10</v>
      </c>
      <c r="C1350" s="3">
        <v>45581</v>
      </c>
      <c r="D1350" t="s">
        <v>2214</v>
      </c>
      <c r="E1350" s="2" t="s">
        <v>2215</v>
      </c>
      <c r="F1350" s="2" t="s">
        <v>2216</v>
      </c>
      <c r="G1350" t="s">
        <v>586</v>
      </c>
      <c r="H1350" t="str">
        <f t="shared" si="42"/>
        <v>https://videplast.com.br/consulta-imobilizado?id=30004431&amp;nome=AR%20CONDICIONADO%20SLIP%20HW%20FUJITSU%20R32%2018000%20BTU</v>
      </c>
      <c r="I1350" t="e">
        <f t="shared" ca="1" si="43"/>
        <v>#NAME?</v>
      </c>
    </row>
    <row r="1351" spans="1:9" x14ac:dyDescent="0.25">
      <c r="A1351" s="2" t="s">
        <v>2217</v>
      </c>
      <c r="B1351" s="2" t="s">
        <v>10</v>
      </c>
      <c r="C1351" s="3">
        <v>45707</v>
      </c>
      <c r="D1351" t="s">
        <v>2218</v>
      </c>
      <c r="E1351" s="2" t="s">
        <v>2219</v>
      </c>
      <c r="F1351" s="2" t="s">
        <v>12</v>
      </c>
      <c r="G1351" t="s">
        <v>586</v>
      </c>
      <c r="H1351" t="str">
        <f t="shared" si="42"/>
        <v>https://videplast.com.br/consulta-imobilizado?id=30004451&amp;nome=CADEIRA%20CAVALETTI%20GIRATORIA%20DIRETOR%204002</v>
      </c>
      <c r="I1351" t="e">
        <f t="shared" ca="1" si="43"/>
        <v>#NAME?</v>
      </c>
    </row>
    <row r="1352" spans="1:9" x14ac:dyDescent="0.25">
      <c r="A1352" s="2" t="s">
        <v>2217</v>
      </c>
      <c r="B1352" s="2" t="s">
        <v>26</v>
      </c>
      <c r="C1352" s="3">
        <v>45728</v>
      </c>
      <c r="D1352" t="s">
        <v>2220</v>
      </c>
      <c r="E1352" s="2" t="s">
        <v>12</v>
      </c>
      <c r="F1352" s="2" t="s">
        <v>12</v>
      </c>
      <c r="G1352" t="s">
        <v>586</v>
      </c>
      <c r="H1352" t="str">
        <f t="shared" si="42"/>
        <v>https://videplast.com.br/consulta-imobilizado?id=30004451&amp;nome=FRETE%20CADEIRA%20CAVALETTI</v>
      </c>
      <c r="I1352" t="e">
        <f t="shared" ca="1" si="43"/>
        <v>#NAME?</v>
      </c>
    </row>
    <row r="1353" spans="1:9" x14ac:dyDescent="0.25">
      <c r="A1353" s="2" t="s">
        <v>2221</v>
      </c>
      <c r="B1353" s="2" t="s">
        <v>10</v>
      </c>
      <c r="C1353" s="3">
        <v>45707</v>
      </c>
      <c r="D1353" t="s">
        <v>2218</v>
      </c>
      <c r="E1353" s="2" t="s">
        <v>2222</v>
      </c>
      <c r="F1353" s="2" t="s">
        <v>12</v>
      </c>
      <c r="G1353" t="s">
        <v>586</v>
      </c>
      <c r="H1353" t="str">
        <f t="shared" si="42"/>
        <v>https://videplast.com.br/consulta-imobilizado?id=30004452&amp;nome=CADEIRA%20CAVALETTI%20GIRATORIA%20DIRETOR%204002</v>
      </c>
      <c r="I1353" t="e">
        <f t="shared" ca="1" si="43"/>
        <v>#NAME?</v>
      </c>
    </row>
    <row r="1354" spans="1:9" x14ac:dyDescent="0.25">
      <c r="A1354" s="2" t="s">
        <v>2221</v>
      </c>
      <c r="B1354" s="2" t="s">
        <v>26</v>
      </c>
      <c r="C1354" s="3">
        <v>45728</v>
      </c>
      <c r="D1354" t="s">
        <v>2220</v>
      </c>
      <c r="E1354" s="2" t="s">
        <v>12</v>
      </c>
      <c r="F1354" s="2" t="s">
        <v>12</v>
      </c>
      <c r="G1354" t="s">
        <v>586</v>
      </c>
      <c r="H1354" t="str">
        <f t="shared" si="42"/>
        <v>https://videplast.com.br/consulta-imobilizado?id=30004452&amp;nome=FRETE%20CADEIRA%20CAVALETTI</v>
      </c>
      <c r="I1354" t="e">
        <f t="shared" ca="1" si="43"/>
        <v>#NAME?</v>
      </c>
    </row>
    <row r="1355" spans="1:9" x14ac:dyDescent="0.25">
      <c r="A1355" s="2" t="s">
        <v>2223</v>
      </c>
      <c r="B1355" s="2" t="s">
        <v>10</v>
      </c>
      <c r="C1355" s="3">
        <v>45707</v>
      </c>
      <c r="D1355" t="s">
        <v>2218</v>
      </c>
      <c r="E1355" s="2" t="s">
        <v>2224</v>
      </c>
      <c r="F1355" s="2" t="s">
        <v>12</v>
      </c>
      <c r="G1355" t="s">
        <v>586</v>
      </c>
      <c r="H1355" t="str">
        <f t="shared" si="42"/>
        <v>https://videplast.com.br/consulta-imobilizado?id=30004453&amp;nome=CADEIRA%20CAVALETTI%20GIRATORIA%20DIRETOR%204002</v>
      </c>
      <c r="I1355" t="e">
        <f t="shared" ca="1" si="43"/>
        <v>#NAME?</v>
      </c>
    </row>
    <row r="1356" spans="1:9" x14ac:dyDescent="0.25">
      <c r="A1356" s="2" t="s">
        <v>2223</v>
      </c>
      <c r="B1356" s="2" t="s">
        <v>26</v>
      </c>
      <c r="C1356" s="3">
        <v>45728</v>
      </c>
      <c r="D1356" t="s">
        <v>2220</v>
      </c>
      <c r="E1356" s="2" t="s">
        <v>12</v>
      </c>
      <c r="F1356" s="2" t="s">
        <v>12</v>
      </c>
      <c r="G1356" t="s">
        <v>586</v>
      </c>
      <c r="H1356" t="str">
        <f t="shared" si="42"/>
        <v>https://videplast.com.br/consulta-imobilizado?id=30004453&amp;nome=FRETE%20CADEIRA%20CAVALETTI</v>
      </c>
      <c r="I1356" t="e">
        <f t="shared" ca="1" si="43"/>
        <v>#NAME?</v>
      </c>
    </row>
    <row r="1357" spans="1:9" x14ac:dyDescent="0.25">
      <c r="A1357" s="2" t="s">
        <v>2225</v>
      </c>
      <c r="B1357" s="2" t="s">
        <v>10</v>
      </c>
      <c r="C1357" s="3">
        <v>45707</v>
      </c>
      <c r="D1357" t="s">
        <v>2218</v>
      </c>
      <c r="E1357" s="2" t="s">
        <v>2226</v>
      </c>
      <c r="F1357" s="2" t="s">
        <v>12</v>
      </c>
      <c r="G1357" t="s">
        <v>586</v>
      </c>
      <c r="H1357" t="str">
        <f t="shared" si="42"/>
        <v>https://videplast.com.br/consulta-imobilizado?id=30004454&amp;nome=CADEIRA%20CAVALETTI%20GIRATORIA%20DIRETOR%204002</v>
      </c>
      <c r="I1357" t="e">
        <f t="shared" ca="1" si="43"/>
        <v>#NAME?</v>
      </c>
    </row>
    <row r="1358" spans="1:9" x14ac:dyDescent="0.25">
      <c r="A1358" s="2" t="s">
        <v>2225</v>
      </c>
      <c r="B1358" s="2" t="s">
        <v>26</v>
      </c>
      <c r="C1358" s="3">
        <v>45728</v>
      </c>
      <c r="D1358" t="s">
        <v>2220</v>
      </c>
      <c r="E1358" s="2" t="s">
        <v>12</v>
      </c>
      <c r="F1358" s="2" t="s">
        <v>12</v>
      </c>
      <c r="G1358" t="s">
        <v>586</v>
      </c>
      <c r="H1358" t="str">
        <f t="shared" si="42"/>
        <v>https://videplast.com.br/consulta-imobilizado?id=30004454&amp;nome=FRETE%20CADEIRA%20CAVALETTI</v>
      </c>
      <c r="I1358" t="e">
        <f t="shared" ca="1" si="43"/>
        <v>#NAME?</v>
      </c>
    </row>
    <row r="1359" spans="1:9" x14ac:dyDescent="0.25">
      <c r="A1359" s="2" t="s">
        <v>2227</v>
      </c>
      <c r="B1359" s="2" t="s">
        <v>10</v>
      </c>
      <c r="C1359" s="3">
        <v>45707</v>
      </c>
      <c r="D1359" t="s">
        <v>2218</v>
      </c>
      <c r="E1359" s="2" t="s">
        <v>2228</v>
      </c>
      <c r="F1359" s="2" t="s">
        <v>12</v>
      </c>
      <c r="G1359" t="s">
        <v>586</v>
      </c>
      <c r="H1359" t="str">
        <f t="shared" si="42"/>
        <v>https://videplast.com.br/consulta-imobilizado?id=30004455&amp;nome=CADEIRA%20CAVALETTI%20GIRATORIA%20DIRETOR%204002</v>
      </c>
      <c r="I1359" t="e">
        <f t="shared" ca="1" si="43"/>
        <v>#NAME?</v>
      </c>
    </row>
    <row r="1360" spans="1:9" x14ac:dyDescent="0.25">
      <c r="A1360" s="2" t="s">
        <v>2227</v>
      </c>
      <c r="B1360" s="2" t="s">
        <v>26</v>
      </c>
      <c r="C1360" s="3">
        <v>45728</v>
      </c>
      <c r="D1360" t="s">
        <v>2220</v>
      </c>
      <c r="E1360" s="2" t="s">
        <v>12</v>
      </c>
      <c r="F1360" s="2" t="s">
        <v>12</v>
      </c>
      <c r="G1360" t="s">
        <v>586</v>
      </c>
      <c r="H1360" t="str">
        <f t="shared" si="42"/>
        <v>https://videplast.com.br/consulta-imobilizado?id=30004455&amp;nome=FRETE%20CADEIRA%20CAVALETTI</v>
      </c>
      <c r="I1360" t="e">
        <f t="shared" ca="1" si="43"/>
        <v>#NAME?</v>
      </c>
    </row>
    <row r="1361" spans="1:9" x14ac:dyDescent="0.25">
      <c r="A1361" s="2" t="s">
        <v>2229</v>
      </c>
      <c r="B1361" s="2" t="s">
        <v>10</v>
      </c>
      <c r="C1361" s="3">
        <v>45707</v>
      </c>
      <c r="D1361" t="s">
        <v>2218</v>
      </c>
      <c r="E1361" s="2" t="s">
        <v>2230</v>
      </c>
      <c r="F1361" s="2" t="s">
        <v>12</v>
      </c>
      <c r="G1361" t="s">
        <v>586</v>
      </c>
      <c r="H1361" t="str">
        <f t="shared" si="42"/>
        <v>https://videplast.com.br/consulta-imobilizado?id=30004456&amp;nome=CADEIRA%20CAVALETTI%20GIRATORIA%20DIRETOR%204002</v>
      </c>
      <c r="I1361" t="e">
        <f t="shared" ca="1" si="43"/>
        <v>#NAME?</v>
      </c>
    </row>
    <row r="1362" spans="1:9" x14ac:dyDescent="0.25">
      <c r="A1362" s="2" t="s">
        <v>2229</v>
      </c>
      <c r="B1362" s="2" t="s">
        <v>26</v>
      </c>
      <c r="C1362" s="3">
        <v>45728</v>
      </c>
      <c r="D1362" t="s">
        <v>2220</v>
      </c>
      <c r="E1362" s="2" t="s">
        <v>12</v>
      </c>
      <c r="F1362" s="2" t="s">
        <v>12</v>
      </c>
      <c r="G1362" t="s">
        <v>586</v>
      </c>
      <c r="H1362" t="str">
        <f t="shared" si="42"/>
        <v>https://videplast.com.br/consulta-imobilizado?id=30004456&amp;nome=FRETE%20CADEIRA%20CAVALETTI</v>
      </c>
      <c r="I1362" t="e">
        <f t="shared" ca="1" si="43"/>
        <v>#NAME?</v>
      </c>
    </row>
    <row r="1363" spans="1:9" x14ac:dyDescent="0.25">
      <c r="A1363" s="2" t="s">
        <v>2231</v>
      </c>
      <c r="B1363" s="2" t="s">
        <v>10</v>
      </c>
      <c r="C1363" s="3">
        <v>45707</v>
      </c>
      <c r="D1363" t="s">
        <v>2218</v>
      </c>
      <c r="E1363" s="2" t="s">
        <v>2232</v>
      </c>
      <c r="F1363" s="2" t="s">
        <v>12</v>
      </c>
      <c r="G1363" t="s">
        <v>586</v>
      </c>
      <c r="H1363" t="str">
        <f t="shared" si="42"/>
        <v>https://videplast.com.br/consulta-imobilizado?id=30004457&amp;nome=CADEIRA%20CAVALETTI%20GIRATORIA%20DIRETOR%204002</v>
      </c>
      <c r="I1363" t="e">
        <f t="shared" ca="1" si="43"/>
        <v>#NAME?</v>
      </c>
    </row>
    <row r="1364" spans="1:9" x14ac:dyDescent="0.25">
      <c r="A1364" s="2" t="s">
        <v>2231</v>
      </c>
      <c r="B1364" s="2" t="s">
        <v>26</v>
      </c>
      <c r="C1364" s="3">
        <v>45728</v>
      </c>
      <c r="D1364" t="s">
        <v>2220</v>
      </c>
      <c r="E1364" s="2" t="s">
        <v>12</v>
      </c>
      <c r="F1364" s="2" t="s">
        <v>12</v>
      </c>
      <c r="G1364" t="s">
        <v>586</v>
      </c>
      <c r="H1364" t="str">
        <f t="shared" si="42"/>
        <v>https://videplast.com.br/consulta-imobilizado?id=30004457&amp;nome=FRETE%20CADEIRA%20CAVALETTI</v>
      </c>
      <c r="I1364" t="e">
        <f t="shared" ca="1" si="43"/>
        <v>#NAME?</v>
      </c>
    </row>
    <row r="1365" spans="1:9" x14ac:dyDescent="0.25">
      <c r="A1365" s="2" t="s">
        <v>2233</v>
      </c>
      <c r="B1365" s="2" t="s">
        <v>10</v>
      </c>
      <c r="C1365" s="3">
        <v>45726</v>
      </c>
      <c r="D1365" t="s">
        <v>2234</v>
      </c>
      <c r="E1365" s="2" t="s">
        <v>12</v>
      </c>
      <c r="F1365" s="2" t="s">
        <v>12</v>
      </c>
      <c r="G1365" t="s">
        <v>586</v>
      </c>
      <c r="H1365" t="str">
        <f t="shared" si="42"/>
        <v>https://videplast.com.br/consulta-imobilizado?id=30004489&amp;nome=AR%20CONDICIONADO%20FRIO%20FUJITSU%20220V%2012000%20BTU</v>
      </c>
      <c r="I1365" t="e">
        <f t="shared" ca="1" si="43"/>
        <v>#NAME?</v>
      </c>
    </row>
    <row r="1366" spans="1:9" x14ac:dyDescent="0.25">
      <c r="A1366" s="2" t="s">
        <v>2235</v>
      </c>
      <c r="B1366" s="2" t="s">
        <v>10</v>
      </c>
      <c r="C1366" s="3">
        <v>45518</v>
      </c>
      <c r="D1366" t="s">
        <v>2236</v>
      </c>
      <c r="E1366" s="2" t="s">
        <v>12</v>
      </c>
      <c r="F1366" s="2" t="s">
        <v>2237</v>
      </c>
      <c r="G1366" t="s">
        <v>586</v>
      </c>
      <c r="H1366" t="str">
        <f t="shared" si="42"/>
        <v>https://videplast.com.br/consulta-imobilizado?id=31000306&amp;nome=TRANSPALETEIRA%20ELETRICA%20STILL%20ECH15%201500KG%20685MM</v>
      </c>
      <c r="I1366" t="e">
        <f t="shared" ca="1" si="43"/>
        <v>#NAME?</v>
      </c>
    </row>
    <row r="1367" spans="1:9" x14ac:dyDescent="0.25">
      <c r="A1367" s="2" t="s">
        <v>2238</v>
      </c>
      <c r="B1367" s="2" t="s">
        <v>10</v>
      </c>
      <c r="C1367" s="3">
        <v>41333</v>
      </c>
      <c r="D1367" t="s">
        <v>2239</v>
      </c>
      <c r="E1367" s="2" t="s">
        <v>12</v>
      </c>
      <c r="F1367" s="2" t="s">
        <v>12</v>
      </c>
      <c r="G1367" t="s">
        <v>586</v>
      </c>
      <c r="H1367" t="str">
        <f t="shared" si="42"/>
        <v>https://videplast.com.br/consulta-imobilizado?id=32000049&amp;nome=PROCESSADOR%20INTEL%20CORE%20I3-2320%203,3GHZ</v>
      </c>
      <c r="I1367" t="e">
        <f t="shared" ca="1" si="43"/>
        <v>#NAME?</v>
      </c>
    </row>
    <row r="1368" spans="1:9" x14ac:dyDescent="0.25">
      <c r="A1368" s="2" t="s">
        <v>2238</v>
      </c>
      <c r="B1368" s="2" t="s">
        <v>26</v>
      </c>
      <c r="C1368" s="3">
        <v>41333</v>
      </c>
      <c r="D1368" t="s">
        <v>2240</v>
      </c>
      <c r="E1368" s="2" t="s">
        <v>12</v>
      </c>
      <c r="F1368" s="2" t="s">
        <v>12</v>
      </c>
      <c r="G1368" t="s">
        <v>586</v>
      </c>
      <c r="H1368" t="str">
        <f t="shared" si="42"/>
        <v>https://videplast.com.br/consulta-imobilizado?id=32000049&amp;nome=MB%20ASUS%20P8H61-M%20(PLACA%20MÃE)</v>
      </c>
      <c r="I1368" t="e">
        <f t="shared" ca="1" si="43"/>
        <v>#NAME?</v>
      </c>
    </row>
    <row r="1369" spans="1:9" x14ac:dyDescent="0.25">
      <c r="A1369" s="2" t="s">
        <v>2238</v>
      </c>
      <c r="B1369" s="2" t="s">
        <v>21</v>
      </c>
      <c r="C1369" s="3">
        <v>41333</v>
      </c>
      <c r="D1369" t="s">
        <v>2241</v>
      </c>
      <c r="E1369" s="2" t="s">
        <v>12</v>
      </c>
      <c r="F1369" s="2" t="s">
        <v>12</v>
      </c>
      <c r="G1369" t="s">
        <v>586</v>
      </c>
      <c r="H1369" t="str">
        <f t="shared" si="42"/>
        <v>https://videplast.com.br/consulta-imobilizado?id=32000049&amp;nome=MONITOR%2018,5"%20LG%20LED%20E1941/1940</v>
      </c>
      <c r="I1369" t="e">
        <f t="shared" ca="1" si="43"/>
        <v>#NAME?</v>
      </c>
    </row>
    <row r="1370" spans="1:9" x14ac:dyDescent="0.25">
      <c r="A1370" s="2" t="s">
        <v>2238</v>
      </c>
      <c r="B1370" s="2" t="s">
        <v>29</v>
      </c>
      <c r="C1370" s="3">
        <v>41333</v>
      </c>
      <c r="D1370" t="s">
        <v>2242</v>
      </c>
      <c r="E1370" s="2" t="s">
        <v>12</v>
      </c>
      <c r="F1370" s="2" t="s">
        <v>12</v>
      </c>
      <c r="G1370" t="s">
        <v>586</v>
      </c>
      <c r="H1370" t="str">
        <f t="shared" si="42"/>
        <v>https://videplast.com.br/consulta-imobilizado?id=32000049&amp;nome=MEMORIA%20DDR2%202GB%20KINGSTON</v>
      </c>
      <c r="I1370" t="e">
        <f t="shared" ca="1" si="43"/>
        <v>#NAME?</v>
      </c>
    </row>
    <row r="1371" spans="1:9" x14ac:dyDescent="0.25">
      <c r="A1371" s="2" t="s">
        <v>2238</v>
      </c>
      <c r="B1371" s="2" t="s">
        <v>31</v>
      </c>
      <c r="C1371" s="3">
        <v>41333</v>
      </c>
      <c r="D1371" t="s">
        <v>2243</v>
      </c>
      <c r="E1371" s="2" t="s">
        <v>12</v>
      </c>
      <c r="F1371" s="2" t="s">
        <v>12</v>
      </c>
      <c r="G1371" t="s">
        <v>586</v>
      </c>
      <c r="H1371" t="str">
        <f t="shared" si="42"/>
        <v>https://videplast.com.br/consulta-imobilizado?id=32000049&amp;nome=HD%20500%20GB</v>
      </c>
      <c r="I1371" t="e">
        <f t="shared" ca="1" si="43"/>
        <v>#NAME?</v>
      </c>
    </row>
    <row r="1372" spans="1:9" x14ac:dyDescent="0.25">
      <c r="A1372" s="2" t="s">
        <v>2238</v>
      </c>
      <c r="B1372" s="2" t="s">
        <v>33</v>
      </c>
      <c r="C1372" s="3">
        <v>41333</v>
      </c>
      <c r="D1372" t="s">
        <v>2244</v>
      </c>
      <c r="E1372" s="2" t="s">
        <v>12</v>
      </c>
      <c r="F1372" s="2" t="s">
        <v>12</v>
      </c>
      <c r="G1372" t="s">
        <v>586</v>
      </c>
      <c r="H1372" t="str">
        <f t="shared" si="42"/>
        <v>https://videplast.com.br/consulta-imobilizado?id=32000049&amp;nome=GABINETE%20ATX</v>
      </c>
      <c r="I1372" t="e">
        <f t="shared" ca="1" si="43"/>
        <v>#NAME?</v>
      </c>
    </row>
    <row r="1373" spans="1:9" x14ac:dyDescent="0.25">
      <c r="A1373" s="2" t="s">
        <v>2238</v>
      </c>
      <c r="B1373" s="2" t="s">
        <v>35</v>
      </c>
      <c r="C1373" s="3">
        <v>41333</v>
      </c>
      <c r="D1373" t="s">
        <v>2245</v>
      </c>
      <c r="E1373" s="2" t="s">
        <v>12</v>
      </c>
      <c r="F1373" s="2" t="s">
        <v>12</v>
      </c>
      <c r="G1373" t="s">
        <v>586</v>
      </c>
      <c r="H1373" t="str">
        <f t="shared" si="42"/>
        <v>https://videplast.com.br/consulta-imobilizado?id=32000049&amp;nome=ESTABILIZADOR%20SMS%20300VA</v>
      </c>
      <c r="I1373" t="e">
        <f t="shared" ca="1" si="43"/>
        <v>#NAME?</v>
      </c>
    </row>
    <row r="1374" spans="1:9" x14ac:dyDescent="0.25">
      <c r="A1374" s="2" t="s">
        <v>2246</v>
      </c>
      <c r="B1374" s="2" t="s">
        <v>10</v>
      </c>
      <c r="C1374" s="3">
        <v>41547</v>
      </c>
      <c r="D1374" t="s">
        <v>2247</v>
      </c>
      <c r="E1374" s="2" t="s">
        <v>12</v>
      </c>
      <c r="F1374" s="2" t="s">
        <v>12</v>
      </c>
      <c r="G1374" t="s">
        <v>586</v>
      </c>
      <c r="H1374" t="str">
        <f t="shared" si="42"/>
        <v>https://videplast.com.br/consulta-imobilizado?id=32000053&amp;nome=TABLET%20ORANGE%20TB7030</v>
      </c>
      <c r="I1374" t="e">
        <f t="shared" ca="1" si="43"/>
        <v>#NAME?</v>
      </c>
    </row>
    <row r="1375" spans="1:9" x14ac:dyDescent="0.25">
      <c r="A1375" s="2" t="s">
        <v>2248</v>
      </c>
      <c r="B1375" s="2" t="s">
        <v>10</v>
      </c>
      <c r="C1375" s="3">
        <v>41882</v>
      </c>
      <c r="D1375" t="s">
        <v>2249</v>
      </c>
      <c r="E1375" s="2" t="s">
        <v>12</v>
      </c>
      <c r="F1375" s="2" t="s">
        <v>12</v>
      </c>
      <c r="G1375" t="s">
        <v>586</v>
      </c>
      <c r="H1375" s="5" t="str">
        <f t="shared" si="42"/>
        <v>https://videplast.com.br/consulta-imobilizado?id=32000058&amp;nome=COMPUTADOR%20E%20I3-3250%203,5GHZ%20+%20GABINETE%20ATX</v>
      </c>
      <c r="I1375" t="e">
        <f t="shared" ca="1" si="43"/>
        <v>#NAME?</v>
      </c>
    </row>
    <row r="1376" spans="1:9" x14ac:dyDescent="0.25">
      <c r="A1376" s="2" t="s">
        <v>2248</v>
      </c>
      <c r="B1376" s="2" t="s">
        <v>26</v>
      </c>
      <c r="C1376" s="3">
        <v>41882</v>
      </c>
      <c r="D1376" t="s">
        <v>2249</v>
      </c>
      <c r="E1376" s="2" t="s">
        <v>12</v>
      </c>
      <c r="F1376" s="2" t="s">
        <v>12</v>
      </c>
      <c r="G1376" t="s">
        <v>586</v>
      </c>
      <c r="H1376" s="5" t="str">
        <f t="shared" si="42"/>
        <v>https://videplast.com.br/consulta-imobilizado?id=32000058&amp;nome=COMPUTADOR%20E%20I3-3250%203,5GHZ%20+%20GABINETE%20ATX</v>
      </c>
      <c r="I1376" t="e">
        <f t="shared" ca="1" si="43"/>
        <v>#NAME?</v>
      </c>
    </row>
    <row r="1377" spans="1:9" x14ac:dyDescent="0.25">
      <c r="A1377" s="2" t="s">
        <v>2248</v>
      </c>
      <c r="B1377" s="2" t="s">
        <v>21</v>
      </c>
      <c r="C1377" s="3">
        <v>41882</v>
      </c>
      <c r="D1377" t="s">
        <v>2249</v>
      </c>
      <c r="E1377" s="2" t="s">
        <v>12</v>
      </c>
      <c r="F1377" s="2" t="s">
        <v>12</v>
      </c>
      <c r="G1377" t="s">
        <v>586</v>
      </c>
      <c r="H1377" s="5" t="str">
        <f t="shared" si="42"/>
        <v>https://videplast.com.br/consulta-imobilizado?id=32000058&amp;nome=COMPUTADOR%20E%20I3-3250%203,5GHZ%20+%20GABINETE%20ATX</v>
      </c>
      <c r="I1377" t="e">
        <f t="shared" ca="1" si="43"/>
        <v>#NAME?</v>
      </c>
    </row>
    <row r="1378" spans="1:9" x14ac:dyDescent="0.25">
      <c r="A1378" s="2" t="s">
        <v>2250</v>
      </c>
      <c r="B1378" s="2" t="s">
        <v>10</v>
      </c>
      <c r="C1378" s="3">
        <v>41121</v>
      </c>
      <c r="D1378" t="s">
        <v>2251</v>
      </c>
      <c r="E1378" s="2" t="s">
        <v>12</v>
      </c>
      <c r="F1378" s="2" t="s">
        <v>12</v>
      </c>
      <c r="G1378" t="s">
        <v>586</v>
      </c>
      <c r="H1378" s="5" t="str">
        <f t="shared" si="42"/>
        <v>https://videplast.com.br/consulta-imobilizado?id=32000082&amp;nome=COMPUTADOR%20VISAGE%20CORE%20I5%202.9%20GHZ%204GB%201TB%20DVD</v>
      </c>
      <c r="I1378" t="e">
        <f t="shared" ca="1" si="43"/>
        <v>#NAME?</v>
      </c>
    </row>
    <row r="1379" spans="1:9" x14ac:dyDescent="0.25">
      <c r="A1379" s="2" t="s">
        <v>2252</v>
      </c>
      <c r="B1379" s="2" t="s">
        <v>10</v>
      </c>
      <c r="C1379" s="3">
        <v>41121</v>
      </c>
      <c r="D1379" t="s">
        <v>2253</v>
      </c>
      <c r="E1379" s="2" t="s">
        <v>12</v>
      </c>
      <c r="F1379" s="2" t="s">
        <v>12</v>
      </c>
      <c r="G1379" t="s">
        <v>586</v>
      </c>
      <c r="H1379" t="str">
        <f t="shared" si="42"/>
        <v>https://videplast.com.br/consulta-imobilizado?id=32000083&amp;nome=NOBREAK%201400VA%20SMS%20MANAGER%20NET4%20+%20BLACK</v>
      </c>
      <c r="I1379" t="e">
        <f t="shared" ca="1" si="43"/>
        <v>#NAME?</v>
      </c>
    </row>
    <row r="1380" spans="1:9" x14ac:dyDescent="0.25">
      <c r="A1380" s="2" t="s">
        <v>2254</v>
      </c>
      <c r="B1380" s="2" t="s">
        <v>10</v>
      </c>
      <c r="C1380" s="3">
        <v>40908</v>
      </c>
      <c r="D1380" t="s">
        <v>2255</v>
      </c>
      <c r="E1380" s="2" t="s">
        <v>12</v>
      </c>
      <c r="F1380" s="2" t="s">
        <v>12</v>
      </c>
      <c r="G1380" t="s">
        <v>586</v>
      </c>
      <c r="H1380" t="str">
        <f t="shared" si="42"/>
        <v>https://videplast.com.br/consulta-imobilizado?id=32000087&amp;nome=MONITOR%2017''%20LED%20SAMSUNG</v>
      </c>
      <c r="I1380" t="e">
        <f t="shared" ca="1" si="43"/>
        <v>#NAME?</v>
      </c>
    </row>
    <row r="1381" spans="1:9" x14ac:dyDescent="0.25">
      <c r="A1381" s="2" t="s">
        <v>2256</v>
      </c>
      <c r="B1381" s="2" t="s">
        <v>10</v>
      </c>
      <c r="C1381" s="3">
        <v>39973</v>
      </c>
      <c r="D1381" t="s">
        <v>2257</v>
      </c>
      <c r="E1381" s="2" t="s">
        <v>12</v>
      </c>
      <c r="F1381" s="2" t="s">
        <v>12</v>
      </c>
      <c r="G1381" t="s">
        <v>586</v>
      </c>
      <c r="H1381" t="str">
        <f t="shared" si="42"/>
        <v>https://videplast.com.br/consulta-imobilizado?id=32000195&amp;nome=IMPRESSOR%20TERMICO%20DE%20ETIQUETA%20FILIZOLA</v>
      </c>
      <c r="I1381" t="e">
        <f t="shared" ca="1" si="43"/>
        <v>#NAME?</v>
      </c>
    </row>
    <row r="1382" spans="1:9" x14ac:dyDescent="0.25">
      <c r="A1382" s="2" t="s">
        <v>2258</v>
      </c>
      <c r="B1382" s="2" t="s">
        <v>10</v>
      </c>
      <c r="C1382" s="3">
        <v>40512</v>
      </c>
      <c r="D1382" t="s">
        <v>2259</v>
      </c>
      <c r="E1382" s="2" t="s">
        <v>12</v>
      </c>
      <c r="F1382" s="2" t="s">
        <v>12</v>
      </c>
      <c r="G1382" t="s">
        <v>586</v>
      </c>
      <c r="H1382" s="5" t="str">
        <f t="shared" si="42"/>
        <v>https://videplast.com.br/consulta-imobilizado?id=32000208&amp;nome=4%20COMPUTADOR%20INTEL%20E5400%20CORE%20DUO%202.7%20GHZ%20COMPLETO</v>
      </c>
      <c r="I1382" t="e">
        <f t="shared" ca="1" si="43"/>
        <v>#NAME?</v>
      </c>
    </row>
    <row r="1383" spans="1:9" x14ac:dyDescent="0.25">
      <c r="A1383" s="2" t="s">
        <v>2260</v>
      </c>
      <c r="B1383" s="2" t="s">
        <v>10</v>
      </c>
      <c r="C1383" s="3">
        <v>42608</v>
      </c>
      <c r="D1383" t="s">
        <v>2261</v>
      </c>
      <c r="E1383" s="2" t="s">
        <v>12</v>
      </c>
      <c r="F1383" s="2" t="s">
        <v>2262</v>
      </c>
      <c r="G1383" t="s">
        <v>586</v>
      </c>
      <c r="H1383" s="5" t="str">
        <f t="shared" si="42"/>
        <v>https://videplast.com.br/consulta-imobilizado?id=32000962&amp;nome=COMPUTADOR%20DELL%20OPTIPLEX%203040</v>
      </c>
      <c r="I1383" t="e">
        <f t="shared" ca="1" si="43"/>
        <v>#NAME?</v>
      </c>
    </row>
    <row r="1384" spans="1:9" x14ac:dyDescent="0.25">
      <c r="A1384" s="2" t="s">
        <v>2263</v>
      </c>
      <c r="B1384" s="2" t="s">
        <v>10</v>
      </c>
      <c r="C1384" s="3">
        <v>42748</v>
      </c>
      <c r="D1384" t="s">
        <v>2264</v>
      </c>
      <c r="E1384" s="2" t="s">
        <v>12</v>
      </c>
      <c r="F1384" s="2" t="s">
        <v>12</v>
      </c>
      <c r="G1384" t="s">
        <v>586</v>
      </c>
      <c r="H1384" s="5" t="str">
        <f t="shared" si="42"/>
        <v>https://videplast.com.br/consulta-imobilizado?id=32000987&amp;nome=COMPUTADOR%20DELL%20OPTIPLEX%207040SFF%20I5%208GB%20HD500%20W10P</v>
      </c>
      <c r="I1384" t="e">
        <f t="shared" ca="1" si="43"/>
        <v>#NAME?</v>
      </c>
    </row>
    <row r="1385" spans="1:9" x14ac:dyDescent="0.25">
      <c r="A1385" s="2" t="s">
        <v>2265</v>
      </c>
      <c r="B1385" s="2" t="s">
        <v>10</v>
      </c>
      <c r="C1385" s="3">
        <v>42906</v>
      </c>
      <c r="D1385" t="s">
        <v>2266</v>
      </c>
      <c r="E1385" s="2" t="s">
        <v>12</v>
      </c>
      <c r="F1385" s="2" t="s">
        <v>12</v>
      </c>
      <c r="G1385" t="s">
        <v>586</v>
      </c>
      <c r="H1385" s="5" t="str">
        <f t="shared" si="42"/>
        <v>https://videplast.com.br/consulta-imobilizado?id=32001009&amp;nome=COMPUTADOR%20DELL%20I3%208GB%20500GB%203.7GHZ%20W10</v>
      </c>
      <c r="I1385" t="e">
        <f t="shared" ca="1" si="43"/>
        <v>#NAME?</v>
      </c>
    </row>
    <row r="1386" spans="1:9" x14ac:dyDescent="0.25">
      <c r="A1386" s="2" t="s">
        <v>2267</v>
      </c>
      <c r="B1386" s="2" t="s">
        <v>10</v>
      </c>
      <c r="C1386" s="3">
        <v>42906</v>
      </c>
      <c r="D1386" t="s">
        <v>504</v>
      </c>
      <c r="E1386" s="2" t="s">
        <v>12</v>
      </c>
      <c r="F1386" s="2" t="s">
        <v>12</v>
      </c>
      <c r="G1386" t="s">
        <v>586</v>
      </c>
      <c r="H1386" t="str">
        <f t="shared" si="42"/>
        <v>https://videplast.com.br/consulta-imobilizado?id=32001012&amp;nome=MONITOR%20LED%20AOC%2018,5%20WIDESCREEN%20E970SWNL</v>
      </c>
      <c r="I1386" t="e">
        <f t="shared" ca="1" si="43"/>
        <v>#NAME?</v>
      </c>
    </row>
    <row r="1387" spans="1:9" x14ac:dyDescent="0.25">
      <c r="A1387" s="2" t="s">
        <v>2268</v>
      </c>
      <c r="B1387" s="2" t="s">
        <v>10</v>
      </c>
      <c r="C1387" s="3">
        <v>42922</v>
      </c>
      <c r="D1387" t="s">
        <v>2269</v>
      </c>
      <c r="E1387" s="2" t="s">
        <v>12</v>
      </c>
      <c r="F1387" s="2" t="s">
        <v>12</v>
      </c>
      <c r="G1387" t="s">
        <v>586</v>
      </c>
      <c r="H1387" t="str">
        <f t="shared" si="42"/>
        <v>https://videplast.com.br/consulta-imobilizado?id=32001014&amp;nome=KIT%20PARA%20MEDICAO%20DE%20BCM</v>
      </c>
      <c r="I1387" t="e">
        <f t="shared" ca="1" si="43"/>
        <v>#NAME?</v>
      </c>
    </row>
    <row r="1388" spans="1:9" x14ac:dyDescent="0.25">
      <c r="A1388" s="2" t="s">
        <v>2270</v>
      </c>
      <c r="B1388" s="2" t="s">
        <v>10</v>
      </c>
      <c r="C1388" s="3">
        <v>42916</v>
      </c>
      <c r="D1388" t="s">
        <v>2271</v>
      </c>
      <c r="E1388" s="2" t="s">
        <v>12</v>
      </c>
      <c r="F1388" s="2" t="s">
        <v>12</v>
      </c>
      <c r="G1388" t="s">
        <v>586</v>
      </c>
      <c r="H1388" t="str">
        <f t="shared" si="42"/>
        <v>https://videplast.com.br/consulta-imobilizado?id=32001021&amp;nome=IMPRESSORA%20DE%20PROVA%20EPSON%20STYLUS%20PRO%204900</v>
      </c>
      <c r="I1388" t="e">
        <f t="shared" ca="1" si="43"/>
        <v>#NAME?</v>
      </c>
    </row>
    <row r="1389" spans="1:9" x14ac:dyDescent="0.25">
      <c r="A1389" s="2" t="s">
        <v>2272</v>
      </c>
      <c r="B1389" s="2" t="s">
        <v>10</v>
      </c>
      <c r="C1389" s="3">
        <v>42917</v>
      </c>
      <c r="D1389" t="s">
        <v>2273</v>
      </c>
      <c r="E1389" s="2" t="s">
        <v>12</v>
      </c>
      <c r="F1389" s="2" t="s">
        <v>12</v>
      </c>
      <c r="G1389" t="s">
        <v>586</v>
      </c>
      <c r="H1389" t="str">
        <f t="shared" si="42"/>
        <v>https://videplast.com.br/consulta-imobilizado?id=32001029&amp;nome=MONITOR%2020P%20AOC%20LED%20E2043%20FK%20WIDE</v>
      </c>
      <c r="I1389" t="e">
        <f t="shared" ca="1" si="43"/>
        <v>#NAME?</v>
      </c>
    </row>
    <row r="1390" spans="1:9" x14ac:dyDescent="0.25">
      <c r="A1390" s="2" t="s">
        <v>2274</v>
      </c>
      <c r="B1390" s="2" t="s">
        <v>10</v>
      </c>
      <c r="C1390" s="3">
        <v>43097</v>
      </c>
      <c r="D1390" t="s">
        <v>2275</v>
      </c>
      <c r="E1390" s="2" t="s">
        <v>12</v>
      </c>
      <c r="F1390" s="2" t="s">
        <v>12</v>
      </c>
      <c r="G1390" t="s">
        <v>586</v>
      </c>
      <c r="H1390" s="5" t="str">
        <f t="shared" si="42"/>
        <v>https://videplast.com.br/consulta-imobilizado?id=32001048&amp;nome=COMPUTADOR%20DELL%20THIN%20CLIENT%20WYSE%20DELL%203010%20T10</v>
      </c>
      <c r="I1390" t="e">
        <f t="shared" ca="1" si="43"/>
        <v>#NAME?</v>
      </c>
    </row>
    <row r="1391" spans="1:9" x14ac:dyDescent="0.25">
      <c r="A1391" s="2" t="s">
        <v>2276</v>
      </c>
      <c r="B1391" s="2" t="s">
        <v>10</v>
      </c>
      <c r="C1391" s="3">
        <v>43097</v>
      </c>
      <c r="D1391" t="s">
        <v>2275</v>
      </c>
      <c r="E1391" s="2" t="s">
        <v>12</v>
      </c>
      <c r="F1391" s="2" t="s">
        <v>12</v>
      </c>
      <c r="G1391" t="s">
        <v>586</v>
      </c>
      <c r="H1391" s="5" t="str">
        <f t="shared" si="42"/>
        <v>https://videplast.com.br/consulta-imobilizado?id=32001049&amp;nome=COMPUTADOR%20DELL%20THIN%20CLIENT%20WYSE%20DELL%203010%20T10</v>
      </c>
      <c r="I1391" t="e">
        <f t="shared" ca="1" si="43"/>
        <v>#NAME?</v>
      </c>
    </row>
    <row r="1392" spans="1:9" x14ac:dyDescent="0.25">
      <c r="A1392" s="2" t="s">
        <v>2277</v>
      </c>
      <c r="B1392" s="2" t="s">
        <v>10</v>
      </c>
      <c r="C1392" s="3">
        <v>43097</v>
      </c>
      <c r="D1392" t="s">
        <v>2275</v>
      </c>
      <c r="E1392" s="2" t="s">
        <v>12</v>
      </c>
      <c r="F1392" s="2" t="s">
        <v>12</v>
      </c>
      <c r="G1392" t="s">
        <v>586</v>
      </c>
      <c r="H1392" s="5" t="str">
        <f t="shared" si="42"/>
        <v>https://videplast.com.br/consulta-imobilizado?id=32001050&amp;nome=COMPUTADOR%20DELL%20THIN%20CLIENT%20WYSE%20DELL%203010%20T10</v>
      </c>
      <c r="I1392" t="e">
        <f t="shared" ca="1" si="43"/>
        <v>#NAME?</v>
      </c>
    </row>
    <row r="1393" spans="1:9" x14ac:dyDescent="0.25">
      <c r="A1393" s="2" t="s">
        <v>2278</v>
      </c>
      <c r="B1393" s="2" t="s">
        <v>10</v>
      </c>
      <c r="C1393" s="3">
        <v>43097</v>
      </c>
      <c r="D1393" t="s">
        <v>2275</v>
      </c>
      <c r="E1393" s="2" t="s">
        <v>12</v>
      </c>
      <c r="F1393" s="2" t="s">
        <v>12</v>
      </c>
      <c r="G1393" t="s">
        <v>586</v>
      </c>
      <c r="H1393" s="5" t="str">
        <f t="shared" si="42"/>
        <v>https://videplast.com.br/consulta-imobilizado?id=32001051&amp;nome=COMPUTADOR%20DELL%20THIN%20CLIENT%20WYSE%20DELL%203010%20T10</v>
      </c>
      <c r="I1393" t="e">
        <f t="shared" ca="1" si="43"/>
        <v>#NAME?</v>
      </c>
    </row>
    <row r="1394" spans="1:9" x14ac:dyDescent="0.25">
      <c r="A1394" s="2" t="s">
        <v>2279</v>
      </c>
      <c r="B1394" s="2" t="s">
        <v>10</v>
      </c>
      <c r="C1394" s="3">
        <v>43227</v>
      </c>
      <c r="D1394" t="s">
        <v>506</v>
      </c>
      <c r="E1394" s="2" t="s">
        <v>12</v>
      </c>
      <c r="F1394" s="2" t="s">
        <v>12</v>
      </c>
      <c r="G1394" t="s">
        <v>586</v>
      </c>
      <c r="H1394" t="str">
        <f t="shared" si="42"/>
        <v>https://videplast.com.br/consulta-imobilizado?id=32001086&amp;nome=IMPRESSOR%20TERMICO%20ZEBRA%20GC%20420</v>
      </c>
      <c r="I1394" t="e">
        <f t="shared" ca="1" si="43"/>
        <v>#NAME?</v>
      </c>
    </row>
    <row r="1395" spans="1:9" x14ac:dyDescent="0.25">
      <c r="A1395" s="2" t="s">
        <v>2280</v>
      </c>
      <c r="B1395" s="2" t="s">
        <v>10</v>
      </c>
      <c r="C1395" s="3">
        <v>43227</v>
      </c>
      <c r="D1395" t="s">
        <v>2281</v>
      </c>
      <c r="E1395" s="2" t="s">
        <v>12</v>
      </c>
      <c r="F1395" s="2" t="s">
        <v>12</v>
      </c>
      <c r="G1395" t="s">
        <v>586</v>
      </c>
      <c r="H1395" t="str">
        <f t="shared" si="42"/>
        <v>https://videplast.com.br/consulta-imobilizado?id=32001090&amp;nome=CPU%20QBEX%20C/%20INTEL%20CORE%202%20I5%204GB%20750GB%20W8</v>
      </c>
      <c r="I1395" t="e">
        <f t="shared" ca="1" si="43"/>
        <v>#NAME?</v>
      </c>
    </row>
    <row r="1396" spans="1:9" x14ac:dyDescent="0.25">
      <c r="A1396" s="2" t="s">
        <v>2282</v>
      </c>
      <c r="B1396" s="2" t="s">
        <v>10</v>
      </c>
      <c r="C1396" s="3">
        <v>43279</v>
      </c>
      <c r="D1396" t="s">
        <v>506</v>
      </c>
      <c r="E1396" s="2" t="s">
        <v>12</v>
      </c>
      <c r="F1396" s="2" t="s">
        <v>12</v>
      </c>
      <c r="G1396" t="s">
        <v>586</v>
      </c>
      <c r="H1396" t="str">
        <f t="shared" si="42"/>
        <v>https://videplast.com.br/consulta-imobilizado?id=32001105&amp;nome=IMPRESSOR%20TERMICO%20ZEBRA%20GC%20420</v>
      </c>
      <c r="I1396" t="e">
        <f t="shared" ca="1" si="43"/>
        <v>#NAME?</v>
      </c>
    </row>
    <row r="1397" spans="1:9" x14ac:dyDescent="0.25">
      <c r="A1397" s="2" t="s">
        <v>2283</v>
      </c>
      <c r="B1397" s="2" t="s">
        <v>10</v>
      </c>
      <c r="C1397" s="3">
        <v>43279</v>
      </c>
      <c r="D1397" t="s">
        <v>506</v>
      </c>
      <c r="E1397" s="2" t="s">
        <v>12</v>
      </c>
      <c r="F1397" s="2" t="s">
        <v>12</v>
      </c>
      <c r="G1397" t="s">
        <v>586</v>
      </c>
      <c r="H1397" t="str">
        <f t="shared" si="42"/>
        <v>https://videplast.com.br/consulta-imobilizado?id=32001106&amp;nome=IMPRESSOR%20TERMICO%20ZEBRA%20GC%20420</v>
      </c>
      <c r="I1397" t="e">
        <f t="shared" ca="1" si="43"/>
        <v>#NAME?</v>
      </c>
    </row>
    <row r="1398" spans="1:9" x14ac:dyDescent="0.25">
      <c r="A1398" s="2" t="s">
        <v>2284</v>
      </c>
      <c r="B1398" s="2" t="s">
        <v>10</v>
      </c>
      <c r="C1398" s="3">
        <v>43270</v>
      </c>
      <c r="D1398" t="s">
        <v>2285</v>
      </c>
      <c r="E1398" s="2" t="s">
        <v>12</v>
      </c>
      <c r="F1398" s="2" t="s">
        <v>2286</v>
      </c>
      <c r="G1398" t="s">
        <v>586</v>
      </c>
      <c r="H1398" t="str">
        <f t="shared" si="42"/>
        <v>https://videplast.com.br/consulta-imobilizado?id=32001109&amp;nome=MONITOR%20LCD%2019%20POL%20EIZO%20FLEX%20SCAN%20S1934</v>
      </c>
      <c r="I1398" t="e">
        <f t="shared" ca="1" si="43"/>
        <v>#NAME?</v>
      </c>
    </row>
    <row r="1399" spans="1:9" x14ac:dyDescent="0.25">
      <c r="A1399" s="2" t="s">
        <v>2287</v>
      </c>
      <c r="B1399" s="2" t="s">
        <v>10</v>
      </c>
      <c r="C1399" s="3">
        <v>43581</v>
      </c>
      <c r="D1399" t="s">
        <v>506</v>
      </c>
      <c r="E1399" s="2" t="s">
        <v>12</v>
      </c>
      <c r="F1399" s="2" t="s">
        <v>12</v>
      </c>
      <c r="G1399" t="s">
        <v>586</v>
      </c>
      <c r="H1399" t="str">
        <f t="shared" si="42"/>
        <v>https://videplast.com.br/consulta-imobilizado?id=32001342&amp;nome=IMPRESSOR%20TERMICO%20ZEBRA%20GC%20420</v>
      </c>
      <c r="I1399" t="e">
        <f t="shared" ca="1" si="43"/>
        <v>#NAME?</v>
      </c>
    </row>
    <row r="1400" spans="1:9" x14ac:dyDescent="0.25">
      <c r="A1400" s="2" t="s">
        <v>2288</v>
      </c>
      <c r="B1400" s="2" t="s">
        <v>10</v>
      </c>
      <c r="C1400" s="3">
        <v>43581</v>
      </c>
      <c r="D1400" t="s">
        <v>506</v>
      </c>
      <c r="E1400" s="2" t="s">
        <v>12</v>
      </c>
      <c r="F1400" s="2" t="s">
        <v>12</v>
      </c>
      <c r="G1400" t="s">
        <v>586</v>
      </c>
      <c r="H1400" t="str">
        <f t="shared" si="42"/>
        <v>https://videplast.com.br/consulta-imobilizado?id=32001343&amp;nome=IMPRESSOR%20TERMICO%20ZEBRA%20GC%20420</v>
      </c>
      <c r="I1400" t="e">
        <f t="shared" ca="1" si="43"/>
        <v>#NAME?</v>
      </c>
    </row>
    <row r="1401" spans="1:9" x14ac:dyDescent="0.25">
      <c r="A1401" s="2" t="s">
        <v>2289</v>
      </c>
      <c r="B1401" s="2" t="s">
        <v>10</v>
      </c>
      <c r="C1401" s="3">
        <v>43623</v>
      </c>
      <c r="D1401" t="s">
        <v>2290</v>
      </c>
      <c r="E1401" s="2" t="s">
        <v>12</v>
      </c>
      <c r="F1401" s="2" t="s">
        <v>12</v>
      </c>
      <c r="G1401" t="s">
        <v>586</v>
      </c>
      <c r="H1401" t="str">
        <f t="shared" si="42"/>
        <v>https://videplast.com.br/consulta-imobilizado?id=32001367&amp;nome=RELOGIO%20PONTO%20TOP%20DATA%20INNER%20373%20LFD%20BIO%20BARRAS</v>
      </c>
      <c r="I1401" t="e">
        <f t="shared" ca="1" si="43"/>
        <v>#NAME?</v>
      </c>
    </row>
    <row r="1402" spans="1:9" x14ac:dyDescent="0.25">
      <c r="A1402" s="2" t="s">
        <v>2291</v>
      </c>
      <c r="B1402" s="2" t="s">
        <v>10</v>
      </c>
      <c r="C1402" s="3">
        <v>43697</v>
      </c>
      <c r="D1402" t="s">
        <v>2292</v>
      </c>
      <c r="E1402" s="2" t="s">
        <v>12</v>
      </c>
      <c r="F1402" s="2" t="s">
        <v>12</v>
      </c>
      <c r="G1402" t="s">
        <v>586</v>
      </c>
      <c r="H1402" t="str">
        <f t="shared" si="42"/>
        <v>https://videplast.com.br/consulta-imobilizado?id=32001373&amp;nome=ESPECTRODENSITOMETRO%20X-RITE</v>
      </c>
      <c r="I1402" t="e">
        <f t="shared" ca="1" si="43"/>
        <v>#NAME?</v>
      </c>
    </row>
    <row r="1403" spans="1:9" x14ac:dyDescent="0.25">
      <c r="A1403" s="2" t="s">
        <v>2293</v>
      </c>
      <c r="B1403" s="2" t="s">
        <v>10</v>
      </c>
      <c r="C1403" s="3">
        <v>43763</v>
      </c>
      <c r="D1403" t="s">
        <v>2294</v>
      </c>
      <c r="E1403" s="2" t="s">
        <v>12</v>
      </c>
      <c r="F1403" s="2" t="s">
        <v>2295</v>
      </c>
      <c r="G1403" t="s">
        <v>586</v>
      </c>
      <c r="H1403" s="5" t="str">
        <f t="shared" si="42"/>
        <v>https://videplast.com.br/consulta-imobilizado?id=32001618&amp;nome=COMPUTADOR%20DELL%20VOSTRO%20I3%204GB%20HD%201TB%20W10P</v>
      </c>
      <c r="I1403" t="e">
        <f t="shared" ca="1" si="43"/>
        <v>#NAME?</v>
      </c>
    </row>
    <row r="1404" spans="1:9" x14ac:dyDescent="0.25">
      <c r="A1404" s="2" t="s">
        <v>2296</v>
      </c>
      <c r="B1404" s="2" t="s">
        <v>10</v>
      </c>
      <c r="C1404" s="3">
        <v>43763</v>
      </c>
      <c r="D1404" t="s">
        <v>2297</v>
      </c>
      <c r="E1404" s="2" t="s">
        <v>12</v>
      </c>
      <c r="F1404" s="2" t="s">
        <v>2298</v>
      </c>
      <c r="G1404" t="s">
        <v>586</v>
      </c>
      <c r="H1404" t="str">
        <f t="shared" si="42"/>
        <v>https://videplast.com.br/consulta-imobilizado?id=32001621&amp;nome=MONITOR%20LED%2018,5"%20DELL</v>
      </c>
      <c r="I1404" t="e">
        <f t="shared" ca="1" si="43"/>
        <v>#NAME?</v>
      </c>
    </row>
    <row r="1405" spans="1:9" x14ac:dyDescent="0.25">
      <c r="A1405" s="2" t="s">
        <v>2299</v>
      </c>
      <c r="B1405" s="2" t="s">
        <v>10</v>
      </c>
      <c r="C1405" s="3">
        <v>43826</v>
      </c>
      <c r="D1405" t="s">
        <v>2300</v>
      </c>
      <c r="E1405" s="2" t="s">
        <v>12</v>
      </c>
      <c r="F1405" s="2" t="s">
        <v>2301</v>
      </c>
      <c r="G1405" t="s">
        <v>586</v>
      </c>
      <c r="H1405" s="5" t="str">
        <f t="shared" si="42"/>
        <v>https://videplast.com.br/consulta-imobilizado?id=32001633&amp;nome=COMPUTADOR%20DELL%20VOSTRO%203470%20SFF%20I5%20SYST9400%20W10P</v>
      </c>
      <c r="I1405" t="e">
        <f t="shared" ca="1" si="43"/>
        <v>#NAME?</v>
      </c>
    </row>
    <row r="1406" spans="1:9" x14ac:dyDescent="0.25">
      <c r="A1406" s="2" t="s">
        <v>2302</v>
      </c>
      <c r="B1406" s="2" t="s">
        <v>10</v>
      </c>
      <c r="C1406" s="3">
        <v>43826</v>
      </c>
      <c r="D1406" t="s">
        <v>2297</v>
      </c>
      <c r="E1406" s="2" t="s">
        <v>12</v>
      </c>
      <c r="F1406" s="2" t="s">
        <v>2303</v>
      </c>
      <c r="G1406" t="s">
        <v>586</v>
      </c>
      <c r="H1406" t="str">
        <f t="shared" si="42"/>
        <v>https://videplast.com.br/consulta-imobilizado?id=32001648&amp;nome=MONITOR%20LED%2018,5"%20DELL</v>
      </c>
      <c r="I1406" t="e">
        <f t="shared" ca="1" si="43"/>
        <v>#NAME?</v>
      </c>
    </row>
    <row r="1407" spans="1:9" x14ac:dyDescent="0.25">
      <c r="A1407" s="2" t="s">
        <v>2304</v>
      </c>
      <c r="B1407" s="2" t="s">
        <v>10</v>
      </c>
      <c r="C1407" s="3">
        <v>43844</v>
      </c>
      <c r="D1407" t="s">
        <v>2305</v>
      </c>
      <c r="E1407" s="2" t="s">
        <v>12</v>
      </c>
      <c r="F1407" s="2" t="s">
        <v>12</v>
      </c>
      <c r="G1407" t="s">
        <v>586</v>
      </c>
      <c r="H1407" t="str">
        <f t="shared" si="42"/>
        <v>https://videplast.com.br/consulta-imobilizado?id=32001650&amp;nome=ESPECTROFOTOMETRO%20I1%20PRO%202%20X-RITE</v>
      </c>
      <c r="I1407" t="e">
        <f t="shared" ca="1" si="43"/>
        <v>#NAME?</v>
      </c>
    </row>
    <row r="1408" spans="1:9" x14ac:dyDescent="0.25">
      <c r="A1408" s="2" t="s">
        <v>2306</v>
      </c>
      <c r="B1408" s="2" t="s">
        <v>10</v>
      </c>
      <c r="C1408" s="3">
        <v>43844</v>
      </c>
      <c r="D1408" t="s">
        <v>2305</v>
      </c>
      <c r="E1408" s="2" t="s">
        <v>12</v>
      </c>
      <c r="F1408" s="2" t="s">
        <v>12</v>
      </c>
      <c r="G1408" t="s">
        <v>586</v>
      </c>
      <c r="H1408" t="str">
        <f t="shared" si="42"/>
        <v>https://videplast.com.br/consulta-imobilizado?id=32001651&amp;nome=ESPECTROFOTOMETRO%20I1%20PRO%202%20X-RITE</v>
      </c>
      <c r="I1408" t="e">
        <f t="shared" ca="1" si="43"/>
        <v>#NAME?</v>
      </c>
    </row>
    <row r="1409" spans="1:9" x14ac:dyDescent="0.25">
      <c r="A1409" s="2" t="s">
        <v>2307</v>
      </c>
      <c r="B1409" s="2" t="s">
        <v>10</v>
      </c>
      <c r="C1409" s="3">
        <v>43920</v>
      </c>
      <c r="D1409" t="s">
        <v>2308</v>
      </c>
      <c r="E1409" s="2" t="s">
        <v>12</v>
      </c>
      <c r="F1409" s="2" t="s">
        <v>12</v>
      </c>
      <c r="G1409" t="s">
        <v>586</v>
      </c>
      <c r="H1409" t="str">
        <f t="shared" si="42"/>
        <v>https://videplast.com.br/consulta-imobilizado?id=32001693&amp;nome=NOBREAK%20DELTA%20GES203H%202000VA%2016000W%20230V</v>
      </c>
      <c r="I1409" t="e">
        <f t="shared" ca="1" si="43"/>
        <v>#NAME?</v>
      </c>
    </row>
    <row r="1410" spans="1:9" x14ac:dyDescent="0.25">
      <c r="A1410" s="2" t="s">
        <v>2309</v>
      </c>
      <c r="B1410" s="2" t="s">
        <v>10</v>
      </c>
      <c r="C1410" s="3">
        <v>44202</v>
      </c>
      <c r="D1410" t="s">
        <v>2310</v>
      </c>
      <c r="E1410" s="2" t="s">
        <v>12</v>
      </c>
      <c r="F1410" s="2" t="s">
        <v>2311</v>
      </c>
      <c r="G1410" t="s">
        <v>586</v>
      </c>
      <c r="H1410" s="5" t="str">
        <f t="shared" ref="H1410:H1473" si="44" xml:space="preserve"> "https://videplast.com.br/consulta-imobilizado?id=" &amp; A1410 &amp; "&amp;nome=" &amp; SUBSTITUTE(D1410, " ", "%20")</f>
        <v>https://videplast.com.br/consulta-imobilizado?id=32002050&amp;nome=COMPUTADOR%20DELL%20OPTIPLEX%203070%20e%20i3-9100%20RAM%204GB</v>
      </c>
      <c r="I1410" t="e">
        <f t="shared" ref="I1410:I1473" ca="1" si="45">_xlfn.IMAGE("https://chart.googleapis.com/chart?chs=150x150&amp;cht=qr&amp;chl=" &amp; H1410)</f>
        <v>#NAME?</v>
      </c>
    </row>
    <row r="1411" spans="1:9" x14ac:dyDescent="0.25">
      <c r="A1411" s="2" t="s">
        <v>2312</v>
      </c>
      <c r="B1411" s="2" t="s">
        <v>10</v>
      </c>
      <c r="C1411" s="3">
        <v>44207</v>
      </c>
      <c r="D1411" t="s">
        <v>2313</v>
      </c>
      <c r="E1411" s="2" t="s">
        <v>12</v>
      </c>
      <c r="F1411" s="2" t="s">
        <v>2314</v>
      </c>
      <c r="G1411" t="s">
        <v>586</v>
      </c>
      <c r="H1411" t="str">
        <f t="shared" si="44"/>
        <v>https://videplast.com.br/consulta-imobilizado?id=32002052&amp;nome=MONITOR%20LED%2018,5%20DELL%20E1920H</v>
      </c>
      <c r="I1411" t="e">
        <f t="shared" ca="1" si="45"/>
        <v>#NAME?</v>
      </c>
    </row>
    <row r="1412" spans="1:9" x14ac:dyDescent="0.25">
      <c r="A1412" s="2" t="s">
        <v>2315</v>
      </c>
      <c r="B1412" s="2" t="s">
        <v>10</v>
      </c>
      <c r="C1412" s="3">
        <v>44373</v>
      </c>
      <c r="D1412" t="s">
        <v>2316</v>
      </c>
      <c r="E1412" s="2" t="s">
        <v>12</v>
      </c>
      <c r="F1412" s="2" t="s">
        <v>2317</v>
      </c>
      <c r="G1412" t="s">
        <v>586</v>
      </c>
      <c r="H1412" s="5" t="str">
        <f t="shared" si="44"/>
        <v>https://videplast.com.br/consulta-imobilizado?id=32002190&amp;nome=COMPUTADOR%20DELL%20OPTIPLEX/VOSTRO%20I3%204GB%20SSD256%2010P</v>
      </c>
      <c r="I1412" t="e">
        <f t="shared" ca="1" si="45"/>
        <v>#NAME?</v>
      </c>
    </row>
    <row r="1413" spans="1:9" x14ac:dyDescent="0.25">
      <c r="A1413" s="2" t="s">
        <v>2318</v>
      </c>
      <c r="B1413" s="2" t="s">
        <v>10</v>
      </c>
      <c r="C1413" s="3">
        <v>44417</v>
      </c>
      <c r="D1413" t="s">
        <v>2319</v>
      </c>
      <c r="E1413" s="2" t="s">
        <v>12</v>
      </c>
      <c r="F1413" s="2" t="s">
        <v>2320</v>
      </c>
      <c r="G1413" t="s">
        <v>586</v>
      </c>
      <c r="H1413" s="5" t="str">
        <f t="shared" si="44"/>
        <v>https://videplast.com.br/consulta-imobilizado?id=32002201&amp;nome=COMPUTADOR%20THINPC%20SUPERA%20B2728%20IZEI%20TINY%20W10%20IOT</v>
      </c>
      <c r="I1413" t="e">
        <f t="shared" ca="1" si="45"/>
        <v>#NAME?</v>
      </c>
    </row>
    <row r="1414" spans="1:9" x14ac:dyDescent="0.25">
      <c r="A1414" s="2" t="s">
        <v>2321</v>
      </c>
      <c r="B1414" s="2" t="s">
        <v>10</v>
      </c>
      <c r="C1414" s="3">
        <v>44490</v>
      </c>
      <c r="D1414" t="s">
        <v>2322</v>
      </c>
      <c r="E1414" s="2" t="s">
        <v>12</v>
      </c>
      <c r="F1414" s="2" t="s">
        <v>2323</v>
      </c>
      <c r="G1414" t="s">
        <v>586</v>
      </c>
      <c r="H1414" s="5" t="str">
        <f t="shared" si="44"/>
        <v>https://videplast.com.br/consulta-imobilizado?id=32002222&amp;nome=COMPUTADOR%20DELL%20VOSTRO%20i3%204GB%20HD%20SSD256GB%20W10P</v>
      </c>
      <c r="I1414" t="e">
        <f t="shared" ca="1" si="45"/>
        <v>#NAME?</v>
      </c>
    </row>
    <row r="1415" spans="1:9" x14ac:dyDescent="0.25">
      <c r="A1415" s="2" t="s">
        <v>2324</v>
      </c>
      <c r="B1415" s="2" t="s">
        <v>10</v>
      </c>
      <c r="C1415" s="3">
        <v>44657</v>
      </c>
      <c r="D1415" t="s">
        <v>542</v>
      </c>
      <c r="E1415" s="2" t="s">
        <v>2325</v>
      </c>
      <c r="F1415" s="2" t="s">
        <v>12</v>
      </c>
      <c r="G1415" t="s">
        <v>586</v>
      </c>
      <c r="H1415" t="str">
        <f t="shared" si="44"/>
        <v>https://videplast.com.br/consulta-imobilizado?id=32002407&amp;nome=TERMINAL%20DE%20BALANÇA%20THINPC%20SUPERA%20IZEI%20TINY%20W10P</v>
      </c>
      <c r="I1415" t="e">
        <f t="shared" ca="1" si="45"/>
        <v>#NAME?</v>
      </c>
    </row>
    <row r="1416" spans="1:9" x14ac:dyDescent="0.25">
      <c r="A1416" s="2" t="s">
        <v>2326</v>
      </c>
      <c r="B1416" s="2" t="s">
        <v>10</v>
      </c>
      <c r="C1416" s="3">
        <v>44657</v>
      </c>
      <c r="D1416" t="s">
        <v>542</v>
      </c>
      <c r="E1416" s="2" t="s">
        <v>2327</v>
      </c>
      <c r="F1416" s="2" t="s">
        <v>12</v>
      </c>
      <c r="G1416" t="s">
        <v>586</v>
      </c>
      <c r="H1416" t="str">
        <f t="shared" si="44"/>
        <v>https://videplast.com.br/consulta-imobilizado?id=32002408&amp;nome=TERMINAL%20DE%20BALANÇA%20THINPC%20SUPERA%20IZEI%20TINY%20W10P</v>
      </c>
      <c r="I1416" t="e">
        <f t="shared" ca="1" si="45"/>
        <v>#NAME?</v>
      </c>
    </row>
    <row r="1417" spans="1:9" x14ac:dyDescent="0.25">
      <c r="A1417" s="2" t="s">
        <v>2328</v>
      </c>
      <c r="B1417" s="2" t="s">
        <v>10</v>
      </c>
      <c r="C1417" s="3">
        <v>44657</v>
      </c>
      <c r="D1417" t="s">
        <v>542</v>
      </c>
      <c r="E1417" s="2" t="s">
        <v>2329</v>
      </c>
      <c r="F1417" s="2" t="s">
        <v>12</v>
      </c>
      <c r="G1417" t="s">
        <v>586</v>
      </c>
      <c r="H1417" t="str">
        <f t="shared" si="44"/>
        <v>https://videplast.com.br/consulta-imobilizado?id=32002409&amp;nome=TERMINAL%20DE%20BALANÇA%20THINPC%20SUPERA%20IZEI%20TINY%20W10P</v>
      </c>
      <c r="I1417" t="e">
        <f t="shared" ca="1" si="45"/>
        <v>#NAME?</v>
      </c>
    </row>
    <row r="1418" spans="1:9" x14ac:dyDescent="0.25">
      <c r="A1418" s="2" t="s">
        <v>2330</v>
      </c>
      <c r="B1418" s="2" t="s">
        <v>10</v>
      </c>
      <c r="C1418" s="3">
        <v>44657</v>
      </c>
      <c r="D1418" t="s">
        <v>542</v>
      </c>
      <c r="E1418" s="2" t="s">
        <v>2331</v>
      </c>
      <c r="F1418" s="2" t="s">
        <v>12</v>
      </c>
      <c r="G1418" t="s">
        <v>586</v>
      </c>
      <c r="H1418" t="str">
        <f t="shared" si="44"/>
        <v>https://videplast.com.br/consulta-imobilizado?id=32002410&amp;nome=TERMINAL%20DE%20BALANÇA%20THINPC%20SUPERA%20IZEI%20TINY%20W10P</v>
      </c>
      <c r="I1418" t="e">
        <f t="shared" ca="1" si="45"/>
        <v>#NAME?</v>
      </c>
    </row>
    <row r="1419" spans="1:9" x14ac:dyDescent="0.25">
      <c r="A1419" s="2" t="s">
        <v>2332</v>
      </c>
      <c r="B1419" s="2" t="s">
        <v>10</v>
      </c>
      <c r="C1419" s="3">
        <v>44799</v>
      </c>
      <c r="D1419" t="s">
        <v>550</v>
      </c>
      <c r="E1419" s="2" t="s">
        <v>2333</v>
      </c>
      <c r="F1419" s="2" t="s">
        <v>2334</v>
      </c>
      <c r="G1419" t="s">
        <v>586</v>
      </c>
      <c r="H1419" t="str">
        <f t="shared" si="44"/>
        <v>https://videplast.com.br/consulta-imobilizado?id=32002505&amp;nome=MONITOR%20DELL%2021.5"%20P2219H</v>
      </c>
      <c r="I1419" t="e">
        <f t="shared" ca="1" si="45"/>
        <v>#NAME?</v>
      </c>
    </row>
    <row r="1420" spans="1:9" x14ac:dyDescent="0.25">
      <c r="A1420" s="2" t="s">
        <v>2335</v>
      </c>
      <c r="B1420" s="2" t="s">
        <v>10</v>
      </c>
      <c r="C1420" s="3">
        <v>44832</v>
      </c>
      <c r="D1420" t="s">
        <v>2336</v>
      </c>
      <c r="E1420" s="2" t="s">
        <v>12</v>
      </c>
      <c r="F1420" s="2" t="s">
        <v>2337</v>
      </c>
      <c r="G1420" t="s">
        <v>586</v>
      </c>
      <c r="H1420" t="str">
        <f t="shared" si="44"/>
        <v>https://videplast.com.br/consulta-imobilizado?id=32002533&amp;nome=NOTEBOOK%20DELL%20VOSTRO%2014%20i5%208GB%20HD%20SSD240GB%20W10%20PRO</v>
      </c>
      <c r="I1420" t="e">
        <f t="shared" ca="1" si="45"/>
        <v>#NAME?</v>
      </c>
    </row>
    <row r="1421" spans="1:9" x14ac:dyDescent="0.25">
      <c r="A1421" s="2" t="s">
        <v>2338</v>
      </c>
      <c r="B1421" s="2" t="s">
        <v>10</v>
      </c>
      <c r="C1421" s="3">
        <v>44859</v>
      </c>
      <c r="D1421" t="s">
        <v>557</v>
      </c>
      <c r="E1421" s="2" t="s">
        <v>2339</v>
      </c>
      <c r="F1421" s="2" t="s">
        <v>12</v>
      </c>
      <c r="G1421" t="s">
        <v>586</v>
      </c>
      <c r="H1421" t="str">
        <f t="shared" si="44"/>
        <v>https://videplast.com.br/consulta-imobilizado?id=32002543&amp;nome=NOBREAK%20APC%20SRV%201KVA%20RACK%20230V</v>
      </c>
      <c r="I1421" t="e">
        <f t="shared" ca="1" si="45"/>
        <v>#NAME?</v>
      </c>
    </row>
    <row r="1422" spans="1:9" x14ac:dyDescent="0.25">
      <c r="A1422" s="2" t="s">
        <v>2340</v>
      </c>
      <c r="B1422" s="2" t="s">
        <v>10</v>
      </c>
      <c r="C1422" s="3">
        <v>44869</v>
      </c>
      <c r="D1422" t="s">
        <v>2341</v>
      </c>
      <c r="E1422" s="2" t="s">
        <v>2342</v>
      </c>
      <c r="F1422" s="2" t="s">
        <v>2343</v>
      </c>
      <c r="G1422" t="s">
        <v>586</v>
      </c>
      <c r="H1422" t="str">
        <f t="shared" si="44"/>
        <v>https://videplast.com.br/consulta-imobilizado?id=32002558&amp;nome=MONITOR%20DELL%2021.5"%20P2222H</v>
      </c>
      <c r="I1422" t="e">
        <f t="shared" ca="1" si="45"/>
        <v>#NAME?</v>
      </c>
    </row>
    <row r="1423" spans="1:9" x14ac:dyDescent="0.25">
      <c r="A1423" s="2" t="s">
        <v>2344</v>
      </c>
      <c r="B1423" s="2" t="s">
        <v>10</v>
      </c>
      <c r="C1423" s="3">
        <v>44966</v>
      </c>
      <c r="D1423" t="s">
        <v>2345</v>
      </c>
      <c r="E1423" s="2" t="s">
        <v>12</v>
      </c>
      <c r="F1423" s="2" t="s">
        <v>2346</v>
      </c>
      <c r="G1423" t="s">
        <v>586</v>
      </c>
      <c r="H1423" t="str">
        <f t="shared" si="44"/>
        <v>https://videplast.com.br/consulta-imobilizado?id=32002610&amp;nome=MONITOR%20QUAD%20HD%2027"%20DELL%20S2721DS</v>
      </c>
      <c r="I1423" t="e">
        <f t="shared" ca="1" si="45"/>
        <v>#NAME?</v>
      </c>
    </row>
    <row r="1424" spans="1:9" x14ac:dyDescent="0.25">
      <c r="A1424" s="2" t="s">
        <v>2347</v>
      </c>
      <c r="B1424" s="2" t="s">
        <v>10</v>
      </c>
      <c r="C1424" s="3">
        <v>45040</v>
      </c>
      <c r="D1424" t="s">
        <v>2348</v>
      </c>
      <c r="E1424" s="2" t="s">
        <v>12</v>
      </c>
      <c r="F1424" s="2" t="s">
        <v>2349</v>
      </c>
      <c r="G1424" t="s">
        <v>586</v>
      </c>
      <c r="H1424" t="str">
        <f t="shared" si="44"/>
        <v>https://videplast.com.br/consulta-imobilizado?id=32002635&amp;nome=NOBREAK%20APC%20SRV%201KVA%20S/%20EXPANSAO%20SRV1KRI%20230V</v>
      </c>
      <c r="I1424" t="e">
        <f t="shared" ca="1" si="45"/>
        <v>#NAME?</v>
      </c>
    </row>
    <row r="1425" spans="1:9" x14ac:dyDescent="0.25">
      <c r="A1425" s="2" t="s">
        <v>2350</v>
      </c>
      <c r="B1425" s="2" t="s">
        <v>10</v>
      </c>
      <c r="C1425" s="3">
        <v>44965</v>
      </c>
      <c r="D1425" t="s">
        <v>2241</v>
      </c>
      <c r="E1425" s="2" t="s">
        <v>12</v>
      </c>
      <c r="F1425" s="2" t="s">
        <v>12</v>
      </c>
      <c r="G1425" t="s">
        <v>586</v>
      </c>
      <c r="H1425" t="str">
        <f t="shared" si="44"/>
        <v>https://videplast.com.br/consulta-imobilizado?id=32002644&amp;nome=MONITOR%2018,5"%20LG%20LED%20E1941/1940</v>
      </c>
      <c r="I1425" t="e">
        <f t="shared" ca="1" si="45"/>
        <v>#NAME?</v>
      </c>
    </row>
    <row r="1426" spans="1:9" x14ac:dyDescent="0.25">
      <c r="A1426" s="2" t="s">
        <v>2351</v>
      </c>
      <c r="B1426" s="2" t="s">
        <v>10</v>
      </c>
      <c r="C1426" s="3">
        <v>45040</v>
      </c>
      <c r="D1426" t="s">
        <v>2352</v>
      </c>
      <c r="E1426" s="2" t="s">
        <v>12</v>
      </c>
      <c r="F1426" s="2" t="s">
        <v>2353</v>
      </c>
      <c r="G1426" t="s">
        <v>586</v>
      </c>
      <c r="H1426" s="5" t="str">
        <f t="shared" si="44"/>
        <v>https://videplast.com.br/consulta-imobilizado?id=32002668&amp;nome=COMPUTADOR%20DELL%20OPTIPLEX/VOSTRO%20I5%208GB%20SSD%20256GB</v>
      </c>
      <c r="I1426" t="e">
        <f t="shared" ca="1" si="45"/>
        <v>#NAME?</v>
      </c>
    </row>
    <row r="1427" spans="1:9" x14ac:dyDescent="0.25">
      <c r="A1427" s="2" t="s">
        <v>2354</v>
      </c>
      <c r="B1427" s="2" t="s">
        <v>10</v>
      </c>
      <c r="C1427" s="3">
        <v>45040</v>
      </c>
      <c r="D1427" t="s">
        <v>2355</v>
      </c>
      <c r="E1427" s="2" t="s">
        <v>12</v>
      </c>
      <c r="F1427" s="2" t="s">
        <v>2356</v>
      </c>
      <c r="G1427" t="s">
        <v>586</v>
      </c>
      <c r="H1427" t="str">
        <f t="shared" si="44"/>
        <v>https://videplast.com.br/consulta-imobilizado?id=32002682&amp;nome=RELOGIO%20PONTO%20TOPDATA%20INNER%20373%20BARRAS%20PROXIMIDADE</v>
      </c>
      <c r="I1427" t="e">
        <f t="shared" ca="1" si="45"/>
        <v>#NAME?</v>
      </c>
    </row>
    <row r="1428" spans="1:9" x14ac:dyDescent="0.25">
      <c r="A1428" s="2" t="s">
        <v>2357</v>
      </c>
      <c r="B1428" s="2" t="s">
        <v>10</v>
      </c>
      <c r="C1428" s="3">
        <v>45191</v>
      </c>
      <c r="D1428" t="s">
        <v>2358</v>
      </c>
      <c r="E1428" s="2" t="s">
        <v>12</v>
      </c>
      <c r="F1428" s="2" t="s">
        <v>2359</v>
      </c>
      <c r="G1428" t="s">
        <v>586</v>
      </c>
      <c r="H1428" s="5" t="str">
        <f t="shared" si="44"/>
        <v>https://videplast.com.br/consulta-imobilizado?id=32002784&amp;nome=COMPUTADOR%20DELL%20OPTIPLEX/VOSTRO%20%20I3%204GB%20HD%20SSD256G</v>
      </c>
      <c r="I1428" t="e">
        <f t="shared" ca="1" si="45"/>
        <v>#NAME?</v>
      </c>
    </row>
    <row r="1429" spans="1:9" x14ac:dyDescent="0.25">
      <c r="A1429" s="2" t="s">
        <v>2360</v>
      </c>
      <c r="B1429" s="2" t="s">
        <v>10</v>
      </c>
      <c r="C1429" s="3">
        <v>45191</v>
      </c>
      <c r="D1429" t="s">
        <v>577</v>
      </c>
      <c r="E1429" s="2" t="s">
        <v>12</v>
      </c>
      <c r="F1429" s="2" t="s">
        <v>2361</v>
      </c>
      <c r="G1429" t="s">
        <v>586</v>
      </c>
      <c r="H1429" t="str">
        <f t="shared" si="44"/>
        <v>https://videplast.com.br/consulta-imobilizado?id=32002787&amp;nome=NOTEBOOK%20DELL%2014%20i3%204GB%20HD%20SSD256GB%20WINDOWS%2010%20PRO</v>
      </c>
      <c r="I1429" t="e">
        <f t="shared" ca="1" si="45"/>
        <v>#NAME?</v>
      </c>
    </row>
    <row r="1430" spans="1:9" x14ac:dyDescent="0.25">
      <c r="A1430" s="2" t="s">
        <v>2360</v>
      </c>
      <c r="B1430" s="2" t="s">
        <v>26</v>
      </c>
      <c r="C1430" s="3">
        <v>45243</v>
      </c>
      <c r="D1430" t="s">
        <v>579</v>
      </c>
      <c r="E1430" s="2" t="s">
        <v>12</v>
      </c>
      <c r="F1430" s="2" t="s">
        <v>12</v>
      </c>
      <c r="G1430" t="s">
        <v>586</v>
      </c>
      <c r="H1430" t="str">
        <f t="shared" si="44"/>
        <v>https://videplast.com.br/consulta-imobilizado?id=32002787&amp;nome=SUPORTE%20TECNICO%20EM%20INFORMATICA</v>
      </c>
      <c r="I1430" t="e">
        <f t="shared" ca="1" si="45"/>
        <v>#NAME?</v>
      </c>
    </row>
    <row r="1431" spans="1:9" x14ac:dyDescent="0.25">
      <c r="A1431" s="2" t="s">
        <v>2362</v>
      </c>
      <c r="B1431" s="2" t="s">
        <v>10</v>
      </c>
      <c r="C1431" s="3">
        <v>45191</v>
      </c>
      <c r="D1431" t="s">
        <v>550</v>
      </c>
      <c r="E1431" s="2" t="s">
        <v>12</v>
      </c>
      <c r="F1431" s="2" t="s">
        <v>2363</v>
      </c>
      <c r="G1431" t="s">
        <v>586</v>
      </c>
      <c r="H1431" t="str">
        <f t="shared" si="44"/>
        <v>https://videplast.com.br/consulta-imobilizado?id=32002814&amp;nome=MONITOR%20DELL%2021.5"%20P2219H</v>
      </c>
      <c r="I1431" t="e">
        <f t="shared" ca="1" si="45"/>
        <v>#NAME?</v>
      </c>
    </row>
    <row r="1432" spans="1:9" x14ac:dyDescent="0.25">
      <c r="A1432" s="2" t="s">
        <v>2364</v>
      </c>
      <c r="B1432" s="2" t="s">
        <v>10</v>
      </c>
      <c r="C1432" s="3">
        <v>45184</v>
      </c>
      <c r="D1432" t="s">
        <v>2365</v>
      </c>
      <c r="E1432" s="2" t="s">
        <v>12</v>
      </c>
      <c r="F1432" s="2" t="s">
        <v>2366</v>
      </c>
      <c r="G1432" t="s">
        <v>586</v>
      </c>
      <c r="H1432" t="str">
        <f t="shared" si="44"/>
        <v>https://videplast.com.br/consulta-imobilizado?id=32002822&amp;nome=MONITOR%20DELL%20P2222H%2021.5"%20FHD</v>
      </c>
      <c r="I1432" t="e">
        <f t="shared" ca="1" si="45"/>
        <v>#NAME?</v>
      </c>
    </row>
    <row r="1433" spans="1:9" x14ac:dyDescent="0.25">
      <c r="A1433" s="2" t="s">
        <v>2367</v>
      </c>
      <c r="B1433" s="2" t="s">
        <v>10</v>
      </c>
      <c r="C1433" s="3">
        <v>45463</v>
      </c>
      <c r="D1433" t="s">
        <v>2368</v>
      </c>
      <c r="E1433" s="2" t="s">
        <v>12</v>
      </c>
      <c r="F1433" s="2" t="s">
        <v>2369</v>
      </c>
      <c r="G1433" t="s">
        <v>586</v>
      </c>
      <c r="H1433" s="5" t="str">
        <f t="shared" si="44"/>
        <v>https://videplast.com.br/consulta-imobilizado?id=32002996&amp;nome=COMPUTADOR%20DELL%20OPTIPLEX/VOSTRO%20I3%204GB%20HD%20SSD</v>
      </c>
      <c r="I1433" t="e">
        <f t="shared" ca="1" si="45"/>
        <v>#NAME?</v>
      </c>
    </row>
    <row r="1434" spans="1:9" x14ac:dyDescent="0.25">
      <c r="A1434" s="2" t="s">
        <v>2370</v>
      </c>
      <c r="B1434" s="2" t="s">
        <v>10</v>
      </c>
      <c r="C1434" s="3">
        <v>45463</v>
      </c>
      <c r="D1434" t="s">
        <v>2368</v>
      </c>
      <c r="E1434" s="2" t="s">
        <v>12</v>
      </c>
      <c r="F1434" s="2" t="s">
        <v>2371</v>
      </c>
      <c r="G1434" t="s">
        <v>586</v>
      </c>
      <c r="H1434" s="5" t="str">
        <f t="shared" si="44"/>
        <v>https://videplast.com.br/consulta-imobilizado?id=32002997&amp;nome=COMPUTADOR%20DELL%20OPTIPLEX/VOSTRO%20I3%204GB%20HD%20SSD</v>
      </c>
      <c r="I1434" t="e">
        <f t="shared" ca="1" si="45"/>
        <v>#NAME?</v>
      </c>
    </row>
    <row r="1435" spans="1:9" x14ac:dyDescent="0.25">
      <c r="A1435" s="2" t="s">
        <v>2372</v>
      </c>
      <c r="B1435" s="2" t="s">
        <v>10</v>
      </c>
      <c r="C1435" s="3">
        <v>45463</v>
      </c>
      <c r="D1435" t="s">
        <v>2368</v>
      </c>
      <c r="E1435" s="2" t="s">
        <v>12</v>
      </c>
      <c r="F1435" s="2" t="s">
        <v>2373</v>
      </c>
      <c r="G1435" t="s">
        <v>586</v>
      </c>
      <c r="H1435" s="5" t="str">
        <f t="shared" si="44"/>
        <v>https://videplast.com.br/consulta-imobilizado?id=32002998&amp;nome=COMPUTADOR%20DELL%20OPTIPLEX/VOSTRO%20I3%204GB%20HD%20SSD</v>
      </c>
      <c r="I1435" t="e">
        <f t="shared" ca="1" si="45"/>
        <v>#NAME?</v>
      </c>
    </row>
    <row r="1436" spans="1:9" x14ac:dyDescent="0.25">
      <c r="A1436" s="2" t="s">
        <v>2374</v>
      </c>
      <c r="B1436" s="2" t="s">
        <v>10</v>
      </c>
      <c r="C1436" s="3">
        <v>45471</v>
      </c>
      <c r="D1436" t="s">
        <v>2341</v>
      </c>
      <c r="E1436" s="2" t="s">
        <v>12</v>
      </c>
      <c r="F1436" s="2" t="s">
        <v>2375</v>
      </c>
      <c r="G1436" t="s">
        <v>586</v>
      </c>
      <c r="H1436" t="str">
        <f t="shared" si="44"/>
        <v>https://videplast.com.br/consulta-imobilizado?id=32003010&amp;nome=MONITOR%20DELL%2021.5"%20P2222H</v>
      </c>
      <c r="I1436" t="e">
        <f t="shared" ca="1" si="45"/>
        <v>#NAME?</v>
      </c>
    </row>
    <row r="1437" spans="1:9" x14ac:dyDescent="0.25">
      <c r="A1437" s="2" t="s">
        <v>2376</v>
      </c>
      <c r="B1437" s="2" t="s">
        <v>10</v>
      </c>
      <c r="C1437" s="3">
        <v>45471</v>
      </c>
      <c r="D1437" t="s">
        <v>2341</v>
      </c>
      <c r="E1437" s="2" t="s">
        <v>12</v>
      </c>
      <c r="F1437" s="2" t="s">
        <v>2377</v>
      </c>
      <c r="G1437" t="s">
        <v>586</v>
      </c>
      <c r="H1437" t="str">
        <f t="shared" si="44"/>
        <v>https://videplast.com.br/consulta-imobilizado?id=32003011&amp;nome=MONITOR%20DELL%2021.5"%20P2222H</v>
      </c>
      <c r="I1437" t="e">
        <f t="shared" ca="1" si="45"/>
        <v>#NAME?</v>
      </c>
    </row>
    <row r="1438" spans="1:9" x14ac:dyDescent="0.25">
      <c r="A1438" s="2" t="s">
        <v>2378</v>
      </c>
      <c r="B1438" s="2" t="s">
        <v>10</v>
      </c>
      <c r="C1438" s="3">
        <v>45471</v>
      </c>
      <c r="D1438" t="s">
        <v>2341</v>
      </c>
      <c r="E1438" s="2" t="s">
        <v>12</v>
      </c>
      <c r="F1438" s="2" t="s">
        <v>2379</v>
      </c>
      <c r="G1438" t="s">
        <v>586</v>
      </c>
      <c r="H1438" t="str">
        <f t="shared" si="44"/>
        <v>https://videplast.com.br/consulta-imobilizado?id=32003012&amp;nome=MONITOR%20DELL%2021.5"%20P2222H</v>
      </c>
      <c r="I1438" t="e">
        <f t="shared" ca="1" si="45"/>
        <v>#NAME?</v>
      </c>
    </row>
    <row r="1439" spans="1:9" x14ac:dyDescent="0.25">
      <c r="A1439" s="2" t="s">
        <v>2380</v>
      </c>
      <c r="B1439" s="2" t="s">
        <v>10</v>
      </c>
      <c r="C1439" s="3">
        <v>45561</v>
      </c>
      <c r="D1439" t="s">
        <v>2381</v>
      </c>
      <c r="E1439" s="2" t="s">
        <v>12</v>
      </c>
      <c r="F1439" s="2" t="s">
        <v>2382</v>
      </c>
      <c r="G1439" t="s">
        <v>586</v>
      </c>
      <c r="H1439" t="str">
        <f t="shared" si="44"/>
        <v>https://videplast.com.br/consulta-imobilizado?id=32003056&amp;nome=NOTEBOOK%20DELL%2014%20I3%204GB%20SSD256GB%20W10P</v>
      </c>
      <c r="I1439" t="e">
        <f t="shared" ca="1" si="45"/>
        <v>#NAME?</v>
      </c>
    </row>
    <row r="1440" spans="1:9" x14ac:dyDescent="0.25">
      <c r="A1440" s="2" t="s">
        <v>2383</v>
      </c>
      <c r="B1440" s="2" t="s">
        <v>10</v>
      </c>
      <c r="C1440" s="3">
        <v>45623</v>
      </c>
      <c r="D1440" t="s">
        <v>2384</v>
      </c>
      <c r="E1440" s="2" t="s">
        <v>2385</v>
      </c>
      <c r="F1440" s="2" t="s">
        <v>12</v>
      </c>
      <c r="G1440" t="s">
        <v>586</v>
      </c>
      <c r="H1440" t="str">
        <f t="shared" si="44"/>
        <v>https://videplast.com.br/consulta-imobilizado?id=32003142&amp;nome=TV%20SAMSUNG%20BUSINESS%20SMART%204K%2065"</v>
      </c>
      <c r="I1440" t="e">
        <f t="shared" ca="1" si="45"/>
        <v>#NAME?</v>
      </c>
    </row>
    <row r="1441" spans="1:9" x14ac:dyDescent="0.25">
      <c r="A1441" s="2" t="s">
        <v>2386</v>
      </c>
      <c r="B1441" s="2" t="s">
        <v>10</v>
      </c>
      <c r="C1441" s="3">
        <v>45715</v>
      </c>
      <c r="D1441" t="s">
        <v>550</v>
      </c>
      <c r="E1441" s="2" t="s">
        <v>12</v>
      </c>
      <c r="F1441" s="2" t="s">
        <v>2387</v>
      </c>
      <c r="G1441" t="s">
        <v>586</v>
      </c>
      <c r="H1441" t="str">
        <f t="shared" si="44"/>
        <v>https://videplast.com.br/consulta-imobilizado?id=32003164&amp;nome=MONITOR%20DELL%2021.5"%20P2219H</v>
      </c>
      <c r="I1441" t="e">
        <f t="shared" ca="1" si="45"/>
        <v>#NAME?</v>
      </c>
    </row>
    <row r="1442" spans="1:9" x14ac:dyDescent="0.25">
      <c r="A1442" s="2" t="s">
        <v>2388</v>
      </c>
      <c r="B1442" s="2" t="s">
        <v>10</v>
      </c>
      <c r="C1442" s="3">
        <v>45169</v>
      </c>
      <c r="D1442" t="s">
        <v>2389</v>
      </c>
      <c r="E1442" s="2" t="s">
        <v>12</v>
      </c>
      <c r="F1442" s="2" t="s">
        <v>12</v>
      </c>
      <c r="G1442" t="s">
        <v>586</v>
      </c>
      <c r="H1442" t="str">
        <f t="shared" si="44"/>
        <v>https://videplast.com.br/consulta-imobilizado?id=40000327&amp;nome=DESPESAS%20COM%20INSTALAÇÃO%20SISTEMA%20DE%20VIDEO</v>
      </c>
      <c r="I1442" t="e">
        <f t="shared" ca="1" si="45"/>
        <v>#NAME?</v>
      </c>
    </row>
    <row r="1443" spans="1:9" x14ac:dyDescent="0.25">
      <c r="A1443" s="2" t="s">
        <v>2390</v>
      </c>
      <c r="B1443" s="2" t="s">
        <v>10</v>
      </c>
      <c r="C1443" s="3">
        <v>45443</v>
      </c>
      <c r="D1443" t="s">
        <v>2391</v>
      </c>
      <c r="E1443" s="2" t="s">
        <v>12</v>
      </c>
      <c r="F1443" s="2" t="s">
        <v>12</v>
      </c>
      <c r="G1443" t="s">
        <v>586</v>
      </c>
      <c r="H1443" t="str">
        <f t="shared" si="44"/>
        <v>https://videplast.com.br/consulta-imobilizado?id=40000356&amp;nome=LAPIDAÇÃO%20PISO%20IMPRESSAO%202.370.42M2</v>
      </c>
      <c r="I1443" t="e">
        <f t="shared" ca="1" si="45"/>
        <v>#NAME?</v>
      </c>
    </row>
    <row r="1444" spans="1:9" x14ac:dyDescent="0.25">
      <c r="A1444" s="2" t="s">
        <v>2392</v>
      </c>
      <c r="B1444" s="2" t="s">
        <v>10</v>
      </c>
      <c r="C1444" s="3">
        <v>45535</v>
      </c>
      <c r="D1444" t="s">
        <v>2393</v>
      </c>
      <c r="E1444" s="2" t="s">
        <v>12</v>
      </c>
      <c r="F1444" s="2" t="s">
        <v>12</v>
      </c>
      <c r="G1444" t="s">
        <v>586</v>
      </c>
      <c r="H1444" t="str">
        <f t="shared" si="44"/>
        <v>https://videplast.com.br/consulta-imobilizado?id=40000375&amp;nome=IMPLANTACAO%20SISTEMA%20CONTROLE%20ESTATISTICO</v>
      </c>
      <c r="I1444" t="e">
        <f t="shared" ca="1" si="45"/>
        <v>#NAME?</v>
      </c>
    </row>
    <row r="1445" spans="1:9" x14ac:dyDescent="0.25">
      <c r="A1445" s="2" t="s">
        <v>2394</v>
      </c>
      <c r="B1445" s="2" t="s">
        <v>10</v>
      </c>
      <c r="C1445" s="3">
        <v>39994</v>
      </c>
      <c r="D1445" t="s">
        <v>2395</v>
      </c>
      <c r="E1445" s="2" t="s">
        <v>12</v>
      </c>
      <c r="F1445" s="2" t="s">
        <v>12</v>
      </c>
      <c r="G1445" t="s">
        <v>2396</v>
      </c>
      <c r="H1445" t="str">
        <f t="shared" si="44"/>
        <v>https://videplast.com.br/consulta-imobilizado?id=11000018&amp;nome=TROCADOR%20DE%20CALOR%20MOD%20TSEV-1250-6%20C/%20FEIXE%20FIXO</v>
      </c>
      <c r="I1445" t="e">
        <f t="shared" ca="1" si="45"/>
        <v>#NAME?</v>
      </c>
    </row>
    <row r="1446" spans="1:9" x14ac:dyDescent="0.25">
      <c r="A1446" s="2" t="s">
        <v>2397</v>
      </c>
      <c r="B1446" s="2" t="s">
        <v>10</v>
      </c>
      <c r="C1446" s="3">
        <v>39478</v>
      </c>
      <c r="D1446" t="s">
        <v>2398</v>
      </c>
      <c r="E1446" s="2" t="s">
        <v>12</v>
      </c>
      <c r="F1446" s="2" t="s">
        <v>12</v>
      </c>
      <c r="G1446" t="s">
        <v>2396</v>
      </c>
      <c r="H1446" t="str">
        <f t="shared" si="44"/>
        <v>https://videplast.com.br/consulta-imobilizado?id=11000057&amp;nome=70M%20DE%20CABO%20MULTIF%2012%20TERMINAL%20E%201%20CONECTOR</v>
      </c>
      <c r="I1446" t="e">
        <f t="shared" ca="1" si="45"/>
        <v>#NAME?</v>
      </c>
    </row>
    <row r="1447" spans="1:9" x14ac:dyDescent="0.25">
      <c r="A1447" s="2" t="s">
        <v>2399</v>
      </c>
      <c r="B1447" s="2" t="s">
        <v>10</v>
      </c>
      <c r="C1447" s="3">
        <v>43200</v>
      </c>
      <c r="D1447" t="s">
        <v>2400</v>
      </c>
      <c r="E1447" s="2" t="s">
        <v>12</v>
      </c>
      <c r="F1447" s="2" t="s">
        <v>12</v>
      </c>
      <c r="G1447" t="s">
        <v>2396</v>
      </c>
      <c r="H1447" t="str">
        <f t="shared" si="44"/>
        <v>https://videplast.com.br/consulta-imobilizado?id=11000148&amp;nome=SALA%20COORDENAÇÃO%20ACABAMENTOS%2027M2</v>
      </c>
      <c r="I1447" t="e">
        <f t="shared" ca="1" si="45"/>
        <v>#NAME?</v>
      </c>
    </row>
    <row r="1448" spans="1:9" x14ac:dyDescent="0.25">
      <c r="A1448" s="2" t="s">
        <v>2401</v>
      </c>
      <c r="B1448" s="2" t="s">
        <v>10</v>
      </c>
      <c r="C1448" s="3">
        <v>40755</v>
      </c>
      <c r="D1448" t="s">
        <v>2402</v>
      </c>
      <c r="E1448" s="2" t="s">
        <v>2403</v>
      </c>
      <c r="F1448" s="2" t="s">
        <v>12</v>
      </c>
      <c r="G1448" t="s">
        <v>2396</v>
      </c>
      <c r="H1448" t="str">
        <f t="shared" si="44"/>
        <v>https://videplast.com.br/consulta-imobilizado?id=20000046&amp;nome=MAQUINA%20CORTE%20E%20SOLDA%20F%20HECE%20SC-1100,%20Nº%20230</v>
      </c>
      <c r="I1448" t="e">
        <f t="shared" ca="1" si="45"/>
        <v>#NAME?</v>
      </c>
    </row>
    <row r="1449" spans="1:9" x14ac:dyDescent="0.25">
      <c r="A1449" s="2" t="s">
        <v>2401</v>
      </c>
      <c r="B1449" s="2" t="s">
        <v>26</v>
      </c>
      <c r="C1449" s="3">
        <v>45657</v>
      </c>
      <c r="D1449" t="s">
        <v>2404</v>
      </c>
      <c r="E1449" s="2" t="s">
        <v>12</v>
      </c>
      <c r="F1449" s="2" t="s">
        <v>12</v>
      </c>
      <c r="G1449" t="s">
        <v>2396</v>
      </c>
      <c r="H1449" t="str">
        <f t="shared" si="44"/>
        <v>https://videplast.com.br/consulta-imobilizado?id=20000046&amp;nome=ADEQUACAO%20NR12</v>
      </c>
      <c r="I1449" t="e">
        <f t="shared" ca="1" si="45"/>
        <v>#NAME?</v>
      </c>
    </row>
    <row r="1450" spans="1:9" x14ac:dyDescent="0.25">
      <c r="A1450" s="2" t="s">
        <v>2405</v>
      </c>
      <c r="B1450" s="2" t="s">
        <v>37</v>
      </c>
      <c r="C1450" s="3">
        <v>41486</v>
      </c>
      <c r="D1450" t="s">
        <v>2406</v>
      </c>
      <c r="E1450" s="2" t="s">
        <v>12</v>
      </c>
      <c r="F1450" s="2" t="s">
        <v>12</v>
      </c>
      <c r="G1450" t="s">
        <v>2396</v>
      </c>
      <c r="H1450" t="str">
        <f t="shared" si="44"/>
        <v>https://videplast.com.br/consulta-imobilizado?id=20000059&amp;nome=TERMINO%20DE%20CONSTRUCAO%20DE%2007%20SOLDADEIRAS%20PLASTICAS</v>
      </c>
      <c r="I1450" t="e">
        <f t="shared" ca="1" si="45"/>
        <v>#NAME?</v>
      </c>
    </row>
    <row r="1451" spans="1:9" x14ac:dyDescent="0.25">
      <c r="A1451" s="2" t="s">
        <v>2407</v>
      </c>
      <c r="B1451" s="2" t="s">
        <v>10</v>
      </c>
      <c r="C1451" s="3">
        <v>41698</v>
      </c>
      <c r="D1451" t="s">
        <v>2408</v>
      </c>
      <c r="E1451" s="2" t="s">
        <v>2409</v>
      </c>
      <c r="F1451" s="2" t="s">
        <v>2410</v>
      </c>
      <c r="G1451" t="s">
        <v>2396</v>
      </c>
      <c r="H1451" t="str">
        <f t="shared" si="44"/>
        <v>https://videplast.com.br/consulta-imobilizado?id=20000068&amp;nome=MAQUINA%20WICKET%20MODELO%20DIMATIC%20ETH%20471HS/66%20Nº%20233</v>
      </c>
      <c r="I1451" t="e">
        <f t="shared" ca="1" si="45"/>
        <v>#NAME?</v>
      </c>
    </row>
    <row r="1452" spans="1:9" x14ac:dyDescent="0.25">
      <c r="A1452" s="2" t="s">
        <v>2407</v>
      </c>
      <c r="B1452" s="2" t="s">
        <v>26</v>
      </c>
      <c r="C1452" s="3">
        <v>41729</v>
      </c>
      <c r="D1452" t="s">
        <v>381</v>
      </c>
      <c r="E1452" s="2" t="s">
        <v>12</v>
      </c>
      <c r="F1452" s="2" t="s">
        <v>12</v>
      </c>
      <c r="G1452" t="s">
        <v>2396</v>
      </c>
      <c r="H1452" t="str">
        <f t="shared" si="44"/>
        <v>https://videplast.com.br/consulta-imobilizado?id=20000068&amp;nome=FRETE</v>
      </c>
      <c r="I1452" t="e">
        <f t="shared" ca="1" si="45"/>
        <v>#NAME?</v>
      </c>
    </row>
    <row r="1453" spans="1:9" x14ac:dyDescent="0.25">
      <c r="A1453" s="2" t="s">
        <v>2407</v>
      </c>
      <c r="B1453" s="2" t="s">
        <v>21</v>
      </c>
      <c r="C1453" s="3">
        <v>43402</v>
      </c>
      <c r="D1453" t="s">
        <v>2411</v>
      </c>
      <c r="E1453" s="2" t="s">
        <v>2412</v>
      </c>
      <c r="F1453" s="2" t="s">
        <v>12</v>
      </c>
      <c r="G1453" t="s">
        <v>2396</v>
      </c>
      <c r="H1453" t="str">
        <f t="shared" si="44"/>
        <v>https://videplast.com.br/consulta-imobilizado?id=20000068&amp;nome=SCAE%2086716%20PROCESSORE%20DI%20SEGNAL%20D-MAX-1</v>
      </c>
      <c r="I1453" t="e">
        <f t="shared" ca="1" si="45"/>
        <v>#NAME?</v>
      </c>
    </row>
    <row r="1454" spans="1:9" x14ac:dyDescent="0.25">
      <c r="A1454" s="2" t="s">
        <v>2407</v>
      </c>
      <c r="B1454" s="2" t="s">
        <v>29</v>
      </c>
      <c r="C1454" s="3">
        <v>45657</v>
      </c>
      <c r="D1454" t="s">
        <v>2404</v>
      </c>
      <c r="E1454" s="2" t="s">
        <v>12</v>
      </c>
      <c r="F1454" s="2" t="s">
        <v>12</v>
      </c>
      <c r="G1454" t="s">
        <v>2396</v>
      </c>
      <c r="H1454" t="str">
        <f t="shared" si="44"/>
        <v>https://videplast.com.br/consulta-imobilizado?id=20000068&amp;nome=ADEQUACAO%20NR12</v>
      </c>
      <c r="I1454" t="e">
        <f t="shared" ca="1" si="45"/>
        <v>#NAME?</v>
      </c>
    </row>
    <row r="1455" spans="1:9" x14ac:dyDescent="0.25">
      <c r="A1455" s="2" t="s">
        <v>2413</v>
      </c>
      <c r="B1455" s="2" t="s">
        <v>10</v>
      </c>
      <c r="C1455" s="3">
        <v>41698</v>
      </c>
      <c r="D1455" t="s">
        <v>2414</v>
      </c>
      <c r="E1455" s="2" t="s">
        <v>2415</v>
      </c>
      <c r="F1455" s="2" t="s">
        <v>2416</v>
      </c>
      <c r="G1455" t="s">
        <v>2396</v>
      </c>
      <c r="H1455" t="str">
        <f t="shared" si="44"/>
        <v>https://videplast.com.br/consulta-imobilizado?id=20000069&amp;nome=MAQUINA%20WICKET%20MODELO%20DIMATIC%20ETH%20471HS/66%20Nº%20232</v>
      </c>
      <c r="I1455" t="e">
        <f t="shared" ca="1" si="45"/>
        <v>#NAME?</v>
      </c>
    </row>
    <row r="1456" spans="1:9" x14ac:dyDescent="0.25">
      <c r="A1456" s="2" t="s">
        <v>2413</v>
      </c>
      <c r="B1456" s="2" t="s">
        <v>26</v>
      </c>
      <c r="C1456" s="3">
        <v>41729</v>
      </c>
      <c r="D1456" t="s">
        <v>381</v>
      </c>
      <c r="E1456" s="2" t="s">
        <v>12</v>
      </c>
      <c r="F1456" s="2" t="s">
        <v>12</v>
      </c>
      <c r="G1456" t="s">
        <v>2396</v>
      </c>
      <c r="H1456" t="str">
        <f t="shared" si="44"/>
        <v>https://videplast.com.br/consulta-imobilizado?id=20000069&amp;nome=FRETE</v>
      </c>
      <c r="I1456" t="e">
        <f t="shared" ca="1" si="45"/>
        <v>#NAME?</v>
      </c>
    </row>
    <row r="1457" spans="1:9" x14ac:dyDescent="0.25">
      <c r="A1457" s="2" t="s">
        <v>2413</v>
      </c>
      <c r="B1457" s="2" t="s">
        <v>21</v>
      </c>
      <c r="C1457" s="3">
        <v>45657</v>
      </c>
      <c r="D1457" t="s">
        <v>2404</v>
      </c>
      <c r="E1457" s="2" t="s">
        <v>12</v>
      </c>
      <c r="F1457" s="2" t="s">
        <v>12</v>
      </c>
      <c r="G1457" t="s">
        <v>2396</v>
      </c>
      <c r="H1457" t="str">
        <f t="shared" si="44"/>
        <v>https://videplast.com.br/consulta-imobilizado?id=20000069&amp;nome=ADEQUACAO%20NR12</v>
      </c>
      <c r="I1457" t="e">
        <f t="shared" ca="1" si="45"/>
        <v>#NAME?</v>
      </c>
    </row>
    <row r="1458" spans="1:9" x14ac:dyDescent="0.25">
      <c r="A1458" s="2" t="s">
        <v>2417</v>
      </c>
      <c r="B1458" s="2" t="s">
        <v>10</v>
      </c>
      <c r="C1458" s="3">
        <v>38182</v>
      </c>
      <c r="D1458" t="s">
        <v>2418</v>
      </c>
      <c r="E1458" s="2" t="s">
        <v>2419</v>
      </c>
      <c r="F1458" s="2" t="s">
        <v>2420</v>
      </c>
      <c r="G1458" t="s">
        <v>2396</v>
      </c>
      <c r="H1458" t="str">
        <f t="shared" si="44"/>
        <v>https://videplast.com.br/consulta-imobilizado?id=20000078&amp;nome=MAQUINA%20HECE%20CORTE%20SOLDA%20SC%20700%20II%20Nº%20211</v>
      </c>
      <c r="I1458" t="e">
        <f t="shared" ca="1" si="45"/>
        <v>#NAME?</v>
      </c>
    </row>
    <row r="1459" spans="1:9" x14ac:dyDescent="0.25">
      <c r="A1459" s="2" t="s">
        <v>2417</v>
      </c>
      <c r="B1459" s="2" t="s">
        <v>26</v>
      </c>
      <c r="C1459" s="3">
        <v>40061</v>
      </c>
      <c r="D1459" t="s">
        <v>2421</v>
      </c>
      <c r="E1459" s="2" t="s">
        <v>12</v>
      </c>
      <c r="F1459" s="2" t="s">
        <v>12</v>
      </c>
      <c r="G1459" t="s">
        <v>2396</v>
      </c>
      <c r="H1459" t="str">
        <f t="shared" si="44"/>
        <v>https://videplast.com.br/consulta-imobilizado?id=20000078&amp;nome=SOLDA%20FUNDO%20LAM.%20PNEUM.%20IND.%20SC-700%20II</v>
      </c>
      <c r="I1459" t="e">
        <f t="shared" ca="1" si="45"/>
        <v>#NAME?</v>
      </c>
    </row>
    <row r="1460" spans="1:9" x14ac:dyDescent="0.25">
      <c r="A1460" s="2" t="s">
        <v>2417</v>
      </c>
      <c r="B1460" s="2" t="s">
        <v>21</v>
      </c>
      <c r="C1460" s="3">
        <v>45657</v>
      </c>
      <c r="D1460" t="s">
        <v>2404</v>
      </c>
      <c r="E1460" s="2" t="s">
        <v>12</v>
      </c>
      <c r="F1460" s="2" t="s">
        <v>12</v>
      </c>
      <c r="G1460" t="s">
        <v>2396</v>
      </c>
      <c r="H1460" t="str">
        <f t="shared" si="44"/>
        <v>https://videplast.com.br/consulta-imobilizado?id=20000078&amp;nome=ADEQUACAO%20NR12</v>
      </c>
      <c r="I1460" t="e">
        <f t="shared" ca="1" si="45"/>
        <v>#NAME?</v>
      </c>
    </row>
    <row r="1461" spans="1:9" x14ac:dyDescent="0.25">
      <c r="A1461" s="2" t="s">
        <v>2422</v>
      </c>
      <c r="B1461" s="2" t="s">
        <v>10</v>
      </c>
      <c r="C1461" s="3">
        <v>38182</v>
      </c>
      <c r="D1461" t="s">
        <v>2423</v>
      </c>
      <c r="E1461" s="2" t="s">
        <v>2424</v>
      </c>
      <c r="F1461" s="2" t="s">
        <v>2425</v>
      </c>
      <c r="G1461" t="s">
        <v>2396</v>
      </c>
      <c r="H1461" t="str">
        <f t="shared" si="44"/>
        <v>https://videplast.com.br/consulta-imobilizado?id=20000079&amp;nome=MAQUINA%20CORTE%20SOLDA%20500%20FR%20Nº%20210</v>
      </c>
      <c r="I1461" t="e">
        <f t="shared" ca="1" si="45"/>
        <v>#NAME?</v>
      </c>
    </row>
    <row r="1462" spans="1:9" x14ac:dyDescent="0.25">
      <c r="A1462" s="2" t="s">
        <v>2422</v>
      </c>
      <c r="B1462" s="2" t="s">
        <v>26</v>
      </c>
      <c r="C1462" s="3">
        <v>45657</v>
      </c>
      <c r="D1462" t="s">
        <v>2404</v>
      </c>
      <c r="E1462" s="2" t="s">
        <v>12</v>
      </c>
      <c r="F1462" s="2" t="s">
        <v>12</v>
      </c>
      <c r="G1462" t="s">
        <v>2396</v>
      </c>
      <c r="H1462" t="str">
        <f t="shared" si="44"/>
        <v>https://videplast.com.br/consulta-imobilizado?id=20000079&amp;nome=ADEQUACAO%20NR12</v>
      </c>
      <c r="I1462" t="e">
        <f t="shared" ca="1" si="45"/>
        <v>#NAME?</v>
      </c>
    </row>
    <row r="1463" spans="1:9" x14ac:dyDescent="0.25">
      <c r="A1463" s="2" t="s">
        <v>2426</v>
      </c>
      <c r="B1463" s="2" t="s">
        <v>10</v>
      </c>
      <c r="C1463" s="3">
        <v>38630</v>
      </c>
      <c r="D1463" t="s">
        <v>2427</v>
      </c>
      <c r="E1463" s="2" t="s">
        <v>2428</v>
      </c>
      <c r="F1463" s="2" t="s">
        <v>2429</v>
      </c>
      <c r="G1463" t="s">
        <v>2396</v>
      </c>
      <c r="H1463" t="str">
        <f t="shared" si="44"/>
        <v>https://videplast.com.br/consulta-imobilizado?id=20000080&amp;nome=MAQUINA%20HECE%20MODELO%20SC-1400%20Nº%20213</v>
      </c>
      <c r="I1463" t="e">
        <f t="shared" ca="1" si="45"/>
        <v>#NAME?</v>
      </c>
    </row>
    <row r="1464" spans="1:9" x14ac:dyDescent="0.25">
      <c r="A1464" s="2" t="s">
        <v>2426</v>
      </c>
      <c r="B1464" s="2" t="s">
        <v>26</v>
      </c>
      <c r="C1464" s="3">
        <v>45657</v>
      </c>
      <c r="D1464" t="s">
        <v>2404</v>
      </c>
      <c r="E1464" s="2" t="s">
        <v>12</v>
      </c>
      <c r="F1464" s="2" t="s">
        <v>12</v>
      </c>
      <c r="G1464" t="s">
        <v>2396</v>
      </c>
      <c r="H1464" t="str">
        <f t="shared" si="44"/>
        <v>https://videplast.com.br/consulta-imobilizado?id=20000080&amp;nome=ADEQUACAO%20NR12</v>
      </c>
      <c r="I1464" t="e">
        <f t="shared" ca="1" si="45"/>
        <v>#NAME?</v>
      </c>
    </row>
    <row r="1465" spans="1:9" x14ac:dyDescent="0.25">
      <c r="A1465" s="2" t="s">
        <v>2430</v>
      </c>
      <c r="B1465" s="2" t="s">
        <v>10</v>
      </c>
      <c r="C1465" s="3">
        <v>38639</v>
      </c>
      <c r="D1465" t="s">
        <v>2431</v>
      </c>
      <c r="E1465" s="2" t="s">
        <v>2432</v>
      </c>
      <c r="F1465" s="2" t="s">
        <v>2433</v>
      </c>
      <c r="G1465" t="s">
        <v>2396</v>
      </c>
      <c r="H1465" t="str">
        <f t="shared" si="44"/>
        <v>https://videplast.com.br/consulta-imobilizado?id=20000081&amp;nome=MAQUINA%20HECE%20MODELO%20SC-700-II%20Nº%20214</v>
      </c>
      <c r="I1465" t="e">
        <f t="shared" ca="1" si="45"/>
        <v>#NAME?</v>
      </c>
    </row>
    <row r="1466" spans="1:9" x14ac:dyDescent="0.25">
      <c r="A1466" s="2" t="s">
        <v>2430</v>
      </c>
      <c r="B1466" s="2" t="s">
        <v>26</v>
      </c>
      <c r="C1466" s="3">
        <v>45657</v>
      </c>
      <c r="D1466" t="s">
        <v>2404</v>
      </c>
      <c r="E1466" s="2" t="s">
        <v>12</v>
      </c>
      <c r="F1466" s="2" t="s">
        <v>12</v>
      </c>
      <c r="G1466" t="s">
        <v>2396</v>
      </c>
      <c r="H1466" t="str">
        <f t="shared" si="44"/>
        <v>https://videplast.com.br/consulta-imobilizado?id=20000081&amp;nome=ADEQUACAO%20NR12</v>
      </c>
      <c r="I1466" t="e">
        <f t="shared" ca="1" si="45"/>
        <v>#NAME?</v>
      </c>
    </row>
    <row r="1467" spans="1:9" x14ac:dyDescent="0.25">
      <c r="A1467" s="2" t="s">
        <v>2434</v>
      </c>
      <c r="B1467" s="2" t="s">
        <v>10</v>
      </c>
      <c r="C1467" s="3">
        <v>38652</v>
      </c>
      <c r="D1467" t="s">
        <v>2435</v>
      </c>
      <c r="E1467" s="2" t="s">
        <v>2436</v>
      </c>
      <c r="F1467" s="2" t="s">
        <v>2437</v>
      </c>
      <c r="G1467" t="s">
        <v>2396</v>
      </c>
      <c r="H1467" t="str">
        <f t="shared" si="44"/>
        <v>https://videplast.com.br/consulta-imobilizado?id=20000084&amp;nome=MAQUINA%20AUTOMATICA%20HECE%20MOD%20SC%20500%20FR%20Nº%20215</v>
      </c>
      <c r="I1467" t="e">
        <f t="shared" ca="1" si="45"/>
        <v>#NAME?</v>
      </c>
    </row>
    <row r="1468" spans="1:9" x14ac:dyDescent="0.25">
      <c r="A1468" s="2" t="s">
        <v>2434</v>
      </c>
      <c r="B1468" s="2" t="s">
        <v>26</v>
      </c>
      <c r="C1468" s="3">
        <v>45657</v>
      </c>
      <c r="D1468" t="s">
        <v>2404</v>
      </c>
      <c r="E1468" s="2" t="s">
        <v>12</v>
      </c>
      <c r="F1468" s="2" t="s">
        <v>12</v>
      </c>
      <c r="G1468" t="s">
        <v>2396</v>
      </c>
      <c r="H1468" t="str">
        <f t="shared" si="44"/>
        <v>https://videplast.com.br/consulta-imobilizado?id=20000084&amp;nome=ADEQUACAO%20NR12</v>
      </c>
      <c r="I1468" t="e">
        <f t="shared" ca="1" si="45"/>
        <v>#NAME?</v>
      </c>
    </row>
    <row r="1469" spans="1:9" x14ac:dyDescent="0.25">
      <c r="A1469" s="2" t="s">
        <v>2438</v>
      </c>
      <c r="B1469" s="2" t="s">
        <v>10</v>
      </c>
      <c r="C1469" s="3">
        <v>38762</v>
      </c>
      <c r="D1469" t="s">
        <v>2439</v>
      </c>
      <c r="E1469" s="2" t="s">
        <v>2440</v>
      </c>
      <c r="F1469" s="2" t="s">
        <v>2441</v>
      </c>
      <c r="G1469" t="s">
        <v>2396</v>
      </c>
      <c r="H1469" t="str">
        <f t="shared" si="44"/>
        <v>https://videplast.com.br/consulta-imobilizado?id=20000089&amp;nome=MAQUINA%20HECE%20MOD%20SC-500%20FR%20II%20Nº%20218</v>
      </c>
      <c r="I1469" t="e">
        <f t="shared" ca="1" si="45"/>
        <v>#NAME?</v>
      </c>
    </row>
    <row r="1470" spans="1:9" x14ac:dyDescent="0.25">
      <c r="A1470" s="2" t="s">
        <v>2438</v>
      </c>
      <c r="B1470" s="2" t="s">
        <v>26</v>
      </c>
      <c r="C1470" s="3">
        <v>45657</v>
      </c>
      <c r="D1470" t="s">
        <v>2404</v>
      </c>
      <c r="E1470" s="2" t="s">
        <v>12</v>
      </c>
      <c r="F1470" s="2" t="s">
        <v>12</v>
      </c>
      <c r="G1470" t="s">
        <v>2396</v>
      </c>
      <c r="H1470" t="str">
        <f t="shared" si="44"/>
        <v>https://videplast.com.br/consulta-imobilizado?id=20000089&amp;nome=ADEQUACAO%20NR12</v>
      </c>
      <c r="I1470" t="e">
        <f t="shared" ca="1" si="45"/>
        <v>#NAME?</v>
      </c>
    </row>
    <row r="1471" spans="1:9" x14ac:dyDescent="0.25">
      <c r="A1471" s="2" t="s">
        <v>2442</v>
      </c>
      <c r="B1471" s="2" t="s">
        <v>10</v>
      </c>
      <c r="C1471" s="3">
        <v>38954</v>
      </c>
      <c r="D1471" t="s">
        <v>2443</v>
      </c>
      <c r="E1471" s="2" t="s">
        <v>2444</v>
      </c>
      <c r="F1471" s="2" t="s">
        <v>2445</v>
      </c>
      <c r="G1471" t="s">
        <v>2396</v>
      </c>
      <c r="H1471" t="str">
        <f t="shared" si="44"/>
        <v>https://videplast.com.br/consulta-imobilizado?id=20000090&amp;nome=MAQUINA%20HECE%20MOD%20SC-1100%20%20Nº%20219</v>
      </c>
      <c r="I1471" t="e">
        <f t="shared" ca="1" si="45"/>
        <v>#NAME?</v>
      </c>
    </row>
    <row r="1472" spans="1:9" x14ac:dyDescent="0.25">
      <c r="A1472" s="2" t="s">
        <v>2442</v>
      </c>
      <c r="B1472" s="2" t="s">
        <v>26</v>
      </c>
      <c r="C1472" s="3">
        <v>44173</v>
      </c>
      <c r="D1472" t="s">
        <v>2446</v>
      </c>
      <c r="E1472" s="2" t="s">
        <v>12</v>
      </c>
      <c r="F1472" s="2" t="s">
        <v>12</v>
      </c>
      <c r="G1472" t="s">
        <v>2396</v>
      </c>
      <c r="H1472" t="str">
        <f t="shared" si="44"/>
        <v>https://videplast.com.br/consulta-imobilizado?id=20000090&amp;nome=KIT%20DE%20ADAPTACAO%20DIGITAL%20PARA%20PLC%20300%20WEG</v>
      </c>
      <c r="I1472" t="e">
        <f t="shared" ca="1" si="45"/>
        <v>#NAME?</v>
      </c>
    </row>
    <row r="1473" spans="1:9" x14ac:dyDescent="0.25">
      <c r="A1473" s="2" t="s">
        <v>2442</v>
      </c>
      <c r="B1473" s="2" t="s">
        <v>21</v>
      </c>
      <c r="C1473" s="3">
        <v>45657</v>
      </c>
      <c r="D1473" t="s">
        <v>2404</v>
      </c>
      <c r="E1473" s="2" t="s">
        <v>12</v>
      </c>
      <c r="F1473" s="2" t="s">
        <v>12</v>
      </c>
      <c r="G1473" t="s">
        <v>2396</v>
      </c>
      <c r="H1473" t="str">
        <f t="shared" si="44"/>
        <v>https://videplast.com.br/consulta-imobilizado?id=20000090&amp;nome=ADEQUACAO%20NR12</v>
      </c>
      <c r="I1473" t="e">
        <f t="shared" ca="1" si="45"/>
        <v>#NAME?</v>
      </c>
    </row>
    <row r="1474" spans="1:9" x14ac:dyDescent="0.25">
      <c r="A1474" s="2" t="s">
        <v>2447</v>
      </c>
      <c r="B1474" s="2" t="s">
        <v>10</v>
      </c>
      <c r="C1474" s="3">
        <v>39353</v>
      </c>
      <c r="D1474" t="s">
        <v>2448</v>
      </c>
      <c r="E1474" s="2" t="s">
        <v>2449</v>
      </c>
      <c r="F1474" s="2" t="s">
        <v>2450</v>
      </c>
      <c r="G1474" t="s">
        <v>2396</v>
      </c>
      <c r="H1474" t="str">
        <f t="shared" ref="H1474:H1537" si="46" xml:space="preserve"> "https://videplast.com.br/consulta-imobilizado?id=" &amp; A1474 &amp; "&amp;nome=" &amp; SUBSTITUTE(D1474, " ", "%20")</f>
        <v>https://videplast.com.br/consulta-imobilizado?id=20000104&amp;nome=MAQUINA%20HECE%20AUTOMATICA%20MODELO%20HSC%201100%20Nº%20221</v>
      </c>
      <c r="I1474" t="e">
        <f t="shared" ref="I1474:I1537" ca="1" si="47">_xlfn.IMAGE("https://chart.googleapis.com/chart?chs=150x150&amp;cht=qr&amp;chl=" &amp; H1474)</f>
        <v>#NAME?</v>
      </c>
    </row>
    <row r="1475" spans="1:9" x14ac:dyDescent="0.25">
      <c r="A1475" s="2" t="s">
        <v>2447</v>
      </c>
      <c r="B1475" s="2" t="s">
        <v>26</v>
      </c>
      <c r="C1475" s="3">
        <v>44095</v>
      </c>
      <c r="D1475" t="s">
        <v>2451</v>
      </c>
      <c r="E1475" s="2" t="s">
        <v>2452</v>
      </c>
      <c r="F1475" s="2" t="s">
        <v>2450</v>
      </c>
      <c r="G1475" t="s">
        <v>2396</v>
      </c>
      <c r="H1475" t="str">
        <f t="shared" si="46"/>
        <v>https://videplast.com.br/consulta-imobilizado?id=20000104&amp;nome=SOLDA%20LATERAL%20COM%20BAINHA%20HSC%20-1100%20PISTA%204MM</v>
      </c>
      <c r="I1475" t="e">
        <f t="shared" ca="1" si="47"/>
        <v>#NAME?</v>
      </c>
    </row>
    <row r="1476" spans="1:9" x14ac:dyDescent="0.25">
      <c r="A1476" s="2" t="s">
        <v>2447</v>
      </c>
      <c r="B1476" s="2" t="s">
        <v>21</v>
      </c>
      <c r="C1476" s="3">
        <v>45657</v>
      </c>
      <c r="D1476" t="s">
        <v>2404</v>
      </c>
      <c r="E1476" s="2" t="s">
        <v>12</v>
      </c>
      <c r="F1476" s="2" t="s">
        <v>12</v>
      </c>
      <c r="G1476" t="s">
        <v>2396</v>
      </c>
      <c r="H1476" t="str">
        <f t="shared" si="46"/>
        <v>https://videplast.com.br/consulta-imobilizado?id=20000104&amp;nome=ADEQUACAO%20NR12</v>
      </c>
      <c r="I1476" t="e">
        <f t="shared" ca="1" si="47"/>
        <v>#NAME?</v>
      </c>
    </row>
    <row r="1477" spans="1:9" x14ac:dyDescent="0.25">
      <c r="A1477" s="2" t="s">
        <v>2453</v>
      </c>
      <c r="B1477" s="2" t="s">
        <v>10</v>
      </c>
      <c r="C1477" s="3">
        <v>39778</v>
      </c>
      <c r="D1477" t="s">
        <v>2454</v>
      </c>
      <c r="E1477" s="2" t="s">
        <v>2455</v>
      </c>
      <c r="F1477" s="2" t="s">
        <v>2456</v>
      </c>
      <c r="G1477" t="s">
        <v>2396</v>
      </c>
      <c r="H1477" t="str">
        <f t="shared" si="46"/>
        <v>https://videplast.com.br/consulta-imobilizado?id=20000123&amp;nome=MAQUINA%20AUTOMATICA%20HECE%20MOD%20SC%20700%20FR%20-III%20Nº%20223</v>
      </c>
      <c r="I1477" t="e">
        <f t="shared" ca="1" si="47"/>
        <v>#NAME?</v>
      </c>
    </row>
    <row r="1478" spans="1:9" x14ac:dyDescent="0.25">
      <c r="A1478" s="2" t="s">
        <v>2453</v>
      </c>
      <c r="B1478" s="2" t="s">
        <v>26</v>
      </c>
      <c r="C1478" s="3">
        <v>45657</v>
      </c>
      <c r="D1478" t="s">
        <v>2404</v>
      </c>
      <c r="E1478" s="2" t="s">
        <v>12</v>
      </c>
      <c r="F1478" s="2" t="s">
        <v>12</v>
      </c>
      <c r="G1478" t="s">
        <v>2396</v>
      </c>
      <c r="H1478" t="str">
        <f t="shared" si="46"/>
        <v>https://videplast.com.br/consulta-imobilizado?id=20000123&amp;nome=ADEQUACAO%20NR12</v>
      </c>
      <c r="I1478" t="e">
        <f t="shared" ca="1" si="47"/>
        <v>#NAME?</v>
      </c>
    </row>
    <row r="1479" spans="1:9" x14ac:dyDescent="0.25">
      <c r="A1479" s="2" t="s">
        <v>2457</v>
      </c>
      <c r="B1479" s="2" t="s">
        <v>10</v>
      </c>
      <c r="C1479" s="3">
        <v>40127</v>
      </c>
      <c r="D1479" t="s">
        <v>2458</v>
      </c>
      <c r="E1479" s="2" t="s">
        <v>2459</v>
      </c>
      <c r="F1479" s="2" t="s">
        <v>2460</v>
      </c>
      <c r="G1479" t="s">
        <v>2396</v>
      </c>
      <c r="H1479" t="str">
        <f t="shared" si="46"/>
        <v>https://videplast.com.br/consulta-imobilizado?id=20000126&amp;nome=MAQUINA%20AUTOMATICA%20HECE%20MOD%20SC%20700%20FR%20-III%20Nº%20225</v>
      </c>
      <c r="I1479" t="e">
        <f t="shared" ca="1" si="47"/>
        <v>#NAME?</v>
      </c>
    </row>
    <row r="1480" spans="1:9" x14ac:dyDescent="0.25">
      <c r="A1480" s="2" t="s">
        <v>2457</v>
      </c>
      <c r="B1480" s="2" t="s">
        <v>26</v>
      </c>
      <c r="C1480" s="3">
        <v>40633</v>
      </c>
      <c r="D1480" t="s">
        <v>2461</v>
      </c>
      <c r="E1480" s="2" t="s">
        <v>12</v>
      </c>
      <c r="F1480" s="2" t="s">
        <v>12</v>
      </c>
      <c r="G1480" t="s">
        <v>2396</v>
      </c>
      <c r="H1480" t="str">
        <f t="shared" si="46"/>
        <v>https://videplast.com.br/consulta-imobilizado?id=20000126&amp;nome=ELETRODO%20SOLDA%20LATERAL%20PE%20-%20%20BRONZE</v>
      </c>
      <c r="I1480" t="e">
        <f t="shared" ca="1" si="47"/>
        <v>#NAME?</v>
      </c>
    </row>
    <row r="1481" spans="1:9" x14ac:dyDescent="0.25">
      <c r="A1481" s="2" t="s">
        <v>2457</v>
      </c>
      <c r="B1481" s="2" t="s">
        <v>21</v>
      </c>
      <c r="C1481" s="3">
        <v>40847</v>
      </c>
      <c r="D1481" t="s">
        <v>2462</v>
      </c>
      <c r="E1481" s="2" t="s">
        <v>12</v>
      </c>
      <c r="F1481" s="2" t="s">
        <v>12</v>
      </c>
      <c r="G1481" t="s">
        <v>2396</v>
      </c>
      <c r="H1481" t="str">
        <f t="shared" si="46"/>
        <v>https://videplast.com.br/consulta-imobilizado?id=20000126&amp;nome=TUB.SC700-4100W,2%20RES.TUB.SC-700FRIII,1ELET</v>
      </c>
      <c r="I1481" t="e">
        <f t="shared" ca="1" si="47"/>
        <v>#NAME?</v>
      </c>
    </row>
    <row r="1482" spans="1:9" x14ac:dyDescent="0.25">
      <c r="A1482" s="2" t="s">
        <v>2457</v>
      </c>
      <c r="B1482" s="2" t="s">
        <v>29</v>
      </c>
      <c r="C1482" s="3">
        <v>45657</v>
      </c>
      <c r="D1482" t="s">
        <v>2404</v>
      </c>
      <c r="E1482" s="2" t="s">
        <v>12</v>
      </c>
      <c r="F1482" s="2" t="s">
        <v>12</v>
      </c>
      <c r="G1482" t="s">
        <v>2396</v>
      </c>
      <c r="H1482" t="str">
        <f t="shared" si="46"/>
        <v>https://videplast.com.br/consulta-imobilizado?id=20000126&amp;nome=ADEQUACAO%20NR12</v>
      </c>
      <c r="I1482" t="e">
        <f t="shared" ca="1" si="47"/>
        <v>#NAME?</v>
      </c>
    </row>
    <row r="1483" spans="1:9" x14ac:dyDescent="0.25">
      <c r="A1483" s="2" t="s">
        <v>2463</v>
      </c>
      <c r="B1483" s="2" t="s">
        <v>10</v>
      </c>
      <c r="C1483" s="3">
        <v>36839</v>
      </c>
      <c r="D1483" t="s">
        <v>2464</v>
      </c>
      <c r="E1483" s="2" t="s">
        <v>2465</v>
      </c>
      <c r="F1483" s="2" t="s">
        <v>2466</v>
      </c>
      <c r="G1483" t="s">
        <v>2396</v>
      </c>
      <c r="H1483" t="str">
        <f t="shared" si="46"/>
        <v>https://videplast.com.br/consulta-imobilizado?id=20000134&amp;nome=MAQUINA%20AUTOMATICA%20HECE%20MOD%20SC-500%20FR%20Nº%20207</v>
      </c>
      <c r="I1483" t="e">
        <f t="shared" ca="1" si="47"/>
        <v>#NAME?</v>
      </c>
    </row>
    <row r="1484" spans="1:9" x14ac:dyDescent="0.25">
      <c r="A1484" s="2" t="s">
        <v>2463</v>
      </c>
      <c r="B1484" s="2" t="s">
        <v>26</v>
      </c>
      <c r="C1484" s="3">
        <v>44182</v>
      </c>
      <c r="D1484" t="s">
        <v>2467</v>
      </c>
      <c r="E1484" s="2" t="s">
        <v>12</v>
      </c>
      <c r="F1484" s="2" t="s">
        <v>12</v>
      </c>
      <c r="G1484" t="s">
        <v>2396</v>
      </c>
      <c r="H1484" t="str">
        <f t="shared" si="46"/>
        <v>https://videplast.com.br/consulta-imobilizado?id=20000134&amp;nome=SERVICOS%20DE%20MAO%20DE%20OBRA</v>
      </c>
      <c r="I1484" t="e">
        <f t="shared" ca="1" si="47"/>
        <v>#NAME?</v>
      </c>
    </row>
    <row r="1485" spans="1:9" x14ac:dyDescent="0.25">
      <c r="A1485" s="2" t="s">
        <v>2468</v>
      </c>
      <c r="B1485" s="2" t="s">
        <v>10</v>
      </c>
      <c r="C1485" s="3">
        <v>36839</v>
      </c>
      <c r="D1485" t="s">
        <v>2469</v>
      </c>
      <c r="E1485" s="2" t="s">
        <v>2470</v>
      </c>
      <c r="F1485" s="2" t="s">
        <v>2471</v>
      </c>
      <c r="G1485" t="s">
        <v>2396</v>
      </c>
      <c r="H1485" t="str">
        <f t="shared" si="46"/>
        <v>https://videplast.com.br/consulta-imobilizado?id=20000135&amp;nome=MAQUINA%20AUTOMATICA%20HECE%20MOD%20SC%20500%20FR%20Nº%20208</v>
      </c>
      <c r="I1485" t="e">
        <f t="shared" ca="1" si="47"/>
        <v>#NAME?</v>
      </c>
    </row>
    <row r="1486" spans="1:9" x14ac:dyDescent="0.25">
      <c r="A1486" s="2" t="s">
        <v>2472</v>
      </c>
      <c r="B1486" s="2" t="s">
        <v>10</v>
      </c>
      <c r="C1486" s="3">
        <v>37033</v>
      </c>
      <c r="D1486" t="s">
        <v>2473</v>
      </c>
      <c r="E1486" s="2" t="s">
        <v>2474</v>
      </c>
      <c r="F1486" s="2" t="s">
        <v>2475</v>
      </c>
      <c r="G1486" t="s">
        <v>2396</v>
      </c>
      <c r="H1486" t="str">
        <f t="shared" si="46"/>
        <v>https://videplast.com.br/consulta-imobilizado?id=20000140&amp;nome=MAQUINA%20AUTOMATICA%20HECE%20MOD%20FR%20700%20Nº%20206</v>
      </c>
      <c r="I1486" t="e">
        <f t="shared" ca="1" si="47"/>
        <v>#NAME?</v>
      </c>
    </row>
    <row r="1487" spans="1:9" x14ac:dyDescent="0.25">
      <c r="A1487" s="2" t="s">
        <v>2472</v>
      </c>
      <c r="B1487" s="2" t="s">
        <v>26</v>
      </c>
      <c r="C1487" s="3">
        <v>37042</v>
      </c>
      <c r="D1487" t="s">
        <v>2476</v>
      </c>
      <c r="E1487" s="2" t="s">
        <v>12</v>
      </c>
      <c r="F1487" s="2" t="s">
        <v>12</v>
      </c>
      <c r="G1487" t="s">
        <v>2396</v>
      </c>
      <c r="H1487" t="str">
        <f t="shared" si="46"/>
        <v>https://videplast.com.br/consulta-imobilizado?id=20000140&amp;nome=FRETE%20PELA%20COMPRA%20MAQ.%20AUTOMATICA%20HECE</v>
      </c>
      <c r="I1487" t="e">
        <f t="shared" ca="1" si="47"/>
        <v>#NAME?</v>
      </c>
    </row>
    <row r="1488" spans="1:9" x14ac:dyDescent="0.25">
      <c r="A1488" s="2" t="s">
        <v>2477</v>
      </c>
      <c r="B1488" s="2" t="s">
        <v>10</v>
      </c>
      <c r="C1488" s="3">
        <v>37042</v>
      </c>
      <c r="D1488" t="s">
        <v>2478</v>
      </c>
      <c r="E1488" s="2" t="s">
        <v>2479</v>
      </c>
      <c r="F1488" s="2" t="s">
        <v>2480</v>
      </c>
      <c r="G1488" t="s">
        <v>2396</v>
      </c>
      <c r="H1488" t="str">
        <f t="shared" si="46"/>
        <v>https://videplast.com.br/consulta-imobilizado?id=20000141&amp;nome=MAQUINA%20AUTOMATICA%20HECE%20MOD%20FR%201100%20Nº%20203</v>
      </c>
      <c r="I1488" t="e">
        <f t="shared" ca="1" si="47"/>
        <v>#NAME?</v>
      </c>
    </row>
    <row r="1489" spans="1:9" x14ac:dyDescent="0.25">
      <c r="A1489" s="2" t="s">
        <v>2481</v>
      </c>
      <c r="B1489" s="2" t="s">
        <v>10</v>
      </c>
      <c r="C1489" s="3">
        <v>37076</v>
      </c>
      <c r="D1489" t="s">
        <v>2482</v>
      </c>
      <c r="E1489" s="2" t="s">
        <v>2483</v>
      </c>
      <c r="F1489" s="2" t="s">
        <v>2484</v>
      </c>
      <c r="G1489" t="s">
        <v>2396</v>
      </c>
      <c r="H1489" t="str">
        <f t="shared" si="46"/>
        <v>https://videplast.com.br/consulta-imobilizado?id=20000142&amp;nome=MAQUINA%20AUTOMATICA%20HECE%20MOD%20SC%20500%20Nº%20209</v>
      </c>
      <c r="I1489" t="e">
        <f t="shared" ca="1" si="47"/>
        <v>#NAME?</v>
      </c>
    </row>
    <row r="1490" spans="1:9" x14ac:dyDescent="0.25">
      <c r="A1490" s="2" t="s">
        <v>2485</v>
      </c>
      <c r="B1490" s="2" t="s">
        <v>10</v>
      </c>
      <c r="C1490" s="3">
        <v>37718</v>
      </c>
      <c r="D1490" t="s">
        <v>2486</v>
      </c>
      <c r="E1490" s="2" t="s">
        <v>2487</v>
      </c>
      <c r="F1490" s="2" t="s">
        <v>2488</v>
      </c>
      <c r="G1490" t="s">
        <v>2396</v>
      </c>
      <c r="H1490" t="str">
        <f t="shared" si="46"/>
        <v>https://videplast.com.br/consulta-imobilizado?id=20000147&amp;nome=MAQUINA%20CORTE%20E%20SOLDA%20MOD%20SL%201400%20Nº%20204</v>
      </c>
      <c r="I1490" t="e">
        <f t="shared" ca="1" si="47"/>
        <v>#NAME?</v>
      </c>
    </row>
    <row r="1491" spans="1:9" x14ac:dyDescent="0.25">
      <c r="A1491" s="2" t="s">
        <v>2485</v>
      </c>
      <c r="B1491" s="2" t="s">
        <v>26</v>
      </c>
      <c r="C1491" s="3">
        <v>43435</v>
      </c>
      <c r="D1491" t="s">
        <v>2411</v>
      </c>
      <c r="E1491" s="2" t="s">
        <v>12</v>
      </c>
      <c r="F1491" s="2" t="s">
        <v>12</v>
      </c>
      <c r="G1491" t="s">
        <v>2396</v>
      </c>
      <c r="H1491" t="str">
        <f t="shared" si="46"/>
        <v>https://videplast.com.br/consulta-imobilizado?id=20000147&amp;nome=SCAE%2086716%20PROCESSORE%20DI%20SEGNAL%20D-MAX-1</v>
      </c>
      <c r="I1491" t="e">
        <f t="shared" ca="1" si="47"/>
        <v>#NAME?</v>
      </c>
    </row>
    <row r="1492" spans="1:9" x14ac:dyDescent="0.25">
      <c r="A1492" s="2" t="s">
        <v>2489</v>
      </c>
      <c r="B1492" s="2" t="s">
        <v>10</v>
      </c>
      <c r="C1492" s="3">
        <v>38063</v>
      </c>
      <c r="D1492" t="s">
        <v>2490</v>
      </c>
      <c r="E1492" s="2" t="s">
        <v>2491</v>
      </c>
      <c r="F1492" s="2" t="s">
        <v>2492</v>
      </c>
      <c r="G1492" t="s">
        <v>2396</v>
      </c>
      <c r="H1492" t="str">
        <f t="shared" si="46"/>
        <v>https://videplast.com.br/consulta-imobilizado?id=20000150&amp;nome=MAQUINA%20HECE%20CORTE%20E%20SOLDA%20MOD%20SC%20500%20Nº%20212</v>
      </c>
      <c r="I1492" t="e">
        <f t="shared" ca="1" si="47"/>
        <v>#NAME?</v>
      </c>
    </row>
    <row r="1493" spans="1:9" x14ac:dyDescent="0.25">
      <c r="A1493" s="2" t="s">
        <v>2493</v>
      </c>
      <c r="B1493" s="2" t="s">
        <v>10</v>
      </c>
      <c r="C1493" s="3">
        <v>36831</v>
      </c>
      <c r="D1493" t="s">
        <v>2494</v>
      </c>
      <c r="E1493" s="2" t="s">
        <v>2495</v>
      </c>
      <c r="F1493" s="2" t="s">
        <v>2496</v>
      </c>
      <c r="G1493" t="s">
        <v>2396</v>
      </c>
      <c r="H1493" t="str">
        <f t="shared" si="46"/>
        <v>https://videplast.com.br/consulta-imobilizado?id=20000153&amp;nome=MAQUINA%20AUTOMATICA%20HECE%20MOD%20SC%201100%20Nº%20201</v>
      </c>
      <c r="I1493" t="e">
        <f t="shared" ca="1" si="47"/>
        <v>#NAME?</v>
      </c>
    </row>
    <row r="1494" spans="1:9" x14ac:dyDescent="0.25">
      <c r="A1494" s="2" t="s">
        <v>2493</v>
      </c>
      <c r="B1494" s="2" t="s">
        <v>26</v>
      </c>
      <c r="C1494" s="3">
        <v>40786</v>
      </c>
      <c r="D1494" t="s">
        <v>2497</v>
      </c>
      <c r="E1494" s="2" t="s">
        <v>12</v>
      </c>
      <c r="F1494" s="2" t="s">
        <v>12</v>
      </c>
      <c r="G1494" t="s">
        <v>2396</v>
      </c>
      <c r="H1494" t="str">
        <f t="shared" si="46"/>
        <v>https://videplast.com.br/consulta-imobilizado?id=20000153&amp;nome=SOLDA%20FUNDO%20IND.%20LAMINA%20PNEUMATICA</v>
      </c>
      <c r="I1494" t="e">
        <f t="shared" ca="1" si="47"/>
        <v>#NAME?</v>
      </c>
    </row>
    <row r="1495" spans="1:9" x14ac:dyDescent="0.25">
      <c r="A1495" s="2" t="s">
        <v>2493</v>
      </c>
      <c r="B1495" s="2" t="s">
        <v>21</v>
      </c>
      <c r="C1495" s="3">
        <v>45657</v>
      </c>
      <c r="D1495" t="s">
        <v>2404</v>
      </c>
      <c r="E1495" s="2" t="s">
        <v>12</v>
      </c>
      <c r="F1495" s="2" t="s">
        <v>12</v>
      </c>
      <c r="G1495" t="s">
        <v>2396</v>
      </c>
      <c r="H1495" t="str">
        <f t="shared" si="46"/>
        <v>https://videplast.com.br/consulta-imobilizado?id=20000153&amp;nome=ADEQUACAO%20NR12</v>
      </c>
      <c r="I1495" t="e">
        <f t="shared" ca="1" si="47"/>
        <v>#NAME?</v>
      </c>
    </row>
    <row r="1496" spans="1:9" x14ac:dyDescent="0.25">
      <c r="A1496" s="2" t="s">
        <v>2498</v>
      </c>
      <c r="B1496" s="2" t="s">
        <v>10</v>
      </c>
      <c r="C1496" s="3">
        <v>39813</v>
      </c>
      <c r="D1496" t="s">
        <v>2499</v>
      </c>
      <c r="E1496" s="2" t="s">
        <v>2500</v>
      </c>
      <c r="F1496" s="2" t="s">
        <v>2501</v>
      </c>
      <c r="G1496" t="s">
        <v>2396</v>
      </c>
      <c r="H1496" t="str">
        <f t="shared" si="46"/>
        <v>https://videplast.com.br/consulta-imobilizado?id=20000283&amp;nome=MAQUINA%20HECE%20MODELO%20SL-700%20Nº%20234</v>
      </c>
      <c r="I1496" t="e">
        <f t="shared" ca="1" si="47"/>
        <v>#NAME?</v>
      </c>
    </row>
    <row r="1497" spans="1:9" x14ac:dyDescent="0.25">
      <c r="A1497" s="2" t="s">
        <v>2502</v>
      </c>
      <c r="B1497" s="2" t="s">
        <v>10</v>
      </c>
      <c r="C1497" s="3">
        <v>44350</v>
      </c>
      <c r="D1497" t="s">
        <v>2503</v>
      </c>
      <c r="E1497" s="2" t="s">
        <v>2504</v>
      </c>
      <c r="F1497" s="2" t="s">
        <v>2505</v>
      </c>
      <c r="G1497" t="s">
        <v>2396</v>
      </c>
      <c r="H1497" t="str">
        <f t="shared" si="46"/>
        <v>https://videplast.com.br/consulta-imobilizado?id=20000636&amp;nome=MAQUINA%20AUTOMATICA%20HECE%20MOD%20SC%20500%20FR%20Nº%20217</v>
      </c>
      <c r="I1497" t="e">
        <f t="shared" ca="1" si="47"/>
        <v>#NAME?</v>
      </c>
    </row>
    <row r="1498" spans="1:9" x14ac:dyDescent="0.25">
      <c r="A1498" s="2" t="s">
        <v>2506</v>
      </c>
      <c r="B1498" s="2" t="s">
        <v>10</v>
      </c>
      <c r="C1498" s="3">
        <v>44350</v>
      </c>
      <c r="D1498" t="s">
        <v>2507</v>
      </c>
      <c r="E1498" s="2" t="s">
        <v>2508</v>
      </c>
      <c r="F1498" s="2" t="s">
        <v>2509</v>
      </c>
      <c r="G1498" t="s">
        <v>2396</v>
      </c>
      <c r="H1498" t="str">
        <f t="shared" si="46"/>
        <v>https://videplast.com.br/consulta-imobilizado?id=20000637&amp;nome=MAQUINA%20AUTOMATICA%20HECE%20MOD%20SC%20500%20FR%20Nº%20216</v>
      </c>
      <c r="I1498" t="e">
        <f t="shared" ca="1" si="47"/>
        <v>#NAME?</v>
      </c>
    </row>
    <row r="1499" spans="1:9" x14ac:dyDescent="0.25">
      <c r="A1499" s="2" t="s">
        <v>2510</v>
      </c>
      <c r="B1499" s="2" t="s">
        <v>10</v>
      </c>
      <c r="C1499" s="3">
        <v>44992</v>
      </c>
      <c r="D1499" t="s">
        <v>2511</v>
      </c>
      <c r="E1499" s="2" t="s">
        <v>2512</v>
      </c>
      <c r="F1499" s="2" t="s">
        <v>2513</v>
      </c>
      <c r="G1499" t="s">
        <v>2396</v>
      </c>
      <c r="H1499" t="str">
        <f t="shared" si="46"/>
        <v>https://videplast.com.br/consulta-imobilizado?id=20000675&amp;nome=MAQUINA%20HECE%20CORTE%20E%20SOLDA%20HP-1100%20S%20Nº%20237</v>
      </c>
      <c r="I1499" t="e">
        <f t="shared" ca="1" si="47"/>
        <v>#NAME?</v>
      </c>
    </row>
    <row r="1500" spans="1:9" x14ac:dyDescent="0.25">
      <c r="A1500" s="2" t="s">
        <v>2510</v>
      </c>
      <c r="B1500" s="2" t="s">
        <v>26</v>
      </c>
      <c r="C1500" s="3">
        <v>44992</v>
      </c>
      <c r="D1500" t="s">
        <v>2514</v>
      </c>
      <c r="E1500" s="2" t="s">
        <v>12</v>
      </c>
      <c r="F1500" s="2" t="s">
        <v>12</v>
      </c>
      <c r="G1500" t="s">
        <v>2396</v>
      </c>
      <c r="H1500" t="str">
        <f t="shared" si="46"/>
        <v>https://videplast.com.br/consulta-imobilizado?id=20000675&amp;nome=FRETE%20COMPRA%20MAQUINA%20HECE</v>
      </c>
      <c r="I1500" t="e">
        <f t="shared" ca="1" si="47"/>
        <v>#NAME?</v>
      </c>
    </row>
    <row r="1501" spans="1:9" x14ac:dyDescent="0.25">
      <c r="A1501" s="2" t="s">
        <v>2510</v>
      </c>
      <c r="B1501" s="2" t="s">
        <v>21</v>
      </c>
      <c r="C1501" s="3">
        <v>45050</v>
      </c>
      <c r="D1501" t="s">
        <v>2515</v>
      </c>
      <c r="E1501" s="2" t="s">
        <v>12</v>
      </c>
      <c r="F1501" s="2" t="s">
        <v>12</v>
      </c>
      <c r="G1501" t="s">
        <v>2396</v>
      </c>
      <c r="H1501" t="str">
        <f t="shared" si="46"/>
        <v>https://videplast.com.br/consulta-imobilizado?id=20000675&amp;nome=PECAS%20PARA%20INSTALACAO</v>
      </c>
      <c r="I1501" t="e">
        <f t="shared" ca="1" si="47"/>
        <v>#NAME?</v>
      </c>
    </row>
    <row r="1502" spans="1:9" x14ac:dyDescent="0.25">
      <c r="A1502" s="2" t="s">
        <v>2516</v>
      </c>
      <c r="B1502" s="2" t="s">
        <v>10</v>
      </c>
      <c r="C1502" s="3">
        <v>44895</v>
      </c>
      <c r="D1502" t="s">
        <v>2517</v>
      </c>
      <c r="E1502" s="2" t="s">
        <v>2518</v>
      </c>
      <c r="F1502" s="2" t="s">
        <v>2519</v>
      </c>
      <c r="G1502" t="s">
        <v>2396</v>
      </c>
      <c r="H1502" t="str">
        <f t="shared" si="46"/>
        <v>https://videplast.com.br/consulta-imobilizado?id=20000676&amp;nome=MAQUINA%20CORTE%20E%20SOLDA%20HSC1100%20BLOCADORA%20AUTOMATICA</v>
      </c>
      <c r="I1502" t="e">
        <f t="shared" ca="1" si="47"/>
        <v>#NAME?</v>
      </c>
    </row>
    <row r="1503" spans="1:9" x14ac:dyDescent="0.25">
      <c r="A1503" s="2" t="s">
        <v>2516</v>
      </c>
      <c r="B1503" s="2" t="s">
        <v>26</v>
      </c>
      <c r="C1503" s="3">
        <v>45161</v>
      </c>
      <c r="D1503" t="s">
        <v>2520</v>
      </c>
      <c r="E1503" s="2" t="s">
        <v>12</v>
      </c>
      <c r="F1503" s="2" t="s">
        <v>12</v>
      </c>
      <c r="G1503" t="s">
        <v>2396</v>
      </c>
      <c r="H1503" t="str">
        <f t="shared" si="46"/>
        <v>https://videplast.com.br/consulta-imobilizado?id=20000676&amp;nome=SLEET%20SEALING%20SIMPLES%20E%20DUPLO</v>
      </c>
      <c r="I1503" t="e">
        <f t="shared" ca="1" si="47"/>
        <v>#NAME?</v>
      </c>
    </row>
    <row r="1504" spans="1:9" x14ac:dyDescent="0.25">
      <c r="A1504" s="2" t="s">
        <v>2516</v>
      </c>
      <c r="B1504" s="2" t="s">
        <v>21</v>
      </c>
      <c r="C1504" s="3">
        <v>45163</v>
      </c>
      <c r="D1504" t="s">
        <v>2521</v>
      </c>
      <c r="E1504" s="2" t="s">
        <v>12</v>
      </c>
      <c r="F1504" s="2" t="s">
        <v>12</v>
      </c>
      <c r="G1504" t="s">
        <v>2396</v>
      </c>
      <c r="H1504" t="str">
        <f t="shared" si="46"/>
        <v>https://videplast.com.br/consulta-imobilizado?id=20000676&amp;nome=FRETE%20SLEET%20SEALING%20SIMPLES%20E%20DUPLO</v>
      </c>
      <c r="I1504" t="e">
        <f t="shared" ca="1" si="47"/>
        <v>#NAME?</v>
      </c>
    </row>
    <row r="1505" spans="1:9" x14ac:dyDescent="0.25">
      <c r="A1505" s="2" t="s">
        <v>2516</v>
      </c>
      <c r="B1505" s="2" t="s">
        <v>29</v>
      </c>
      <c r="C1505" s="3">
        <v>45173</v>
      </c>
      <c r="D1505" t="s">
        <v>2521</v>
      </c>
      <c r="E1505" s="2" t="s">
        <v>12</v>
      </c>
      <c r="F1505" s="2" t="s">
        <v>12</v>
      </c>
      <c r="G1505" t="s">
        <v>2396</v>
      </c>
      <c r="H1505" t="str">
        <f t="shared" si="46"/>
        <v>https://videplast.com.br/consulta-imobilizado?id=20000676&amp;nome=FRETE%20SLEET%20SEALING%20SIMPLES%20E%20DUPLO</v>
      </c>
      <c r="I1505" t="e">
        <f t="shared" ca="1" si="47"/>
        <v>#NAME?</v>
      </c>
    </row>
    <row r="1506" spans="1:9" x14ac:dyDescent="0.25">
      <c r="A1506" s="2" t="s">
        <v>2522</v>
      </c>
      <c r="B1506" s="2" t="s">
        <v>10</v>
      </c>
      <c r="C1506" s="3">
        <v>45254</v>
      </c>
      <c r="D1506" t="s">
        <v>2523</v>
      </c>
      <c r="E1506" s="2" t="s">
        <v>2524</v>
      </c>
      <c r="F1506" s="2" t="s">
        <v>2525</v>
      </c>
      <c r="G1506" t="s">
        <v>2396</v>
      </c>
      <c r="H1506" t="str">
        <f t="shared" si="46"/>
        <v>https://videplast.com.br/consulta-imobilizado?id=20000686&amp;nome=MAQUINA%20AUTOMATICA%20WICKETER%20WS1010%20635MM</v>
      </c>
      <c r="I1506" t="e">
        <f t="shared" ca="1" si="47"/>
        <v>#NAME?</v>
      </c>
    </row>
    <row r="1507" spans="1:9" x14ac:dyDescent="0.25">
      <c r="A1507" s="2" t="s">
        <v>2522</v>
      </c>
      <c r="B1507" s="2" t="s">
        <v>26</v>
      </c>
      <c r="C1507" s="3">
        <v>45163</v>
      </c>
      <c r="D1507" t="s">
        <v>2526</v>
      </c>
      <c r="E1507" s="2" t="s">
        <v>12</v>
      </c>
      <c r="F1507" s="2" t="s">
        <v>12</v>
      </c>
      <c r="G1507" t="s">
        <v>2396</v>
      </c>
      <c r="H1507" t="str">
        <f t="shared" si="46"/>
        <v>https://videplast.com.br/consulta-imobilizado?id=20000686&amp;nome=ROLO%20SELADOR%20COMPLETO</v>
      </c>
      <c r="I1507" t="e">
        <f t="shared" ca="1" si="47"/>
        <v>#NAME?</v>
      </c>
    </row>
    <row r="1508" spans="1:9" x14ac:dyDescent="0.25">
      <c r="A1508" s="2" t="s">
        <v>2522</v>
      </c>
      <c r="B1508" s="2" t="s">
        <v>21</v>
      </c>
      <c r="C1508" s="3">
        <v>45461</v>
      </c>
      <c r="D1508" t="s">
        <v>2527</v>
      </c>
      <c r="E1508" s="2" t="s">
        <v>12</v>
      </c>
      <c r="F1508" s="2" t="s">
        <v>12</v>
      </c>
      <c r="G1508" t="s">
        <v>2396</v>
      </c>
      <c r="H1508" t="str">
        <f t="shared" si="46"/>
        <v>https://videplast.com.br/consulta-imobilizado?id=20000686&amp;nome=GASTOS%20COM%20INSTALACAO%20MAQUINA%20WICKETER</v>
      </c>
      <c r="I1508" t="e">
        <f t="shared" ca="1" si="47"/>
        <v>#NAME?</v>
      </c>
    </row>
    <row r="1509" spans="1:9" x14ac:dyDescent="0.25">
      <c r="A1509" s="2" t="s">
        <v>2528</v>
      </c>
      <c r="B1509" s="2" t="s">
        <v>10</v>
      </c>
      <c r="C1509" s="3">
        <v>45196</v>
      </c>
      <c r="D1509" t="s">
        <v>2529</v>
      </c>
      <c r="E1509" s="2" t="s">
        <v>2530</v>
      </c>
      <c r="F1509" s="2" t="s">
        <v>2531</v>
      </c>
      <c r="G1509" t="s">
        <v>2396</v>
      </c>
      <c r="H1509" t="str">
        <f t="shared" si="46"/>
        <v>https://videplast.com.br/consulta-imobilizado?id=20000688&amp;nome=MAQUINA%20CORTE%20E%20SOLDA%20HECE%20SCW-700%20FR%20III</v>
      </c>
      <c r="I1509" t="e">
        <f t="shared" ca="1" si="47"/>
        <v>#NAME?</v>
      </c>
    </row>
    <row r="1510" spans="1:9" x14ac:dyDescent="0.25">
      <c r="A1510" s="2" t="s">
        <v>2528</v>
      </c>
      <c r="B1510" s="2" t="s">
        <v>26</v>
      </c>
      <c r="C1510" s="3">
        <v>45393</v>
      </c>
      <c r="D1510" t="s">
        <v>2532</v>
      </c>
      <c r="E1510" s="2" t="s">
        <v>12</v>
      </c>
      <c r="F1510" s="2" t="s">
        <v>12</v>
      </c>
      <c r="G1510" t="s">
        <v>2396</v>
      </c>
      <c r="H1510" t="str">
        <f t="shared" si="46"/>
        <v>https://videplast.com.br/consulta-imobilizado?id=20000688&amp;nome=GASTOS%20DE%20INSTALACAO%20MAQ.CORTE%20E%20SOLDA%20SCW-700</v>
      </c>
      <c r="I1510" t="e">
        <f t="shared" ca="1" si="47"/>
        <v>#NAME?</v>
      </c>
    </row>
    <row r="1511" spans="1:9" x14ac:dyDescent="0.25">
      <c r="A1511" s="2" t="s">
        <v>2533</v>
      </c>
      <c r="B1511" s="2" t="s">
        <v>10</v>
      </c>
      <c r="C1511" s="3">
        <v>45163</v>
      </c>
      <c r="D1511" t="s">
        <v>2534</v>
      </c>
      <c r="E1511" s="2" t="s">
        <v>2524</v>
      </c>
      <c r="F1511" s="2" t="s">
        <v>12</v>
      </c>
      <c r="G1511" t="s">
        <v>2396</v>
      </c>
      <c r="H1511" t="str">
        <f t="shared" si="46"/>
        <v>https://videplast.com.br/consulta-imobilizado?id=20000707&amp;nome=IMPRESSORA%20INKJET%208820%20IMPRESSAO%20SIMPLES%201%20LINHA</v>
      </c>
      <c r="I1511" t="e">
        <f t="shared" ca="1" si="47"/>
        <v>#NAME?</v>
      </c>
    </row>
    <row r="1512" spans="1:9" x14ac:dyDescent="0.25">
      <c r="A1512" s="2" t="s">
        <v>2535</v>
      </c>
      <c r="B1512" s="2" t="s">
        <v>10</v>
      </c>
      <c r="C1512" s="3">
        <v>45191</v>
      </c>
      <c r="D1512" t="s">
        <v>2529</v>
      </c>
      <c r="E1512" s="2" t="s">
        <v>2536</v>
      </c>
      <c r="F1512" s="2" t="s">
        <v>2537</v>
      </c>
      <c r="G1512" t="s">
        <v>2396</v>
      </c>
      <c r="H1512" t="str">
        <f t="shared" si="46"/>
        <v>https://videplast.com.br/consulta-imobilizado?id=20000716&amp;nome=MAQUINA%20CORTE%20E%20SOLDA%20HECE%20SCW-700%20FR%20III</v>
      </c>
      <c r="I1512" t="e">
        <f t="shared" ca="1" si="47"/>
        <v>#NAME?</v>
      </c>
    </row>
    <row r="1513" spans="1:9" x14ac:dyDescent="0.25">
      <c r="A1513" s="2" t="s">
        <v>2535</v>
      </c>
      <c r="B1513" s="2" t="s">
        <v>26</v>
      </c>
      <c r="C1513" s="3">
        <v>45393</v>
      </c>
      <c r="D1513" t="s">
        <v>2538</v>
      </c>
      <c r="E1513" s="2" t="s">
        <v>12</v>
      </c>
      <c r="F1513" s="2" t="s">
        <v>12</v>
      </c>
      <c r="G1513" t="s">
        <v>2396</v>
      </c>
      <c r="H1513" t="str">
        <f t="shared" si="46"/>
        <v>https://videplast.com.br/consulta-imobilizado?id=20000716&amp;nome=GASTOS%20DE%20INSTALACAO%20MAQ%20CORTE%20E%20SOLDA%20HECE%20SCW700</v>
      </c>
      <c r="I1513" t="e">
        <f t="shared" ca="1" si="47"/>
        <v>#NAME?</v>
      </c>
    </row>
    <row r="1514" spans="1:9" x14ac:dyDescent="0.25">
      <c r="A1514" s="2" t="s">
        <v>2539</v>
      </c>
      <c r="B1514" s="2" t="s">
        <v>10</v>
      </c>
      <c r="C1514" s="3">
        <v>45461</v>
      </c>
      <c r="D1514" t="s">
        <v>2540</v>
      </c>
      <c r="E1514" s="2" t="s">
        <v>2541</v>
      </c>
      <c r="F1514" s="2" t="s">
        <v>2542</v>
      </c>
      <c r="G1514" t="s">
        <v>2396</v>
      </c>
      <c r="H1514" t="str">
        <f t="shared" si="46"/>
        <v>https://videplast.com.br/consulta-imobilizado?id=20000742&amp;nome=MAQUINA%20WICKET%20MOD%20DIMATIC%20ETH471HS/66NR%20Nº%20229</v>
      </c>
      <c r="I1514" t="e">
        <f t="shared" ca="1" si="47"/>
        <v>#NAME?</v>
      </c>
    </row>
    <row r="1515" spans="1:9" x14ac:dyDescent="0.25">
      <c r="A1515" s="2" t="s">
        <v>2539</v>
      </c>
      <c r="B1515" s="2" t="s">
        <v>26</v>
      </c>
      <c r="C1515" s="3">
        <v>45461</v>
      </c>
      <c r="D1515" t="s">
        <v>2543</v>
      </c>
      <c r="E1515" s="2" t="s">
        <v>12</v>
      </c>
      <c r="F1515" s="2" t="s">
        <v>12</v>
      </c>
      <c r="G1515" t="s">
        <v>2396</v>
      </c>
      <c r="H1515" t="str">
        <f t="shared" si="46"/>
        <v>https://videplast.com.br/consulta-imobilizado?id=20000742&amp;nome=SENSOR%20DE%20LINHA%20SE-26A%20PARA%20CONTROLE%20DE%20DIRECAO</v>
      </c>
      <c r="I1515" t="e">
        <f t="shared" ca="1" si="47"/>
        <v>#NAME?</v>
      </c>
    </row>
    <row r="1516" spans="1:9" x14ac:dyDescent="0.25">
      <c r="A1516" s="2" t="s">
        <v>2539</v>
      </c>
      <c r="B1516" s="2" t="s">
        <v>21</v>
      </c>
      <c r="C1516" s="3">
        <v>45461</v>
      </c>
      <c r="D1516" t="s">
        <v>2544</v>
      </c>
      <c r="E1516" s="2" t="s">
        <v>12</v>
      </c>
      <c r="F1516" s="2" t="s">
        <v>12</v>
      </c>
      <c r="G1516" t="s">
        <v>2396</v>
      </c>
      <c r="H1516" t="str">
        <f t="shared" si="46"/>
        <v>https://videplast.com.br/consulta-imobilizado?id=20000742&amp;nome=DESPESAS%20ADUANEIRAS%20CFE%20PROCESSO%208142</v>
      </c>
      <c r="I1516" t="e">
        <f t="shared" ca="1" si="47"/>
        <v>#NAME?</v>
      </c>
    </row>
    <row r="1517" spans="1:9" x14ac:dyDescent="0.25">
      <c r="A1517" s="2" t="s">
        <v>2539</v>
      </c>
      <c r="B1517" s="2" t="s">
        <v>29</v>
      </c>
      <c r="C1517" s="3">
        <v>45461</v>
      </c>
      <c r="D1517" t="s">
        <v>2545</v>
      </c>
      <c r="E1517" s="2" t="s">
        <v>12</v>
      </c>
      <c r="F1517" s="2" t="s">
        <v>12</v>
      </c>
      <c r="G1517" t="s">
        <v>2396</v>
      </c>
      <c r="H1517" t="str">
        <f t="shared" si="46"/>
        <v>https://videplast.com.br/consulta-imobilizado?id=20000742&amp;nome=PAGAMENTO%20DE%20PECAS%20P/MAQUINA</v>
      </c>
      <c r="I1517" t="e">
        <f t="shared" ca="1" si="47"/>
        <v>#NAME?</v>
      </c>
    </row>
    <row r="1518" spans="1:9" x14ac:dyDescent="0.25">
      <c r="A1518" s="2" t="s">
        <v>2539</v>
      </c>
      <c r="B1518" s="2" t="s">
        <v>31</v>
      </c>
      <c r="C1518" s="3">
        <v>45461</v>
      </c>
      <c r="D1518" t="s">
        <v>2546</v>
      </c>
      <c r="E1518" s="2" t="s">
        <v>12</v>
      </c>
      <c r="F1518" s="2" t="s">
        <v>12</v>
      </c>
      <c r="G1518" t="s">
        <v>2396</v>
      </c>
      <c r="H1518" t="str">
        <f t="shared" si="46"/>
        <v>https://videplast.com.br/consulta-imobilizado?id=20000742&amp;nome=RESISTENCIA%20%20CABEÇOTE%203600W</v>
      </c>
      <c r="I1518" t="e">
        <f t="shared" ca="1" si="47"/>
        <v>#NAME?</v>
      </c>
    </row>
    <row r="1519" spans="1:9" x14ac:dyDescent="0.25">
      <c r="A1519" s="2" t="s">
        <v>2539</v>
      </c>
      <c r="B1519" s="2" t="s">
        <v>33</v>
      </c>
      <c r="C1519" s="3">
        <v>45461</v>
      </c>
      <c r="D1519" t="s">
        <v>2547</v>
      </c>
      <c r="E1519" s="2" t="s">
        <v>12</v>
      </c>
      <c r="F1519" s="2" t="s">
        <v>12</v>
      </c>
      <c r="G1519" t="s">
        <v>2396</v>
      </c>
      <c r="H1519" t="str">
        <f t="shared" si="46"/>
        <v>https://videplast.com.br/consulta-imobilizado?id=20000742&amp;nome=FURADOR%20SACO%20PLAST%206%20MM%20FORMATO%20PÉ%20DE%20GALINHA</v>
      </c>
      <c r="I1519" t="e">
        <f t="shared" ca="1" si="47"/>
        <v>#NAME?</v>
      </c>
    </row>
    <row r="1520" spans="1:9" x14ac:dyDescent="0.25">
      <c r="A1520" s="2" t="s">
        <v>2539</v>
      </c>
      <c r="B1520" s="2" t="s">
        <v>35</v>
      </c>
      <c r="C1520" s="3">
        <v>45461</v>
      </c>
      <c r="D1520" t="s">
        <v>2548</v>
      </c>
      <c r="E1520" s="2" t="s">
        <v>12</v>
      </c>
      <c r="F1520" s="2" t="s">
        <v>12</v>
      </c>
      <c r="G1520" t="s">
        <v>2396</v>
      </c>
      <c r="H1520" t="str">
        <f t="shared" si="46"/>
        <v>https://videplast.com.br/consulta-imobilizado?id=20000742&amp;nome=VALVULA%20ELETRONICA%20SYJ5120-5LOU-C4-Q</v>
      </c>
      <c r="I1520" t="e">
        <f t="shared" ca="1" si="47"/>
        <v>#NAME?</v>
      </c>
    </row>
    <row r="1521" spans="1:9" x14ac:dyDescent="0.25">
      <c r="A1521" s="2" t="s">
        <v>2539</v>
      </c>
      <c r="B1521" s="2" t="s">
        <v>37</v>
      </c>
      <c r="C1521" s="3">
        <v>45461</v>
      </c>
      <c r="D1521" t="s">
        <v>2549</v>
      </c>
      <c r="E1521" s="2" t="s">
        <v>12</v>
      </c>
      <c r="F1521" s="2" t="s">
        <v>12</v>
      </c>
      <c r="G1521" t="s">
        <v>2396</v>
      </c>
      <c r="H1521" t="str">
        <f t="shared" si="46"/>
        <v>https://videplast.com.br/consulta-imobilizado?id=20000742&amp;nome=CILINDRO%20PNEUMATICO%20DZF-25-15-A-P-A</v>
      </c>
      <c r="I1521" t="e">
        <f t="shared" ca="1" si="47"/>
        <v>#NAME?</v>
      </c>
    </row>
    <row r="1522" spans="1:9" x14ac:dyDescent="0.25">
      <c r="A1522" s="2" t="s">
        <v>2539</v>
      </c>
      <c r="B1522" s="2" t="s">
        <v>39</v>
      </c>
      <c r="C1522" s="3">
        <v>45461</v>
      </c>
      <c r="D1522" t="s">
        <v>2550</v>
      </c>
      <c r="E1522" s="2" t="s">
        <v>12</v>
      </c>
      <c r="F1522" s="2" t="s">
        <v>12</v>
      </c>
      <c r="G1522" t="s">
        <v>2396</v>
      </c>
      <c r="H1522" t="str">
        <f t="shared" si="46"/>
        <v>https://videplast.com.br/consulta-imobilizado?id=20000742&amp;nome=SENSOR%20ULTRASSONICO%20ELET%20FIFE%20SE-24</v>
      </c>
      <c r="I1522" t="e">
        <f t="shared" ca="1" si="47"/>
        <v>#NAME?</v>
      </c>
    </row>
    <row r="1523" spans="1:9" x14ac:dyDescent="0.25">
      <c r="A1523" s="2" t="s">
        <v>2539</v>
      </c>
      <c r="B1523" s="2" t="s">
        <v>126</v>
      </c>
      <c r="C1523" s="3">
        <v>45461</v>
      </c>
      <c r="D1523" t="s">
        <v>2551</v>
      </c>
      <c r="E1523" s="2" t="s">
        <v>12</v>
      </c>
      <c r="F1523" s="2" t="s">
        <v>12</v>
      </c>
      <c r="G1523" t="s">
        <v>2396</v>
      </c>
      <c r="H1523" t="str">
        <f t="shared" si="46"/>
        <v>https://videplast.com.br/consulta-imobilizado?id=20000742&amp;nome=FURADOR%20DE%20SACO%20PLASTICO%20%2010%20MM</v>
      </c>
      <c r="I1523" t="e">
        <f t="shared" ca="1" si="47"/>
        <v>#NAME?</v>
      </c>
    </row>
    <row r="1524" spans="1:9" x14ac:dyDescent="0.25">
      <c r="A1524" s="2" t="s">
        <v>2539</v>
      </c>
      <c r="B1524" s="2" t="s">
        <v>127</v>
      </c>
      <c r="C1524" s="3">
        <v>45461</v>
      </c>
      <c r="D1524" t="s">
        <v>2552</v>
      </c>
      <c r="E1524" s="2" t="s">
        <v>12</v>
      </c>
      <c r="F1524" s="2" t="s">
        <v>12</v>
      </c>
      <c r="G1524" t="s">
        <v>2396</v>
      </c>
      <c r="H1524" t="str">
        <f t="shared" si="46"/>
        <v>https://videplast.com.br/consulta-imobilizado?id=20000742&amp;nome=RESISTENCIA%20DE%20CABEÇOTE%203600W%20230V%20%2016%20X%20690</v>
      </c>
      <c r="I1524" t="e">
        <f t="shared" ca="1" si="47"/>
        <v>#NAME?</v>
      </c>
    </row>
    <row r="1525" spans="1:9" x14ac:dyDescent="0.25">
      <c r="A1525" s="2" t="s">
        <v>2539</v>
      </c>
      <c r="B1525" s="2" t="s">
        <v>128</v>
      </c>
      <c r="C1525" s="3">
        <v>45461</v>
      </c>
      <c r="D1525" t="s">
        <v>2552</v>
      </c>
      <c r="E1525" s="2" t="s">
        <v>12</v>
      </c>
      <c r="F1525" s="2" t="s">
        <v>12</v>
      </c>
      <c r="G1525" t="s">
        <v>2396</v>
      </c>
      <c r="H1525" t="str">
        <f t="shared" si="46"/>
        <v>https://videplast.com.br/consulta-imobilizado?id=20000742&amp;nome=RESISTENCIA%20DE%20CABEÇOTE%203600W%20230V%20%2016%20X%20690</v>
      </c>
      <c r="I1525" t="e">
        <f t="shared" ca="1" si="47"/>
        <v>#NAME?</v>
      </c>
    </row>
    <row r="1526" spans="1:9" x14ac:dyDescent="0.25">
      <c r="A1526" s="2" t="s">
        <v>2539</v>
      </c>
      <c r="B1526" s="2" t="s">
        <v>623</v>
      </c>
      <c r="C1526" s="3">
        <v>45461</v>
      </c>
      <c r="D1526" t="s">
        <v>2547</v>
      </c>
      <c r="E1526" s="2" t="s">
        <v>2541</v>
      </c>
      <c r="F1526" s="2" t="s">
        <v>12</v>
      </c>
      <c r="G1526" t="s">
        <v>2396</v>
      </c>
      <c r="H1526" t="str">
        <f t="shared" si="46"/>
        <v>https://videplast.com.br/consulta-imobilizado?id=20000742&amp;nome=FURADOR%20SACO%20PLAST%206%20MM%20FORMATO%20PÉ%20DE%20GALINHA</v>
      </c>
      <c r="I1526" t="e">
        <f t="shared" ca="1" si="47"/>
        <v>#NAME?</v>
      </c>
    </row>
    <row r="1527" spans="1:9" x14ac:dyDescent="0.25">
      <c r="A1527" s="2" t="s">
        <v>2539</v>
      </c>
      <c r="B1527" s="2" t="s">
        <v>625</v>
      </c>
      <c r="C1527" s="3">
        <v>45461</v>
      </c>
      <c r="D1527" t="s">
        <v>2547</v>
      </c>
      <c r="E1527" s="2" t="s">
        <v>12</v>
      </c>
      <c r="F1527" s="2" t="s">
        <v>12</v>
      </c>
      <c r="G1527" t="s">
        <v>2396</v>
      </c>
      <c r="H1527" t="str">
        <f t="shared" si="46"/>
        <v>https://videplast.com.br/consulta-imobilizado?id=20000742&amp;nome=FURADOR%20SACO%20PLAST%206%20MM%20FORMATO%20PÉ%20DE%20GALINHA</v>
      </c>
      <c r="I1527" t="e">
        <f t="shared" ca="1" si="47"/>
        <v>#NAME?</v>
      </c>
    </row>
    <row r="1528" spans="1:9" x14ac:dyDescent="0.25">
      <c r="A1528" s="2" t="s">
        <v>2539</v>
      </c>
      <c r="B1528" s="2" t="s">
        <v>681</v>
      </c>
      <c r="C1528" s="3">
        <v>45461</v>
      </c>
      <c r="D1528" t="s">
        <v>2553</v>
      </c>
      <c r="E1528" s="2" t="s">
        <v>12</v>
      </c>
      <c r="F1528" s="2" t="s">
        <v>12</v>
      </c>
      <c r="G1528" t="s">
        <v>2396</v>
      </c>
      <c r="H1528" t="str">
        <f t="shared" si="46"/>
        <v>https://videplast.com.br/consulta-imobilizado?id=20000742&amp;nome=FURADOR%20DE%20SACO%20PLASTICO%206%20MM%20WICKET</v>
      </c>
      <c r="I1528" t="e">
        <f t="shared" ca="1" si="47"/>
        <v>#NAME?</v>
      </c>
    </row>
    <row r="1529" spans="1:9" x14ac:dyDescent="0.25">
      <c r="A1529" s="2" t="s">
        <v>2539</v>
      </c>
      <c r="B1529" s="2" t="s">
        <v>683</v>
      </c>
      <c r="C1529" s="3">
        <v>45461</v>
      </c>
      <c r="D1529" t="s">
        <v>2547</v>
      </c>
      <c r="E1529" s="2" t="s">
        <v>12</v>
      </c>
      <c r="F1529" s="2" t="s">
        <v>12</v>
      </c>
      <c r="G1529" t="s">
        <v>2396</v>
      </c>
      <c r="H1529" t="str">
        <f t="shared" si="46"/>
        <v>https://videplast.com.br/consulta-imobilizado?id=20000742&amp;nome=FURADOR%20SACO%20PLAST%206%20MM%20FORMATO%20PÉ%20DE%20GALINHA</v>
      </c>
      <c r="I1529" t="e">
        <f t="shared" ca="1" si="47"/>
        <v>#NAME?</v>
      </c>
    </row>
    <row r="1530" spans="1:9" x14ac:dyDescent="0.25">
      <c r="A1530" s="2" t="s">
        <v>2539</v>
      </c>
      <c r="B1530" s="2" t="s">
        <v>685</v>
      </c>
      <c r="C1530" s="3">
        <v>45461</v>
      </c>
      <c r="D1530" t="s">
        <v>2547</v>
      </c>
      <c r="E1530" s="2" t="s">
        <v>12</v>
      </c>
      <c r="F1530" s="2" t="s">
        <v>12</v>
      </c>
      <c r="G1530" t="s">
        <v>2396</v>
      </c>
      <c r="H1530" t="str">
        <f t="shared" si="46"/>
        <v>https://videplast.com.br/consulta-imobilizado?id=20000742&amp;nome=FURADOR%20SACO%20PLAST%206%20MM%20FORMATO%20PÉ%20DE%20GALINHA</v>
      </c>
      <c r="I1530" t="e">
        <f t="shared" ca="1" si="47"/>
        <v>#NAME?</v>
      </c>
    </row>
    <row r="1531" spans="1:9" x14ac:dyDescent="0.25">
      <c r="A1531" s="2" t="s">
        <v>2539</v>
      </c>
      <c r="B1531" s="2" t="s">
        <v>627</v>
      </c>
      <c r="C1531" s="3">
        <v>45461</v>
      </c>
      <c r="D1531" t="s">
        <v>2547</v>
      </c>
      <c r="E1531" s="2" t="s">
        <v>12</v>
      </c>
      <c r="F1531" s="2" t="s">
        <v>12</v>
      </c>
      <c r="G1531" t="s">
        <v>2396</v>
      </c>
      <c r="H1531" t="str">
        <f t="shared" si="46"/>
        <v>https://videplast.com.br/consulta-imobilizado?id=20000742&amp;nome=FURADOR%20SACO%20PLAST%206%20MM%20FORMATO%20PÉ%20DE%20GALINHA</v>
      </c>
      <c r="I1531" t="e">
        <f t="shared" ca="1" si="47"/>
        <v>#NAME?</v>
      </c>
    </row>
    <row r="1532" spans="1:9" x14ac:dyDescent="0.25">
      <c r="A1532" s="2" t="s">
        <v>2539</v>
      </c>
      <c r="B1532" s="2" t="s">
        <v>688</v>
      </c>
      <c r="C1532" s="3">
        <v>45461</v>
      </c>
      <c r="D1532" t="s">
        <v>2547</v>
      </c>
      <c r="E1532" s="2" t="s">
        <v>2541</v>
      </c>
      <c r="F1532" s="2" t="s">
        <v>12</v>
      </c>
      <c r="G1532" t="s">
        <v>2396</v>
      </c>
      <c r="H1532" t="str">
        <f t="shared" si="46"/>
        <v>https://videplast.com.br/consulta-imobilizado?id=20000742&amp;nome=FURADOR%20SACO%20PLAST%206%20MM%20FORMATO%20PÉ%20DE%20GALINHA</v>
      </c>
      <c r="I1532" t="e">
        <f t="shared" ca="1" si="47"/>
        <v>#NAME?</v>
      </c>
    </row>
    <row r="1533" spans="1:9" x14ac:dyDescent="0.25">
      <c r="A1533" s="2" t="s">
        <v>2539</v>
      </c>
      <c r="B1533" s="2" t="s">
        <v>629</v>
      </c>
      <c r="C1533" s="3">
        <v>45461</v>
      </c>
      <c r="D1533" t="s">
        <v>2547</v>
      </c>
      <c r="E1533" s="2" t="s">
        <v>12</v>
      </c>
      <c r="F1533" s="2" t="s">
        <v>12</v>
      </c>
      <c r="G1533" t="s">
        <v>2396</v>
      </c>
      <c r="H1533" t="str">
        <f t="shared" si="46"/>
        <v>https://videplast.com.br/consulta-imobilizado?id=20000742&amp;nome=FURADOR%20SACO%20PLAST%206%20MM%20FORMATO%20PÉ%20DE%20GALINHA</v>
      </c>
      <c r="I1533" t="e">
        <f t="shared" ca="1" si="47"/>
        <v>#NAME?</v>
      </c>
    </row>
    <row r="1534" spans="1:9" x14ac:dyDescent="0.25">
      <c r="A1534" s="2" t="s">
        <v>2539</v>
      </c>
      <c r="B1534" s="2" t="s">
        <v>691</v>
      </c>
      <c r="C1534" s="3">
        <v>45461</v>
      </c>
      <c r="D1534" t="s">
        <v>2547</v>
      </c>
      <c r="E1534" s="2" t="s">
        <v>12</v>
      </c>
      <c r="F1534" s="2" t="s">
        <v>12</v>
      </c>
      <c r="G1534" t="s">
        <v>2396</v>
      </c>
      <c r="H1534" t="str">
        <f t="shared" si="46"/>
        <v>https://videplast.com.br/consulta-imobilizado?id=20000742&amp;nome=FURADOR%20SACO%20PLAST%206%20MM%20FORMATO%20PÉ%20DE%20GALINHA</v>
      </c>
      <c r="I1534" t="e">
        <f t="shared" ca="1" si="47"/>
        <v>#NAME?</v>
      </c>
    </row>
    <row r="1535" spans="1:9" x14ac:dyDescent="0.25">
      <c r="A1535" s="2" t="s">
        <v>2539</v>
      </c>
      <c r="B1535" s="2" t="s">
        <v>631</v>
      </c>
      <c r="C1535" s="3">
        <v>45461</v>
      </c>
      <c r="D1535" t="s">
        <v>2547</v>
      </c>
      <c r="E1535" s="2" t="s">
        <v>12</v>
      </c>
      <c r="F1535" s="2" t="s">
        <v>12</v>
      </c>
      <c r="G1535" t="s">
        <v>2396</v>
      </c>
      <c r="H1535" t="str">
        <f t="shared" si="46"/>
        <v>https://videplast.com.br/consulta-imobilizado?id=20000742&amp;nome=FURADOR%20SACO%20PLAST%206%20MM%20FORMATO%20PÉ%20DE%20GALINHA</v>
      </c>
      <c r="I1535" t="e">
        <f t="shared" ca="1" si="47"/>
        <v>#NAME?</v>
      </c>
    </row>
    <row r="1536" spans="1:9" x14ac:dyDescent="0.25">
      <c r="A1536" s="2" t="s">
        <v>2539</v>
      </c>
      <c r="B1536" s="2" t="s">
        <v>633</v>
      </c>
      <c r="C1536" s="3">
        <v>45461</v>
      </c>
      <c r="D1536" t="s">
        <v>2547</v>
      </c>
      <c r="E1536" s="2" t="s">
        <v>12</v>
      </c>
      <c r="F1536" s="2" t="s">
        <v>12</v>
      </c>
      <c r="G1536" t="s">
        <v>2396</v>
      </c>
      <c r="H1536" t="str">
        <f t="shared" si="46"/>
        <v>https://videplast.com.br/consulta-imobilizado?id=20000742&amp;nome=FURADOR%20SACO%20PLAST%206%20MM%20FORMATO%20PÉ%20DE%20GALINHA</v>
      </c>
      <c r="I1536" t="e">
        <f t="shared" ca="1" si="47"/>
        <v>#NAME?</v>
      </c>
    </row>
    <row r="1537" spans="1:9" x14ac:dyDescent="0.25">
      <c r="A1537" s="2" t="s">
        <v>2539</v>
      </c>
      <c r="B1537" s="2" t="s">
        <v>635</v>
      </c>
      <c r="C1537" s="3">
        <v>45461</v>
      </c>
      <c r="D1537" t="s">
        <v>2547</v>
      </c>
      <c r="E1537" s="2" t="s">
        <v>12</v>
      </c>
      <c r="F1537" s="2" t="s">
        <v>12</v>
      </c>
      <c r="G1537" t="s">
        <v>2396</v>
      </c>
      <c r="H1537" t="str">
        <f t="shared" si="46"/>
        <v>https://videplast.com.br/consulta-imobilizado?id=20000742&amp;nome=FURADOR%20SACO%20PLAST%206%20MM%20FORMATO%20PÉ%20DE%20GALINHA</v>
      </c>
      <c r="I1537" t="e">
        <f t="shared" ca="1" si="47"/>
        <v>#NAME?</v>
      </c>
    </row>
    <row r="1538" spans="1:9" x14ac:dyDescent="0.25">
      <c r="A1538" s="2" t="s">
        <v>2539</v>
      </c>
      <c r="B1538" s="2" t="s">
        <v>638</v>
      </c>
      <c r="C1538" s="3">
        <v>45461</v>
      </c>
      <c r="D1538" t="s">
        <v>2547</v>
      </c>
      <c r="E1538" s="2" t="s">
        <v>12</v>
      </c>
      <c r="F1538" s="2" t="s">
        <v>12</v>
      </c>
      <c r="G1538" t="s">
        <v>2396</v>
      </c>
      <c r="H1538" t="str">
        <f t="shared" ref="H1538:H1601" si="48" xml:space="preserve"> "https://videplast.com.br/consulta-imobilizado?id=" &amp; A1538 &amp; "&amp;nome=" &amp; SUBSTITUTE(D1538, " ", "%20")</f>
        <v>https://videplast.com.br/consulta-imobilizado?id=20000742&amp;nome=FURADOR%20SACO%20PLAST%206%20MM%20FORMATO%20PÉ%20DE%20GALINHA</v>
      </c>
      <c r="I1538" t="e">
        <f t="shared" ref="I1538:I1601" ca="1" si="49">_xlfn.IMAGE("https://chart.googleapis.com/chart?chs=150x150&amp;cht=qr&amp;chl=" &amp; H1538)</f>
        <v>#NAME?</v>
      </c>
    </row>
    <row r="1539" spans="1:9" x14ac:dyDescent="0.25">
      <c r="A1539" s="2" t="s">
        <v>2539</v>
      </c>
      <c r="B1539" s="2" t="s">
        <v>697</v>
      </c>
      <c r="C1539" s="3">
        <v>45461</v>
      </c>
      <c r="D1539" t="s">
        <v>2547</v>
      </c>
      <c r="E1539" s="2" t="s">
        <v>12</v>
      </c>
      <c r="F1539" s="2" t="s">
        <v>12</v>
      </c>
      <c r="G1539" t="s">
        <v>2396</v>
      </c>
      <c r="H1539" t="str">
        <f t="shared" si="48"/>
        <v>https://videplast.com.br/consulta-imobilizado?id=20000742&amp;nome=FURADOR%20SACO%20PLAST%206%20MM%20FORMATO%20PÉ%20DE%20GALINHA</v>
      </c>
      <c r="I1539" t="e">
        <f t="shared" ca="1" si="49"/>
        <v>#NAME?</v>
      </c>
    </row>
    <row r="1540" spans="1:9" x14ac:dyDescent="0.25">
      <c r="A1540" s="2" t="s">
        <v>2539</v>
      </c>
      <c r="B1540" s="2" t="s">
        <v>699</v>
      </c>
      <c r="C1540" s="3">
        <v>45461</v>
      </c>
      <c r="D1540" t="s">
        <v>2547</v>
      </c>
      <c r="E1540" s="2" t="s">
        <v>12</v>
      </c>
      <c r="F1540" s="2" t="s">
        <v>12</v>
      </c>
      <c r="G1540" t="s">
        <v>2396</v>
      </c>
      <c r="H1540" t="str">
        <f t="shared" si="48"/>
        <v>https://videplast.com.br/consulta-imobilizado?id=20000742&amp;nome=FURADOR%20SACO%20PLAST%206%20MM%20FORMATO%20PÉ%20DE%20GALINHA</v>
      </c>
      <c r="I1540" t="e">
        <f t="shared" ca="1" si="49"/>
        <v>#NAME?</v>
      </c>
    </row>
    <row r="1541" spans="1:9" x14ac:dyDescent="0.25">
      <c r="A1541" s="2" t="s">
        <v>2539</v>
      </c>
      <c r="B1541" s="2" t="s">
        <v>701</v>
      </c>
      <c r="C1541" s="3">
        <v>45461</v>
      </c>
      <c r="D1541" t="s">
        <v>2551</v>
      </c>
      <c r="E1541" s="2" t="s">
        <v>12</v>
      </c>
      <c r="F1541" s="2" t="s">
        <v>12</v>
      </c>
      <c r="G1541" t="s">
        <v>2396</v>
      </c>
      <c r="H1541" t="str">
        <f t="shared" si="48"/>
        <v>https://videplast.com.br/consulta-imobilizado?id=20000742&amp;nome=FURADOR%20DE%20SACO%20PLASTICO%20%2010%20MM</v>
      </c>
      <c r="I1541" t="e">
        <f t="shared" ca="1" si="49"/>
        <v>#NAME?</v>
      </c>
    </row>
    <row r="1542" spans="1:9" x14ac:dyDescent="0.25">
      <c r="A1542" s="2" t="s">
        <v>2539</v>
      </c>
      <c r="B1542" s="2" t="s">
        <v>703</v>
      </c>
      <c r="C1542" s="3">
        <v>45461</v>
      </c>
      <c r="D1542" t="s">
        <v>2554</v>
      </c>
      <c r="E1542" s="2" t="s">
        <v>12</v>
      </c>
      <c r="F1542" s="2" t="s">
        <v>12</v>
      </c>
      <c r="G1542" t="s">
        <v>2396</v>
      </c>
      <c r="H1542" t="str">
        <f t="shared" si="48"/>
        <v>https://videplast.com.br/consulta-imobilizado?id=20000742&amp;nome=FURADOR%20DE%20SACO%20PLASTICO%2010%20MM</v>
      </c>
      <c r="I1542" t="e">
        <f t="shared" ca="1" si="49"/>
        <v>#NAME?</v>
      </c>
    </row>
    <row r="1543" spans="1:9" x14ac:dyDescent="0.25">
      <c r="A1543" s="2" t="s">
        <v>2539</v>
      </c>
      <c r="B1543" s="2" t="s">
        <v>705</v>
      </c>
      <c r="C1543" s="3">
        <v>45461</v>
      </c>
      <c r="D1543" t="s">
        <v>2554</v>
      </c>
      <c r="E1543" s="2" t="s">
        <v>12</v>
      </c>
      <c r="F1543" s="2" t="s">
        <v>12</v>
      </c>
      <c r="G1543" t="s">
        <v>2396</v>
      </c>
      <c r="H1543" t="str">
        <f t="shared" si="48"/>
        <v>https://videplast.com.br/consulta-imobilizado?id=20000742&amp;nome=FURADOR%20DE%20SACO%20PLASTICO%2010%20MM</v>
      </c>
      <c r="I1543" t="e">
        <f t="shared" ca="1" si="49"/>
        <v>#NAME?</v>
      </c>
    </row>
    <row r="1544" spans="1:9" x14ac:dyDescent="0.25">
      <c r="A1544" s="2" t="s">
        <v>2539</v>
      </c>
      <c r="B1544" s="2" t="s">
        <v>707</v>
      </c>
      <c r="C1544" s="3">
        <v>45461</v>
      </c>
      <c r="D1544" t="s">
        <v>2554</v>
      </c>
      <c r="E1544" s="2" t="s">
        <v>12</v>
      </c>
      <c r="F1544" s="2" t="s">
        <v>12</v>
      </c>
      <c r="G1544" t="s">
        <v>2396</v>
      </c>
      <c r="H1544" t="str">
        <f t="shared" si="48"/>
        <v>https://videplast.com.br/consulta-imobilizado?id=20000742&amp;nome=FURADOR%20DE%20SACO%20PLASTICO%2010%20MM</v>
      </c>
      <c r="I1544" t="e">
        <f t="shared" ca="1" si="49"/>
        <v>#NAME?</v>
      </c>
    </row>
    <row r="1545" spans="1:9" x14ac:dyDescent="0.25">
      <c r="A1545" s="2" t="s">
        <v>2539</v>
      </c>
      <c r="B1545" s="2" t="s">
        <v>709</v>
      </c>
      <c r="C1545" s="3">
        <v>45461</v>
      </c>
      <c r="D1545" t="s">
        <v>2554</v>
      </c>
      <c r="E1545" s="2" t="s">
        <v>12</v>
      </c>
      <c r="F1545" s="2" t="s">
        <v>12</v>
      </c>
      <c r="G1545" t="s">
        <v>2396</v>
      </c>
      <c r="H1545" t="str">
        <f t="shared" si="48"/>
        <v>https://videplast.com.br/consulta-imobilizado?id=20000742&amp;nome=FURADOR%20DE%20SACO%20PLASTICO%2010%20MM</v>
      </c>
      <c r="I1545" t="e">
        <f t="shared" ca="1" si="49"/>
        <v>#NAME?</v>
      </c>
    </row>
    <row r="1546" spans="1:9" x14ac:dyDescent="0.25">
      <c r="A1546" s="2" t="s">
        <v>2539</v>
      </c>
      <c r="B1546" s="2" t="s">
        <v>711</v>
      </c>
      <c r="C1546" s="3">
        <v>45461</v>
      </c>
      <c r="D1546" t="s">
        <v>2554</v>
      </c>
      <c r="E1546" s="2" t="s">
        <v>12</v>
      </c>
      <c r="F1546" s="2" t="s">
        <v>12</v>
      </c>
      <c r="G1546" t="s">
        <v>2396</v>
      </c>
      <c r="H1546" t="str">
        <f t="shared" si="48"/>
        <v>https://videplast.com.br/consulta-imobilizado?id=20000742&amp;nome=FURADOR%20DE%20SACO%20PLASTICO%2010%20MM</v>
      </c>
      <c r="I1546" t="e">
        <f t="shared" ca="1" si="49"/>
        <v>#NAME?</v>
      </c>
    </row>
    <row r="1547" spans="1:9" x14ac:dyDescent="0.25">
      <c r="A1547" s="2" t="s">
        <v>2539</v>
      </c>
      <c r="B1547" s="2" t="s">
        <v>713</v>
      </c>
      <c r="C1547" s="3">
        <v>45461</v>
      </c>
      <c r="D1547" t="s">
        <v>2551</v>
      </c>
      <c r="E1547" s="2" t="s">
        <v>2541</v>
      </c>
      <c r="F1547" s="2" t="s">
        <v>12</v>
      </c>
      <c r="G1547" t="s">
        <v>2396</v>
      </c>
      <c r="H1547" t="str">
        <f t="shared" si="48"/>
        <v>https://videplast.com.br/consulta-imobilizado?id=20000742&amp;nome=FURADOR%20DE%20SACO%20PLASTICO%20%2010%20MM</v>
      </c>
      <c r="I1547" t="e">
        <f t="shared" ca="1" si="49"/>
        <v>#NAME?</v>
      </c>
    </row>
    <row r="1548" spans="1:9" x14ac:dyDescent="0.25">
      <c r="A1548" s="2" t="s">
        <v>2539</v>
      </c>
      <c r="B1548" s="2" t="s">
        <v>715</v>
      </c>
      <c r="C1548" s="3">
        <v>45461</v>
      </c>
      <c r="D1548" t="s">
        <v>2554</v>
      </c>
      <c r="E1548" s="2" t="s">
        <v>12</v>
      </c>
      <c r="F1548" s="2" t="s">
        <v>12</v>
      </c>
      <c r="G1548" t="s">
        <v>2396</v>
      </c>
      <c r="H1548" t="str">
        <f t="shared" si="48"/>
        <v>https://videplast.com.br/consulta-imobilizado?id=20000742&amp;nome=FURADOR%20DE%20SACO%20PLASTICO%2010%20MM</v>
      </c>
      <c r="I1548" t="e">
        <f t="shared" ca="1" si="49"/>
        <v>#NAME?</v>
      </c>
    </row>
    <row r="1549" spans="1:9" x14ac:dyDescent="0.25">
      <c r="A1549" s="2" t="s">
        <v>2539</v>
      </c>
      <c r="B1549" s="2" t="s">
        <v>717</v>
      </c>
      <c r="C1549" s="3">
        <v>45461</v>
      </c>
      <c r="D1549" t="s">
        <v>2554</v>
      </c>
      <c r="E1549" s="2" t="s">
        <v>12</v>
      </c>
      <c r="F1549" s="2" t="s">
        <v>12</v>
      </c>
      <c r="G1549" t="s">
        <v>2396</v>
      </c>
      <c r="H1549" t="str">
        <f t="shared" si="48"/>
        <v>https://videplast.com.br/consulta-imobilizado?id=20000742&amp;nome=FURADOR%20DE%20SACO%20PLASTICO%2010%20MM</v>
      </c>
      <c r="I1549" t="e">
        <f t="shared" ca="1" si="49"/>
        <v>#NAME?</v>
      </c>
    </row>
    <row r="1550" spans="1:9" x14ac:dyDescent="0.25">
      <c r="A1550" s="2" t="s">
        <v>2539</v>
      </c>
      <c r="B1550" s="2" t="s">
        <v>719</v>
      </c>
      <c r="C1550" s="3">
        <v>45461</v>
      </c>
      <c r="D1550" t="s">
        <v>2554</v>
      </c>
      <c r="E1550" s="2" t="s">
        <v>12</v>
      </c>
      <c r="F1550" s="2" t="s">
        <v>12</v>
      </c>
      <c r="G1550" t="s">
        <v>2396</v>
      </c>
      <c r="H1550" t="str">
        <f t="shared" si="48"/>
        <v>https://videplast.com.br/consulta-imobilizado?id=20000742&amp;nome=FURADOR%20DE%20SACO%20PLASTICO%2010%20MM</v>
      </c>
      <c r="I1550" t="e">
        <f t="shared" ca="1" si="49"/>
        <v>#NAME?</v>
      </c>
    </row>
    <row r="1551" spans="1:9" x14ac:dyDescent="0.25">
      <c r="A1551" s="2" t="s">
        <v>2539</v>
      </c>
      <c r="B1551" s="2" t="s">
        <v>721</v>
      </c>
      <c r="C1551" s="3">
        <v>45461</v>
      </c>
      <c r="D1551" t="s">
        <v>2554</v>
      </c>
      <c r="E1551" s="2" t="s">
        <v>12</v>
      </c>
      <c r="F1551" s="2" t="s">
        <v>12</v>
      </c>
      <c r="G1551" t="s">
        <v>2396</v>
      </c>
      <c r="H1551" t="str">
        <f t="shared" si="48"/>
        <v>https://videplast.com.br/consulta-imobilizado?id=20000742&amp;nome=FURADOR%20DE%20SACO%20PLASTICO%2010%20MM</v>
      </c>
      <c r="I1551" t="e">
        <f t="shared" ca="1" si="49"/>
        <v>#NAME?</v>
      </c>
    </row>
    <row r="1552" spans="1:9" x14ac:dyDescent="0.25">
      <c r="A1552" s="2" t="s">
        <v>2539</v>
      </c>
      <c r="B1552" s="2" t="s">
        <v>723</v>
      </c>
      <c r="C1552" s="3">
        <v>45461</v>
      </c>
      <c r="D1552" t="s">
        <v>2554</v>
      </c>
      <c r="E1552" s="2" t="s">
        <v>12</v>
      </c>
      <c r="F1552" s="2" t="s">
        <v>12</v>
      </c>
      <c r="G1552" t="s">
        <v>2396</v>
      </c>
      <c r="H1552" t="str">
        <f t="shared" si="48"/>
        <v>https://videplast.com.br/consulta-imobilizado?id=20000742&amp;nome=FURADOR%20DE%20SACO%20PLASTICO%2010%20MM</v>
      </c>
      <c r="I1552" t="e">
        <f t="shared" ca="1" si="49"/>
        <v>#NAME?</v>
      </c>
    </row>
    <row r="1553" spans="1:9" x14ac:dyDescent="0.25">
      <c r="A1553" s="2" t="s">
        <v>2539</v>
      </c>
      <c r="B1553" s="2" t="s">
        <v>725</v>
      </c>
      <c r="C1553" s="3">
        <v>45461</v>
      </c>
      <c r="D1553" t="s">
        <v>2554</v>
      </c>
      <c r="E1553" s="2" t="s">
        <v>12</v>
      </c>
      <c r="F1553" s="2" t="s">
        <v>12</v>
      </c>
      <c r="G1553" t="s">
        <v>2396</v>
      </c>
      <c r="H1553" t="str">
        <f t="shared" si="48"/>
        <v>https://videplast.com.br/consulta-imobilizado?id=20000742&amp;nome=FURADOR%20DE%20SACO%20PLASTICO%2010%20MM</v>
      </c>
      <c r="I1553" t="e">
        <f t="shared" ca="1" si="49"/>
        <v>#NAME?</v>
      </c>
    </row>
    <row r="1554" spans="1:9" x14ac:dyDescent="0.25">
      <c r="A1554" s="2" t="s">
        <v>2539</v>
      </c>
      <c r="B1554" s="2" t="s">
        <v>727</v>
      </c>
      <c r="C1554" s="3">
        <v>45461</v>
      </c>
      <c r="D1554" t="s">
        <v>2554</v>
      </c>
      <c r="E1554" s="2" t="s">
        <v>12</v>
      </c>
      <c r="F1554" s="2" t="s">
        <v>12</v>
      </c>
      <c r="G1554" t="s">
        <v>2396</v>
      </c>
      <c r="H1554" t="str">
        <f t="shared" si="48"/>
        <v>https://videplast.com.br/consulta-imobilizado?id=20000742&amp;nome=FURADOR%20DE%20SACO%20PLASTICO%2010%20MM</v>
      </c>
      <c r="I1554" t="e">
        <f t="shared" ca="1" si="49"/>
        <v>#NAME?</v>
      </c>
    </row>
    <row r="1555" spans="1:9" x14ac:dyDescent="0.25">
      <c r="A1555" s="2" t="s">
        <v>2539</v>
      </c>
      <c r="B1555" s="2" t="s">
        <v>729</v>
      </c>
      <c r="C1555" s="3">
        <v>45461</v>
      </c>
      <c r="D1555" t="s">
        <v>2554</v>
      </c>
      <c r="E1555" s="2" t="s">
        <v>12</v>
      </c>
      <c r="F1555" s="2" t="s">
        <v>12</v>
      </c>
      <c r="G1555" t="s">
        <v>2396</v>
      </c>
      <c r="H1555" t="str">
        <f t="shared" si="48"/>
        <v>https://videplast.com.br/consulta-imobilizado?id=20000742&amp;nome=FURADOR%20DE%20SACO%20PLASTICO%2010%20MM</v>
      </c>
      <c r="I1555" t="e">
        <f t="shared" ca="1" si="49"/>
        <v>#NAME?</v>
      </c>
    </row>
    <row r="1556" spans="1:9" x14ac:dyDescent="0.25">
      <c r="A1556" s="2" t="s">
        <v>2539</v>
      </c>
      <c r="B1556" s="2" t="s">
        <v>731</v>
      </c>
      <c r="C1556" s="3">
        <v>45461</v>
      </c>
      <c r="D1556" t="s">
        <v>2555</v>
      </c>
      <c r="E1556" s="2" t="s">
        <v>12</v>
      </c>
      <c r="F1556" s="2" t="s">
        <v>12</v>
      </c>
      <c r="G1556" t="s">
        <v>2396</v>
      </c>
      <c r="H1556" t="str">
        <f t="shared" si="48"/>
        <v>https://videplast.com.br/consulta-imobilizado?id=20000742&amp;nome=DISJUNTOR%20630A%2036KVA%20S/DISPARADOR</v>
      </c>
      <c r="I1556" t="e">
        <f t="shared" ca="1" si="49"/>
        <v>#NAME?</v>
      </c>
    </row>
    <row r="1557" spans="1:9" x14ac:dyDescent="0.25">
      <c r="A1557" s="2" t="s">
        <v>2539</v>
      </c>
      <c r="B1557" s="2" t="s">
        <v>733</v>
      </c>
      <c r="C1557" s="3">
        <v>45461</v>
      </c>
      <c r="D1557" t="s">
        <v>2556</v>
      </c>
      <c r="E1557" s="2" t="s">
        <v>12</v>
      </c>
      <c r="F1557" s="2" t="s">
        <v>12</v>
      </c>
      <c r="G1557" t="s">
        <v>2396</v>
      </c>
      <c r="H1557" t="str">
        <f t="shared" si="48"/>
        <v>https://videplast.com.br/consulta-imobilizado?id=20000742&amp;nome=DISPARADOR%20250-630A%203VT9363-6AC00%20SIEMENS,</v>
      </c>
      <c r="I1557" t="e">
        <f t="shared" ca="1" si="49"/>
        <v>#NAME?</v>
      </c>
    </row>
    <row r="1558" spans="1:9" x14ac:dyDescent="0.25">
      <c r="A1558" s="2" t="s">
        <v>2539</v>
      </c>
      <c r="B1558" s="2" t="s">
        <v>735</v>
      </c>
      <c r="C1558" s="3">
        <v>45461</v>
      </c>
      <c r="D1558" t="s">
        <v>2557</v>
      </c>
      <c r="E1558" s="2" t="s">
        <v>12</v>
      </c>
      <c r="F1558" s="2" t="s">
        <v>12</v>
      </c>
      <c r="G1558" t="s">
        <v>2396</v>
      </c>
      <c r="H1558" t="str">
        <f t="shared" si="48"/>
        <v>https://videplast.com.br/consulta-imobilizado?id=20000742&amp;nome=DISJUNTOR%20TRIP%203VT1%2040-50A,%20P/MONTAGEM%20DA</v>
      </c>
      <c r="I1558" t="e">
        <f t="shared" ca="1" si="49"/>
        <v>#NAME?</v>
      </c>
    </row>
    <row r="1559" spans="1:9" x14ac:dyDescent="0.25">
      <c r="A1559" s="2" t="s">
        <v>2539</v>
      </c>
      <c r="B1559" s="2" t="s">
        <v>737</v>
      </c>
      <c r="C1559" s="3">
        <v>45461</v>
      </c>
      <c r="D1559" t="s">
        <v>2558</v>
      </c>
      <c r="E1559" s="2" t="s">
        <v>12</v>
      </c>
      <c r="F1559" s="2" t="s">
        <v>12</v>
      </c>
      <c r="G1559" t="s">
        <v>2396</v>
      </c>
      <c r="H1559" t="str">
        <f t="shared" si="48"/>
        <v>https://videplast.com.br/consulta-imobilizado?id=20000742&amp;nome=CABO%204X6MM%201KV%20G7%20PARA%20MONTAGEM%20DA%20MAQUINA</v>
      </c>
      <c r="I1559" t="e">
        <f t="shared" ca="1" si="49"/>
        <v>#NAME?</v>
      </c>
    </row>
    <row r="1560" spans="1:9" x14ac:dyDescent="0.25">
      <c r="A1560" s="2" t="s">
        <v>2539</v>
      </c>
      <c r="B1560" s="2" t="s">
        <v>739</v>
      </c>
      <c r="C1560" s="3">
        <v>45461</v>
      </c>
      <c r="D1560" t="s">
        <v>2559</v>
      </c>
      <c r="E1560" s="2" t="s">
        <v>12</v>
      </c>
      <c r="F1560" s="2" t="s">
        <v>12</v>
      </c>
      <c r="G1560" t="s">
        <v>2396</v>
      </c>
      <c r="H1560" t="str">
        <f t="shared" si="48"/>
        <v>https://videplast.com.br/consulta-imobilizado?id=20000742&amp;nome=DISJUNTORES%20TRIP%203VT1%2032-40A</v>
      </c>
      <c r="I1560" t="e">
        <f t="shared" ca="1" si="49"/>
        <v>#NAME?</v>
      </c>
    </row>
    <row r="1561" spans="1:9" x14ac:dyDescent="0.25">
      <c r="A1561" s="2" t="s">
        <v>2539</v>
      </c>
      <c r="B1561" s="2" t="s">
        <v>741</v>
      </c>
      <c r="C1561" s="3">
        <v>45461</v>
      </c>
      <c r="D1561" t="s">
        <v>2560</v>
      </c>
      <c r="E1561" s="2" t="s">
        <v>12</v>
      </c>
      <c r="F1561" s="2" t="s">
        <v>12</v>
      </c>
      <c r="G1561" t="s">
        <v>2396</v>
      </c>
      <c r="H1561" t="str">
        <f t="shared" si="48"/>
        <v>https://videplast.com.br/consulta-imobilizado?id=20000742&amp;nome=CABO%204X10MM%200,6%201KV%2090</v>
      </c>
      <c r="I1561" t="e">
        <f t="shared" ca="1" si="49"/>
        <v>#NAME?</v>
      </c>
    </row>
    <row r="1562" spans="1:9" x14ac:dyDescent="0.25">
      <c r="A1562" s="2" t="s">
        <v>2539</v>
      </c>
      <c r="B1562" s="2" t="s">
        <v>743</v>
      </c>
      <c r="C1562" s="3">
        <v>45461</v>
      </c>
      <c r="D1562" t="s">
        <v>2561</v>
      </c>
      <c r="E1562" s="2" t="s">
        <v>12</v>
      </c>
      <c r="F1562" s="2" t="s">
        <v>12</v>
      </c>
      <c r="G1562" t="s">
        <v>2396</v>
      </c>
      <c r="H1562" t="str">
        <f t="shared" si="48"/>
        <v>https://videplast.com.br/consulta-imobilizado?id=20000742&amp;nome=CABO%206MM%20750V%20FLEX%20VD%20CONDUSPAR</v>
      </c>
      <c r="I1562" t="e">
        <f t="shared" ca="1" si="49"/>
        <v>#NAME?</v>
      </c>
    </row>
    <row r="1563" spans="1:9" x14ac:dyDescent="0.25">
      <c r="A1563" s="2" t="s">
        <v>2539</v>
      </c>
      <c r="B1563" s="2" t="s">
        <v>745</v>
      </c>
      <c r="C1563" s="3">
        <v>45461</v>
      </c>
      <c r="D1563" t="s">
        <v>2562</v>
      </c>
      <c r="E1563" s="2" t="s">
        <v>12</v>
      </c>
      <c r="F1563" s="2" t="s">
        <v>12</v>
      </c>
      <c r="G1563" t="s">
        <v>2396</v>
      </c>
      <c r="H1563" t="str">
        <f t="shared" si="48"/>
        <v>https://videplast.com.br/consulta-imobilizado?id=20000742&amp;nome=CABO%2070MM2%200.6%201KV%20PARA%20MONTAGEM%20DA%20MAQUINA</v>
      </c>
      <c r="I1563" t="e">
        <f t="shared" ca="1" si="49"/>
        <v>#NAME?</v>
      </c>
    </row>
    <row r="1564" spans="1:9" x14ac:dyDescent="0.25">
      <c r="A1564" s="2" t="s">
        <v>2539</v>
      </c>
      <c r="B1564" s="2" t="s">
        <v>2563</v>
      </c>
      <c r="C1564" s="3">
        <v>45461</v>
      </c>
      <c r="D1564" t="s">
        <v>2564</v>
      </c>
      <c r="E1564" s="2" t="s">
        <v>12</v>
      </c>
      <c r="F1564" s="2" t="s">
        <v>12</v>
      </c>
      <c r="G1564" t="s">
        <v>2396</v>
      </c>
      <c r="H1564" t="str">
        <f t="shared" si="48"/>
        <v>https://videplast.com.br/consulta-imobilizado?id=20000742&amp;nome=CABO%2035MM2%200.6%201KV%20EPR%20PARA%20MONTAGEM%20DA%20MAQUINA</v>
      </c>
      <c r="I1564" t="e">
        <f t="shared" ca="1" si="49"/>
        <v>#NAME?</v>
      </c>
    </row>
    <row r="1565" spans="1:9" x14ac:dyDescent="0.25">
      <c r="A1565" s="2" t="s">
        <v>2539</v>
      </c>
      <c r="B1565" s="2" t="s">
        <v>2565</v>
      </c>
      <c r="C1565" s="3">
        <v>45461</v>
      </c>
      <c r="D1565" t="s">
        <v>2566</v>
      </c>
      <c r="E1565" s="2" t="s">
        <v>12</v>
      </c>
      <c r="F1565" s="2" t="s">
        <v>12</v>
      </c>
      <c r="G1565" t="s">
        <v>2396</v>
      </c>
      <c r="H1565" t="str">
        <f t="shared" si="48"/>
        <v>https://videplast.com.br/consulta-imobilizado?id=20000742&amp;nome=FUSIVEIS%20SITOR%20TI%20250A%203NE1%20227-0%20SIEMENS</v>
      </c>
      <c r="I1565" t="e">
        <f t="shared" ca="1" si="49"/>
        <v>#NAME?</v>
      </c>
    </row>
    <row r="1566" spans="1:9" x14ac:dyDescent="0.25">
      <c r="A1566" s="2" t="s">
        <v>2539</v>
      </c>
      <c r="B1566" s="2" t="s">
        <v>2567</v>
      </c>
      <c r="C1566" s="3">
        <v>45461</v>
      </c>
      <c r="D1566" t="s">
        <v>2568</v>
      </c>
      <c r="E1566" s="2" t="s">
        <v>12</v>
      </c>
      <c r="F1566" s="2" t="s">
        <v>12</v>
      </c>
      <c r="G1566" t="s">
        <v>2396</v>
      </c>
      <c r="H1566" t="str">
        <f t="shared" si="48"/>
        <v>https://videplast.com.br/consulta-imobilizado?id=20000742&amp;nome=CHAVE%20SECCIONADORA%20FUSIVEL%20250A%203NP42%2070-0CA01</v>
      </c>
      <c r="I1566" t="e">
        <f t="shared" ca="1" si="49"/>
        <v>#NAME?</v>
      </c>
    </row>
    <row r="1567" spans="1:9" x14ac:dyDescent="0.25">
      <c r="A1567" s="2" t="s">
        <v>2539</v>
      </c>
      <c r="B1567" s="2" t="s">
        <v>2569</v>
      </c>
      <c r="C1567" s="3">
        <v>45461</v>
      </c>
      <c r="D1567" t="s">
        <v>2570</v>
      </c>
      <c r="E1567" s="2" t="s">
        <v>12</v>
      </c>
      <c r="F1567" s="2" t="s">
        <v>12</v>
      </c>
      <c r="G1567" t="s">
        <v>2396</v>
      </c>
      <c r="H1567" t="str">
        <f t="shared" si="48"/>
        <v>https://videplast.com.br/consulta-imobilizado?id=20000742&amp;nome=CILINDRO%20METALICO%20RECOBERTO%20C%20SILICONE%20E%20TEFLON</v>
      </c>
      <c r="I1567" t="e">
        <f t="shared" ca="1" si="49"/>
        <v>#NAME?</v>
      </c>
    </row>
    <row r="1568" spans="1:9" x14ac:dyDescent="0.25">
      <c r="A1568" s="2" t="s">
        <v>2539</v>
      </c>
      <c r="B1568" s="2" t="s">
        <v>2571</v>
      </c>
      <c r="C1568" s="3">
        <v>45461</v>
      </c>
      <c r="D1568" t="s">
        <v>2572</v>
      </c>
      <c r="E1568" s="2" t="s">
        <v>12</v>
      </c>
      <c r="F1568" s="2" t="s">
        <v>12</v>
      </c>
      <c r="G1568" t="s">
        <v>2396</v>
      </c>
      <c r="H1568" t="str">
        <f t="shared" si="48"/>
        <v>https://videplast.com.br/consulta-imobilizado?id=20000742&amp;nome=RESISTENCIA%20DE%20CABECOTE%20P/AQUECIMENTO%20DE</v>
      </c>
      <c r="I1568" t="e">
        <f t="shared" ca="1" si="49"/>
        <v>#NAME?</v>
      </c>
    </row>
    <row r="1569" spans="1:9" x14ac:dyDescent="0.25">
      <c r="A1569" s="2" t="s">
        <v>2539</v>
      </c>
      <c r="B1569" s="2" t="s">
        <v>2573</v>
      </c>
      <c r="C1569" s="3">
        <v>45461</v>
      </c>
      <c r="D1569" t="s">
        <v>2574</v>
      </c>
      <c r="E1569" s="2" t="s">
        <v>12</v>
      </c>
      <c r="F1569" s="2" t="s">
        <v>12</v>
      </c>
      <c r="G1569" t="s">
        <v>2396</v>
      </c>
      <c r="H1569" t="str">
        <f t="shared" si="48"/>
        <v>https://videplast.com.br/consulta-imobilizado?id=20000742&amp;nome=DESPESAS%20ADUANEIRAS%20S.C.A.E.EUROPE%20S.R.L</v>
      </c>
      <c r="I1569" t="e">
        <f t="shared" ca="1" si="49"/>
        <v>#NAME?</v>
      </c>
    </row>
    <row r="1570" spans="1:9" x14ac:dyDescent="0.25">
      <c r="A1570" s="2" t="s">
        <v>2539</v>
      </c>
      <c r="B1570" s="2" t="s">
        <v>2575</v>
      </c>
      <c r="C1570" s="3">
        <v>45461</v>
      </c>
      <c r="D1570" t="s">
        <v>2576</v>
      </c>
      <c r="E1570" s="2" t="s">
        <v>2541</v>
      </c>
      <c r="F1570" s="2" t="s">
        <v>12</v>
      </c>
      <c r="G1570" t="s">
        <v>2396</v>
      </c>
      <c r="H1570" t="str">
        <f t="shared" si="48"/>
        <v>https://videplast.com.br/consulta-imobilizado?id=20000742&amp;nome=VLR%20TRANSF%20MATRIZ%20%20CONTABILIZACAO%20BAIXA%20ADTO</v>
      </c>
      <c r="I1570" t="e">
        <f t="shared" ca="1" si="49"/>
        <v>#NAME?</v>
      </c>
    </row>
    <row r="1571" spans="1:9" x14ac:dyDescent="0.25">
      <c r="A1571" s="2" t="s">
        <v>2539</v>
      </c>
      <c r="B1571" s="2" t="s">
        <v>2577</v>
      </c>
      <c r="C1571" s="3">
        <v>45461</v>
      </c>
      <c r="D1571" t="s">
        <v>2578</v>
      </c>
      <c r="E1571" s="2" t="s">
        <v>12</v>
      </c>
      <c r="F1571" s="2" t="s">
        <v>12</v>
      </c>
      <c r="G1571" t="s">
        <v>2396</v>
      </c>
      <c r="H1571" t="str">
        <f t="shared" si="48"/>
        <v>https://videplast.com.br/consulta-imobilizado?id=20000742&amp;nome=DESPESAS%20ADUAN%20EUROPE,PROC%20DE%20IMPORT%2013888%20NA%20%20DE</v>
      </c>
      <c r="I1571" t="e">
        <f t="shared" ca="1" si="49"/>
        <v>#NAME?</v>
      </c>
    </row>
    <row r="1572" spans="1:9" x14ac:dyDescent="0.25">
      <c r="A1572" s="2" t="s">
        <v>2539</v>
      </c>
      <c r="B1572" s="2" t="s">
        <v>2579</v>
      </c>
      <c r="C1572" s="3">
        <v>45461</v>
      </c>
      <c r="D1572" t="s">
        <v>2580</v>
      </c>
      <c r="E1572" s="2" t="s">
        <v>12</v>
      </c>
      <c r="F1572" s="2" t="s">
        <v>12</v>
      </c>
      <c r="G1572" t="s">
        <v>2396</v>
      </c>
      <c r="H1572" t="str">
        <f t="shared" si="48"/>
        <v>https://videplast.com.br/consulta-imobilizado?id=20000742&amp;nome=SENSOR%20MAGNETICO%20CAMOZI%20PNE-CST-220,%20P/MAQ.DO</v>
      </c>
      <c r="I1572" t="e">
        <f t="shared" ca="1" si="49"/>
        <v>#NAME?</v>
      </c>
    </row>
    <row r="1573" spans="1:9" x14ac:dyDescent="0.25">
      <c r="A1573" s="2" t="s">
        <v>2539</v>
      </c>
      <c r="B1573" s="2" t="s">
        <v>2581</v>
      </c>
      <c r="C1573" s="3">
        <v>45461</v>
      </c>
      <c r="D1573" t="s">
        <v>2582</v>
      </c>
      <c r="E1573" s="2" t="s">
        <v>12</v>
      </c>
      <c r="F1573" s="2" t="s">
        <v>12</v>
      </c>
      <c r="G1573" t="s">
        <v>2396</v>
      </c>
      <c r="H1573" t="str">
        <f t="shared" si="48"/>
        <v>https://videplast.com.br/consulta-imobilizado?id=20000742&amp;nome=CONVERSOR%20ELETRONICO%20NIVEL%20U%20SUBITEM%20AA</v>
      </c>
      <c r="I1573" t="e">
        <f t="shared" ca="1" si="49"/>
        <v>#NAME?</v>
      </c>
    </row>
    <row r="1574" spans="1:9" x14ac:dyDescent="0.25">
      <c r="A1574" s="2" t="s">
        <v>2539</v>
      </c>
      <c r="B1574" s="2" t="s">
        <v>2583</v>
      </c>
      <c r="C1574" s="3">
        <v>45461</v>
      </c>
      <c r="D1574" t="s">
        <v>2584</v>
      </c>
      <c r="E1574" s="2" t="s">
        <v>12</v>
      </c>
      <c r="F1574" s="2" t="s">
        <v>12</v>
      </c>
      <c r="G1574" t="s">
        <v>2396</v>
      </c>
      <c r="H1574" t="str">
        <f t="shared" si="48"/>
        <v>https://videplast.com.br/consulta-imobilizado?id=20000742&amp;nome=BARRA%20ESTATICA%20THUNDERION%206P%2066,%20P/MAQ.DO%20SETOR</v>
      </c>
      <c r="I1574" t="e">
        <f t="shared" ca="1" si="49"/>
        <v>#NAME?</v>
      </c>
    </row>
    <row r="1575" spans="1:9" x14ac:dyDescent="0.25">
      <c r="A1575" s="2" t="s">
        <v>2539</v>
      </c>
      <c r="B1575" s="2" t="s">
        <v>2585</v>
      </c>
      <c r="C1575" s="3">
        <v>45461</v>
      </c>
      <c r="D1575" t="s">
        <v>2586</v>
      </c>
      <c r="E1575" s="2" t="s">
        <v>12</v>
      </c>
      <c r="F1575" s="2" t="s">
        <v>12</v>
      </c>
      <c r="G1575" t="s">
        <v>2396</v>
      </c>
      <c r="H1575" t="str">
        <f t="shared" si="48"/>
        <v>https://videplast.com.br/consulta-imobilizado?id=20000742&amp;nome=PISTAO%20PNEUMATICO%20FESTO%20DZF25-15-A-P-A,</v>
      </c>
      <c r="I1575" t="e">
        <f t="shared" ca="1" si="49"/>
        <v>#NAME?</v>
      </c>
    </row>
    <row r="1576" spans="1:9" x14ac:dyDescent="0.25">
      <c r="A1576" s="2" t="s">
        <v>2539</v>
      </c>
      <c r="B1576" s="2" t="s">
        <v>2587</v>
      </c>
      <c r="C1576" s="3">
        <v>45461</v>
      </c>
      <c r="D1576" t="s">
        <v>2588</v>
      </c>
      <c r="E1576" s="2" t="s">
        <v>12</v>
      </c>
      <c r="F1576" s="2" t="s">
        <v>12</v>
      </c>
      <c r="G1576" t="s">
        <v>2396</v>
      </c>
      <c r="H1576" t="str">
        <f t="shared" si="48"/>
        <v>https://videplast.com.br/consulta-imobilizado?id=20000742&amp;nome=PORTA%20FUSTELLA%20RADIAL%20E%20SOFFIO%20P/WICKET,</v>
      </c>
      <c r="I1576" t="e">
        <f t="shared" ca="1" si="49"/>
        <v>#NAME?</v>
      </c>
    </row>
    <row r="1577" spans="1:9" x14ac:dyDescent="0.25">
      <c r="A1577" s="2" t="s">
        <v>2539</v>
      </c>
      <c r="B1577" s="2" t="s">
        <v>2589</v>
      </c>
      <c r="C1577" s="3">
        <v>45461</v>
      </c>
      <c r="D1577" t="s">
        <v>2590</v>
      </c>
      <c r="E1577" s="2" t="s">
        <v>12</v>
      </c>
      <c r="F1577" s="2" t="s">
        <v>12</v>
      </c>
      <c r="G1577" t="s">
        <v>2396</v>
      </c>
      <c r="H1577" t="str">
        <f t="shared" si="48"/>
        <v>https://videplast.com.br/consulta-imobilizado?id=20000742&amp;nome=BARRA%20ANTIESTATICA%20TIPO%20EEP-SH-N%2066</v>
      </c>
      <c r="I1577" t="e">
        <f t="shared" ca="1" si="49"/>
        <v>#NAME?</v>
      </c>
    </row>
    <row r="1578" spans="1:9" x14ac:dyDescent="0.25">
      <c r="A1578" s="2" t="s">
        <v>2539</v>
      </c>
      <c r="B1578" s="2" t="s">
        <v>2591</v>
      </c>
      <c r="C1578" s="3">
        <v>45461</v>
      </c>
      <c r="D1578" t="s">
        <v>2592</v>
      </c>
      <c r="E1578" s="2" t="s">
        <v>12</v>
      </c>
      <c r="F1578" s="2" t="s">
        <v>12</v>
      </c>
      <c r="G1578" t="s">
        <v>2396</v>
      </c>
      <c r="H1578" t="str">
        <f t="shared" si="48"/>
        <v>https://videplast.com.br/consulta-imobilizado?id=20000742&amp;nome=BARRA%20ANTIESTATICA%20DI%20CARICA%20TIPO%20RED.%20MM130</v>
      </c>
      <c r="I1578" t="e">
        <f t="shared" ca="1" si="49"/>
        <v>#NAME?</v>
      </c>
    </row>
    <row r="1579" spans="1:9" x14ac:dyDescent="0.25">
      <c r="A1579" s="2" t="s">
        <v>2539</v>
      </c>
      <c r="B1579" s="2" t="s">
        <v>2593</v>
      </c>
      <c r="C1579" s="3">
        <v>45461</v>
      </c>
      <c r="D1579" t="s">
        <v>2594</v>
      </c>
      <c r="E1579" s="2" t="s">
        <v>12</v>
      </c>
      <c r="F1579" s="2" t="s">
        <v>12</v>
      </c>
      <c r="G1579" t="s">
        <v>2396</v>
      </c>
      <c r="H1579" t="str">
        <f t="shared" si="48"/>
        <v>https://videplast.com.br/consulta-imobilizado?id=20000742&amp;nome=CORREIA%20DENTADA%20HTD%20600-8M-20</v>
      </c>
      <c r="I1579" t="e">
        <f t="shared" ca="1" si="49"/>
        <v>#NAME?</v>
      </c>
    </row>
    <row r="1580" spans="1:9" x14ac:dyDescent="0.25">
      <c r="A1580" s="2" t="s">
        <v>2539</v>
      </c>
      <c r="B1580" s="2" t="s">
        <v>2595</v>
      </c>
      <c r="C1580" s="3">
        <v>45461</v>
      </c>
      <c r="D1580" t="s">
        <v>2596</v>
      </c>
      <c r="E1580" s="2" t="s">
        <v>12</v>
      </c>
      <c r="F1580" s="2" t="s">
        <v>12</v>
      </c>
      <c r="G1580" t="s">
        <v>2396</v>
      </c>
      <c r="H1580" t="str">
        <f t="shared" si="48"/>
        <v>https://videplast.com.br/consulta-imobilizado?id=20000742&amp;nome=CORREIA%20DENTADA%20T%2010-960-25MM%20-%20TOOTHED%20BELT</v>
      </c>
      <c r="I1580" t="e">
        <f t="shared" ca="1" si="49"/>
        <v>#NAME?</v>
      </c>
    </row>
    <row r="1581" spans="1:9" x14ac:dyDescent="0.25">
      <c r="A1581" s="2" t="s">
        <v>2539</v>
      </c>
      <c r="B1581" s="2" t="s">
        <v>2597</v>
      </c>
      <c r="C1581" s="3">
        <v>45461</v>
      </c>
      <c r="D1581" t="s">
        <v>2598</v>
      </c>
      <c r="E1581" s="2" t="s">
        <v>12</v>
      </c>
      <c r="F1581" s="2" t="s">
        <v>12</v>
      </c>
      <c r="G1581" t="s">
        <v>2396</v>
      </c>
      <c r="H1581" t="str">
        <f t="shared" si="48"/>
        <v>https://videplast.com.br/consulta-imobilizado?id=20000742&amp;nome=CORREIA%20DENTADA%20240%20L%20100%20-%20TOOTHED%20BELT</v>
      </c>
      <c r="I1581" t="e">
        <f t="shared" ca="1" si="49"/>
        <v>#NAME?</v>
      </c>
    </row>
    <row r="1582" spans="1:9" x14ac:dyDescent="0.25">
      <c r="A1582" s="2" t="s">
        <v>2539</v>
      </c>
      <c r="B1582" s="2" t="s">
        <v>2599</v>
      </c>
      <c r="C1582" s="3">
        <v>45461</v>
      </c>
      <c r="D1582" t="s">
        <v>2600</v>
      </c>
      <c r="E1582" s="2" t="s">
        <v>12</v>
      </c>
      <c r="F1582" s="2" t="s">
        <v>12</v>
      </c>
      <c r="G1582" t="s">
        <v>2396</v>
      </c>
      <c r="H1582" t="str">
        <f t="shared" si="48"/>
        <v>https://videplast.com.br/consulta-imobilizado?id=20000742&amp;nome=CORREIA%20DENTADA%20630H%20100%20%20-%20TOOTHED%20BELT630</v>
      </c>
      <c r="I1582" t="e">
        <f t="shared" ca="1" si="49"/>
        <v>#NAME?</v>
      </c>
    </row>
    <row r="1583" spans="1:9" x14ac:dyDescent="0.25">
      <c r="A1583" s="2" t="s">
        <v>2539</v>
      </c>
      <c r="B1583" s="2" t="s">
        <v>2601</v>
      </c>
      <c r="C1583" s="3">
        <v>45461</v>
      </c>
      <c r="D1583" t="s">
        <v>2602</v>
      </c>
      <c r="E1583" s="2" t="s">
        <v>12</v>
      </c>
      <c r="F1583" s="2" t="s">
        <v>12</v>
      </c>
      <c r="G1583" t="s">
        <v>2396</v>
      </c>
      <c r="H1583" t="str">
        <f t="shared" si="48"/>
        <v>https://videplast.com.br/consulta-imobilizado?id=20000742&amp;nome=CORREIA%20DENTADA%20CINGHIA%20T5/0280MM%2016,%20P/MAQ.DO</v>
      </c>
      <c r="I1583" t="e">
        <f t="shared" ca="1" si="49"/>
        <v>#NAME?</v>
      </c>
    </row>
    <row r="1584" spans="1:9" x14ac:dyDescent="0.25">
      <c r="A1584" s="2" t="s">
        <v>2539</v>
      </c>
      <c r="B1584" s="2" t="s">
        <v>2603</v>
      </c>
      <c r="C1584" s="3">
        <v>45461</v>
      </c>
      <c r="D1584" t="s">
        <v>2604</v>
      </c>
      <c r="E1584" s="2" t="s">
        <v>12</v>
      </c>
      <c r="F1584" s="2" t="s">
        <v>12</v>
      </c>
      <c r="G1584" t="s">
        <v>2396</v>
      </c>
      <c r="H1584" t="str">
        <f t="shared" si="48"/>
        <v>https://videplast.com.br/consulta-imobilizado?id=20000742&amp;nome=CORREIA%20DENTADA%20CINGHIA%20DENTADA%20240-100,</v>
      </c>
      <c r="I1584" t="e">
        <f t="shared" ca="1" si="49"/>
        <v>#NAME?</v>
      </c>
    </row>
    <row r="1585" spans="1:9" x14ac:dyDescent="0.25">
      <c r="A1585" s="2" t="s">
        <v>2539</v>
      </c>
      <c r="B1585" s="2" t="s">
        <v>2605</v>
      </c>
      <c r="C1585" s="3">
        <v>45461</v>
      </c>
      <c r="D1585" t="s">
        <v>2606</v>
      </c>
      <c r="E1585" s="2" t="s">
        <v>12</v>
      </c>
      <c r="F1585" s="2" t="s">
        <v>12</v>
      </c>
      <c r="G1585" t="s">
        <v>2396</v>
      </c>
      <c r="H1585" t="str">
        <f t="shared" si="48"/>
        <v>https://videplast.com.br/consulta-imobilizado?id=20000742&amp;nome=CORREIA%20DENTADA%20CINGHIA%20DENTADA%20360H100</v>
      </c>
      <c r="I1585" t="e">
        <f t="shared" ca="1" si="49"/>
        <v>#NAME?</v>
      </c>
    </row>
    <row r="1586" spans="1:9" x14ac:dyDescent="0.25">
      <c r="A1586" s="2" t="s">
        <v>2539</v>
      </c>
      <c r="B1586" s="2" t="s">
        <v>2607</v>
      </c>
      <c r="C1586" s="3">
        <v>45461</v>
      </c>
      <c r="D1586" t="s">
        <v>2608</v>
      </c>
      <c r="E1586" s="2" t="s">
        <v>12</v>
      </c>
      <c r="F1586" s="2" t="s">
        <v>12</v>
      </c>
      <c r="G1586" t="s">
        <v>2396</v>
      </c>
      <c r="H1586" t="str">
        <f t="shared" si="48"/>
        <v>https://videplast.com.br/consulta-imobilizado?id=20000742&amp;nome=GERADOR%20DE%20CORRENTE%20ALTERNADA%20GENERSATOR%20E</v>
      </c>
      <c r="I1586" t="e">
        <f t="shared" ca="1" si="49"/>
        <v>#NAME?</v>
      </c>
    </row>
    <row r="1587" spans="1:9" x14ac:dyDescent="0.25">
      <c r="A1587" s="2" t="s">
        <v>2539</v>
      </c>
      <c r="B1587" s="2" t="s">
        <v>2609</v>
      </c>
      <c r="C1587" s="3">
        <v>45461</v>
      </c>
      <c r="D1587" t="s">
        <v>2610</v>
      </c>
      <c r="E1587" s="2" t="s">
        <v>12</v>
      </c>
      <c r="F1587" s="2" t="s">
        <v>12</v>
      </c>
      <c r="G1587" t="s">
        <v>2396</v>
      </c>
      <c r="H1587" t="str">
        <f t="shared" si="48"/>
        <v>https://videplast.com.br/consulta-imobilizado?id=20000742&amp;nome=EQUIP.%20TIPO%20CANETA%20P/%20MEDIR%20ENERGIA%20ESTATICA</v>
      </c>
      <c r="I1587" t="e">
        <f t="shared" ca="1" si="49"/>
        <v>#NAME?</v>
      </c>
    </row>
    <row r="1588" spans="1:9" x14ac:dyDescent="0.25">
      <c r="A1588" s="2" t="s">
        <v>2539</v>
      </c>
      <c r="B1588" s="2" t="s">
        <v>2611</v>
      </c>
      <c r="C1588" s="3">
        <v>45461</v>
      </c>
      <c r="D1588" t="s">
        <v>2612</v>
      </c>
      <c r="E1588" s="2" t="s">
        <v>12</v>
      </c>
      <c r="F1588" s="2" t="s">
        <v>12</v>
      </c>
      <c r="G1588" t="s">
        <v>2396</v>
      </c>
      <c r="H1588" t="str">
        <f t="shared" si="48"/>
        <v>https://videplast.com.br/consulta-imobilizado?id=20000742&amp;nome=APARELHO%20TERMOPAR%20TERMOCOPPIA%20ZTC-24/FC</v>
      </c>
      <c r="I1588" t="e">
        <f t="shared" ca="1" si="49"/>
        <v>#NAME?</v>
      </c>
    </row>
    <row r="1589" spans="1:9" x14ac:dyDescent="0.25">
      <c r="A1589" s="2" t="s">
        <v>2539</v>
      </c>
      <c r="B1589" s="2" t="s">
        <v>2613</v>
      </c>
      <c r="C1589" s="3">
        <v>45461</v>
      </c>
      <c r="D1589" t="s">
        <v>2614</v>
      </c>
      <c r="E1589" s="2" t="s">
        <v>12</v>
      </c>
      <c r="F1589" s="2" t="s">
        <v>12</v>
      </c>
      <c r="G1589" t="s">
        <v>2396</v>
      </c>
      <c r="H1589" t="str">
        <f t="shared" si="48"/>
        <v>https://videplast.com.br/consulta-imobilizado?id=20000742&amp;nome=CORREIA%20P/TRANSMISSAO%20SEM%20FIM%20-%20CINGHI</v>
      </c>
      <c r="I1589" t="e">
        <f t="shared" ca="1" si="49"/>
        <v>#NAME?</v>
      </c>
    </row>
    <row r="1590" spans="1:9" x14ac:dyDescent="0.25">
      <c r="A1590" s="2" t="s">
        <v>2539</v>
      </c>
      <c r="B1590" s="2" t="s">
        <v>2615</v>
      </c>
      <c r="C1590" s="3">
        <v>45461</v>
      </c>
      <c r="D1590" t="s">
        <v>2616</v>
      </c>
      <c r="E1590" s="2" t="s">
        <v>12</v>
      </c>
      <c r="F1590" s="2" t="s">
        <v>12</v>
      </c>
      <c r="G1590" t="s">
        <v>2396</v>
      </c>
      <c r="H1590" t="str">
        <f t="shared" si="48"/>
        <v>https://videplast.com.br/consulta-imobilizado?id=20000742&amp;nome=CABO%20CONSUTOR%20ELETRICO%20CONNECT%20CY100-30-4A-30,</v>
      </c>
      <c r="I1590" t="e">
        <f t="shared" ca="1" si="49"/>
        <v>#NAME?</v>
      </c>
    </row>
    <row r="1591" spans="1:9" x14ac:dyDescent="0.25">
      <c r="A1591" s="2" t="s">
        <v>2539</v>
      </c>
      <c r="B1591" s="2" t="s">
        <v>2617</v>
      </c>
      <c r="C1591" s="3">
        <v>45461</v>
      </c>
      <c r="D1591" t="s">
        <v>2618</v>
      </c>
      <c r="E1591" s="2" t="s">
        <v>12</v>
      </c>
      <c r="F1591" s="2" t="s">
        <v>12</v>
      </c>
      <c r="G1591" t="s">
        <v>2396</v>
      </c>
      <c r="H1591" t="str">
        <f t="shared" si="48"/>
        <v>https://videplast.com.br/consulta-imobilizado?id=20000742&amp;nome=VALVULA</v>
      </c>
      <c r="I1591" t="e">
        <f t="shared" ca="1" si="49"/>
        <v>#NAME?</v>
      </c>
    </row>
    <row r="1592" spans="1:9" x14ac:dyDescent="0.25">
      <c r="A1592" s="2" t="s">
        <v>2539</v>
      </c>
      <c r="B1592" s="2" t="s">
        <v>2619</v>
      </c>
      <c r="C1592" s="3">
        <v>45461</v>
      </c>
      <c r="D1592" t="s">
        <v>2618</v>
      </c>
      <c r="E1592" s="2" t="s">
        <v>12</v>
      </c>
      <c r="F1592" s="2" t="s">
        <v>12</v>
      </c>
      <c r="G1592" t="s">
        <v>2396</v>
      </c>
      <c r="H1592" t="str">
        <f t="shared" si="48"/>
        <v>https://videplast.com.br/consulta-imobilizado?id=20000742&amp;nome=VALVULA</v>
      </c>
      <c r="I1592" t="e">
        <f t="shared" ca="1" si="49"/>
        <v>#NAME?</v>
      </c>
    </row>
    <row r="1593" spans="1:9" x14ac:dyDescent="0.25">
      <c r="A1593" s="2" t="s">
        <v>2539</v>
      </c>
      <c r="B1593" s="2" t="s">
        <v>2620</v>
      </c>
      <c r="C1593" s="3">
        <v>45461</v>
      </c>
      <c r="D1593" t="s">
        <v>2621</v>
      </c>
      <c r="E1593" s="2" t="s">
        <v>12</v>
      </c>
      <c r="F1593" s="2" t="s">
        <v>12</v>
      </c>
      <c r="G1593" t="s">
        <v>2396</v>
      </c>
      <c r="H1593" t="str">
        <f t="shared" si="48"/>
        <v>https://videplast.com.br/consulta-imobilizado?id=20000742&amp;nome=TRANSFORMADOR%20ANTIESTATICO%20TRANSFORMATOR%20E</v>
      </c>
      <c r="I1593" t="e">
        <f t="shared" ca="1" si="49"/>
        <v>#NAME?</v>
      </c>
    </row>
    <row r="1594" spans="1:9" x14ac:dyDescent="0.25">
      <c r="A1594" s="2" t="s">
        <v>2539</v>
      </c>
      <c r="B1594" s="2" t="s">
        <v>2622</v>
      </c>
      <c r="C1594" s="3">
        <v>45461</v>
      </c>
      <c r="D1594" t="s">
        <v>2623</v>
      </c>
      <c r="E1594" s="2" t="s">
        <v>12</v>
      </c>
      <c r="F1594" s="2" t="s">
        <v>12</v>
      </c>
      <c r="G1594" t="s">
        <v>2396</v>
      </c>
      <c r="H1594" t="str">
        <f t="shared" si="48"/>
        <v>https://videplast.com.br/consulta-imobilizado?id=20000742&amp;nome=BARRAS%20SELAGEM%20PARA%20MAQUINA%20WICKET</v>
      </c>
      <c r="I1594" t="e">
        <f t="shared" ca="1" si="49"/>
        <v>#NAME?</v>
      </c>
    </row>
    <row r="1595" spans="1:9" x14ac:dyDescent="0.25">
      <c r="A1595" s="2" t="s">
        <v>2539</v>
      </c>
      <c r="B1595" s="2" t="s">
        <v>2624</v>
      </c>
      <c r="C1595" s="3">
        <v>45461</v>
      </c>
      <c r="D1595" t="s">
        <v>2625</v>
      </c>
      <c r="E1595" s="2" t="s">
        <v>12</v>
      </c>
      <c r="F1595" s="2" t="s">
        <v>12</v>
      </c>
      <c r="G1595" t="s">
        <v>2396</v>
      </c>
      <c r="H1595" t="str">
        <f t="shared" si="48"/>
        <v>https://videplast.com.br/consulta-imobilizado?id=20000742&amp;nome=PLACAS%20SISTEMA%20SELAGEM</v>
      </c>
      <c r="I1595" t="e">
        <f t="shared" ca="1" si="49"/>
        <v>#NAME?</v>
      </c>
    </row>
    <row r="1596" spans="1:9" x14ac:dyDescent="0.25">
      <c r="A1596" s="2" t="s">
        <v>2539</v>
      </c>
      <c r="B1596" s="2" t="s">
        <v>2626</v>
      </c>
      <c r="C1596" s="3">
        <v>45461</v>
      </c>
      <c r="D1596" t="s">
        <v>2627</v>
      </c>
      <c r="E1596" s="2" t="s">
        <v>12</v>
      </c>
      <c r="F1596" s="2" t="s">
        <v>12</v>
      </c>
      <c r="G1596" t="s">
        <v>2396</v>
      </c>
      <c r="H1596" t="str">
        <f t="shared" si="48"/>
        <v>https://videplast.com.br/consulta-imobilizado?id=20000742&amp;nome=BARRA%20DE%20SELAGEM</v>
      </c>
      <c r="I1596" t="e">
        <f t="shared" ca="1" si="49"/>
        <v>#NAME?</v>
      </c>
    </row>
    <row r="1597" spans="1:9" x14ac:dyDescent="0.25">
      <c r="A1597" s="2" t="s">
        <v>2539</v>
      </c>
      <c r="B1597" s="2" t="s">
        <v>2628</v>
      </c>
      <c r="C1597" s="3">
        <v>45461</v>
      </c>
      <c r="D1597" t="s">
        <v>2629</v>
      </c>
      <c r="E1597" s="2" t="s">
        <v>12</v>
      </c>
      <c r="F1597" s="2" t="s">
        <v>12</v>
      </c>
      <c r="G1597" t="s">
        <v>2396</v>
      </c>
      <c r="H1597" t="str">
        <f t="shared" si="48"/>
        <v>https://videplast.com.br/consulta-imobilizado?id=20000742&amp;nome=BARRAS%20DE%20SELAGEM</v>
      </c>
      <c r="I1597" t="e">
        <f t="shared" ca="1" si="49"/>
        <v>#NAME?</v>
      </c>
    </row>
    <row r="1598" spans="1:9" x14ac:dyDescent="0.25">
      <c r="A1598" s="2" t="s">
        <v>2539</v>
      </c>
      <c r="B1598" s="2" t="s">
        <v>2630</v>
      </c>
      <c r="C1598" s="3">
        <v>45461</v>
      </c>
      <c r="D1598" t="s">
        <v>2627</v>
      </c>
      <c r="E1598" s="2" t="s">
        <v>12</v>
      </c>
      <c r="F1598" s="2" t="s">
        <v>12</v>
      </c>
      <c r="G1598" t="s">
        <v>2396</v>
      </c>
      <c r="H1598" t="str">
        <f t="shared" si="48"/>
        <v>https://videplast.com.br/consulta-imobilizado?id=20000742&amp;nome=BARRA%20DE%20SELAGEM</v>
      </c>
      <c r="I1598" t="e">
        <f t="shared" ca="1" si="49"/>
        <v>#NAME?</v>
      </c>
    </row>
    <row r="1599" spans="1:9" x14ac:dyDescent="0.25">
      <c r="A1599" s="2" t="s">
        <v>2539</v>
      </c>
      <c r="B1599" s="2" t="s">
        <v>2631</v>
      </c>
      <c r="C1599" s="3">
        <v>45461</v>
      </c>
      <c r="D1599" t="s">
        <v>2629</v>
      </c>
      <c r="E1599" s="2" t="s">
        <v>12</v>
      </c>
      <c r="F1599" s="2" t="s">
        <v>12</v>
      </c>
      <c r="G1599" t="s">
        <v>2396</v>
      </c>
      <c r="H1599" t="str">
        <f t="shared" si="48"/>
        <v>https://videplast.com.br/consulta-imobilizado?id=20000742&amp;nome=BARRAS%20DE%20SELAGEM</v>
      </c>
      <c r="I1599" t="e">
        <f t="shared" ca="1" si="49"/>
        <v>#NAME?</v>
      </c>
    </row>
    <row r="1600" spans="1:9" x14ac:dyDescent="0.25">
      <c r="A1600" s="2" t="s">
        <v>2539</v>
      </c>
      <c r="B1600" s="2" t="s">
        <v>2632</v>
      </c>
      <c r="C1600" s="3">
        <v>45461</v>
      </c>
      <c r="D1600" t="s">
        <v>2633</v>
      </c>
      <c r="E1600" s="2" t="s">
        <v>12</v>
      </c>
      <c r="F1600" s="2" t="s">
        <v>12</v>
      </c>
      <c r="G1600" t="s">
        <v>2396</v>
      </c>
      <c r="H1600" t="str">
        <f t="shared" si="48"/>
        <v>https://videplast.com.br/consulta-imobilizado?id=20000742&amp;nome=FURADORES%2050MM</v>
      </c>
      <c r="I1600" t="e">
        <f t="shared" ca="1" si="49"/>
        <v>#NAME?</v>
      </c>
    </row>
    <row r="1601" spans="1:9" x14ac:dyDescent="0.25">
      <c r="A1601" s="2" t="s">
        <v>2539</v>
      </c>
      <c r="B1601" s="2" t="s">
        <v>2634</v>
      </c>
      <c r="C1601" s="3">
        <v>45461</v>
      </c>
      <c r="D1601" t="s">
        <v>2635</v>
      </c>
      <c r="E1601" s="2" t="s">
        <v>12</v>
      </c>
      <c r="F1601" s="2" t="s">
        <v>12</v>
      </c>
      <c r="G1601" t="s">
        <v>2396</v>
      </c>
      <c r="H1601" t="str">
        <f t="shared" si="48"/>
        <v>https://videplast.com.br/consulta-imobilizado?id=20000742&amp;nome=CJ%20P/%20MAQ</v>
      </c>
      <c r="I1601" t="e">
        <f t="shared" ca="1" si="49"/>
        <v>#NAME?</v>
      </c>
    </row>
    <row r="1602" spans="1:9" x14ac:dyDescent="0.25">
      <c r="A1602" s="2" t="s">
        <v>2539</v>
      </c>
      <c r="B1602" s="2" t="s">
        <v>2636</v>
      </c>
      <c r="C1602" s="3">
        <v>45461</v>
      </c>
      <c r="D1602" t="s">
        <v>2637</v>
      </c>
      <c r="E1602" s="2" t="s">
        <v>12</v>
      </c>
      <c r="F1602" s="2" t="s">
        <v>12</v>
      </c>
      <c r="G1602" t="s">
        <v>2396</v>
      </c>
      <c r="H1602" t="str">
        <f t="shared" ref="H1602:H1665" si="50" xml:space="preserve"> "https://videplast.com.br/consulta-imobilizado?id=" &amp; A1602 &amp; "&amp;nome=" &amp; SUBSTITUTE(D1602, " ", "%20")</f>
        <v>https://videplast.com.br/consulta-imobilizado?id=20000742&amp;nome=DESBOBINADOR</v>
      </c>
      <c r="I1602" t="e">
        <f t="shared" ref="I1602:I1665" ca="1" si="51">_xlfn.IMAGE("https://chart.googleapis.com/chart?chs=150x150&amp;cht=qr&amp;chl=" &amp; H1602)</f>
        <v>#NAME?</v>
      </c>
    </row>
    <row r="1603" spans="1:9" x14ac:dyDescent="0.25">
      <c r="A1603" s="2" t="s">
        <v>2539</v>
      </c>
      <c r="B1603" s="2" t="s">
        <v>2638</v>
      </c>
      <c r="C1603" s="3">
        <v>45461</v>
      </c>
      <c r="D1603" t="s">
        <v>2639</v>
      </c>
      <c r="E1603" s="2" t="s">
        <v>12</v>
      </c>
      <c r="F1603" s="2" t="s">
        <v>12</v>
      </c>
      <c r="G1603" t="s">
        <v>2396</v>
      </c>
      <c r="H1603" t="str">
        <f t="shared" si="50"/>
        <v>https://videplast.com.br/consulta-imobilizado?id=20000742&amp;nome=DESPESAS%20ACESSORIAS%20NA%20AQUISIÇÃO%20PEÇAS</v>
      </c>
      <c r="I1603" t="e">
        <f t="shared" ca="1" si="51"/>
        <v>#NAME?</v>
      </c>
    </row>
    <row r="1604" spans="1:9" x14ac:dyDescent="0.25">
      <c r="A1604" s="2" t="s">
        <v>2539</v>
      </c>
      <c r="B1604" s="2" t="s">
        <v>2640</v>
      </c>
      <c r="C1604" s="3">
        <v>45461</v>
      </c>
      <c r="D1604" t="s">
        <v>2641</v>
      </c>
      <c r="E1604" s="2" t="s">
        <v>12</v>
      </c>
      <c r="F1604" s="2" t="s">
        <v>12</v>
      </c>
      <c r="G1604" t="s">
        <v>2396</v>
      </c>
      <c r="H1604" t="str">
        <f t="shared" si="50"/>
        <v>https://videplast.com.br/consulta-imobilizado?id=20000742&amp;nome=DESPESAS%20NO%20DESEMBARACO%20ADUANEIRO%2066063</v>
      </c>
      <c r="I1604" t="e">
        <f t="shared" ca="1" si="51"/>
        <v>#NAME?</v>
      </c>
    </row>
    <row r="1605" spans="1:9" x14ac:dyDescent="0.25">
      <c r="A1605" s="2" t="s">
        <v>2642</v>
      </c>
      <c r="B1605" s="2" t="s">
        <v>10</v>
      </c>
      <c r="C1605" s="3">
        <v>45497</v>
      </c>
      <c r="D1605" t="s">
        <v>2643</v>
      </c>
      <c r="E1605" s="2" t="s">
        <v>2644</v>
      </c>
      <c r="F1605" s="2" t="s">
        <v>2645</v>
      </c>
      <c r="G1605" t="s">
        <v>2396</v>
      </c>
      <c r="H1605" t="str">
        <f t="shared" si="50"/>
        <v>https://videplast.com.br/consulta-imobilizado?id=20000749&amp;nome=MAQUINA%20HECE%20AUTOMATICA%20MOD%20SC-700%20FR-III%20Nº%20222</v>
      </c>
      <c r="I1605" t="e">
        <f t="shared" ca="1" si="51"/>
        <v>#NAME?</v>
      </c>
    </row>
    <row r="1606" spans="1:9" x14ac:dyDescent="0.25">
      <c r="A1606" s="2" t="s">
        <v>2642</v>
      </c>
      <c r="B1606" s="2" t="s">
        <v>26</v>
      </c>
      <c r="C1606" s="3">
        <v>45607</v>
      </c>
      <c r="D1606" t="s">
        <v>2646</v>
      </c>
      <c r="E1606" s="2" t="s">
        <v>12</v>
      </c>
      <c r="F1606" s="2" t="s">
        <v>12</v>
      </c>
      <c r="G1606" t="s">
        <v>2396</v>
      </c>
      <c r="H1606" t="str">
        <f t="shared" si="50"/>
        <v>https://videplast.com.br/consulta-imobilizado?id=20000749&amp;nome=EIXO%20EXPANSIVO%20CORPO%20EM%20ALUMINIO%206"</v>
      </c>
      <c r="I1606" t="e">
        <f t="shared" ca="1" si="51"/>
        <v>#NAME?</v>
      </c>
    </row>
    <row r="1607" spans="1:9" x14ac:dyDescent="0.25">
      <c r="A1607" s="2" t="s">
        <v>2642</v>
      </c>
      <c r="B1607" s="2" t="s">
        <v>21</v>
      </c>
      <c r="C1607" s="3">
        <v>45610</v>
      </c>
      <c r="D1607" t="s">
        <v>746</v>
      </c>
      <c r="E1607" s="2" t="s">
        <v>12</v>
      </c>
      <c r="F1607" s="2" t="s">
        <v>12</v>
      </c>
      <c r="G1607" t="s">
        <v>2396</v>
      </c>
      <c r="H1607" t="str">
        <f t="shared" si="50"/>
        <v>https://videplast.com.br/consulta-imobilizado?id=20000749&amp;nome=FRETE%20EIXO%20EXPANSIVO%20EM%20ALUMINIO%206"</v>
      </c>
      <c r="I1607" t="e">
        <f t="shared" ca="1" si="51"/>
        <v>#NAME?</v>
      </c>
    </row>
    <row r="1608" spans="1:9" x14ac:dyDescent="0.25">
      <c r="A1608" s="2" t="s">
        <v>2647</v>
      </c>
      <c r="B1608" s="2" t="s">
        <v>10</v>
      </c>
      <c r="C1608" s="3">
        <v>45614</v>
      </c>
      <c r="D1608" t="s">
        <v>2648</v>
      </c>
      <c r="E1608" s="2" t="s">
        <v>2649</v>
      </c>
      <c r="F1608" s="2" t="s">
        <v>2650</v>
      </c>
      <c r="G1608" t="s">
        <v>2396</v>
      </c>
      <c r="H1608" t="str">
        <f t="shared" si="50"/>
        <v>https://videplast.com.br/consulta-imobilizado?id=20000761&amp;nome=MAQUINA%20WICKET%20MODELO%20DIMATIC%20ETH%20471HS/88%20Nº%20231</v>
      </c>
      <c r="I1608" t="e">
        <f t="shared" ca="1" si="51"/>
        <v>#NAME?</v>
      </c>
    </row>
    <row r="1609" spans="1:9" x14ac:dyDescent="0.25">
      <c r="A1609" s="2" t="s">
        <v>2647</v>
      </c>
      <c r="B1609" s="2" t="s">
        <v>26</v>
      </c>
      <c r="C1609" s="3">
        <v>45614</v>
      </c>
      <c r="D1609" t="s">
        <v>2651</v>
      </c>
      <c r="E1609" s="2" t="s">
        <v>12</v>
      </c>
      <c r="F1609" s="2" t="s">
        <v>12</v>
      </c>
      <c r="G1609" t="s">
        <v>2396</v>
      </c>
      <c r="H1609" t="str">
        <f t="shared" si="50"/>
        <v>https://videplast.com.br/consulta-imobilizado?id=20000761&amp;nome=DESPESAS%20NO%20DESEMBARACO%20ADUANEIRO</v>
      </c>
      <c r="I1609" t="e">
        <f t="shared" ca="1" si="51"/>
        <v>#NAME?</v>
      </c>
    </row>
    <row r="1610" spans="1:9" x14ac:dyDescent="0.25">
      <c r="A1610" s="2" t="s">
        <v>2647</v>
      </c>
      <c r="B1610" s="2" t="s">
        <v>21</v>
      </c>
      <c r="C1610" s="3">
        <v>45614</v>
      </c>
      <c r="D1610" t="s">
        <v>381</v>
      </c>
      <c r="E1610" s="2" t="s">
        <v>12</v>
      </c>
      <c r="F1610" s="2" t="s">
        <v>12</v>
      </c>
      <c r="G1610" t="s">
        <v>2396</v>
      </c>
      <c r="H1610" t="str">
        <f t="shared" si="50"/>
        <v>https://videplast.com.br/consulta-imobilizado?id=20000761&amp;nome=FRETE</v>
      </c>
      <c r="I1610" t="e">
        <f t="shared" ca="1" si="51"/>
        <v>#NAME?</v>
      </c>
    </row>
    <row r="1611" spans="1:9" x14ac:dyDescent="0.25">
      <c r="A1611" s="2" t="s">
        <v>2647</v>
      </c>
      <c r="B1611" s="2" t="s">
        <v>29</v>
      </c>
      <c r="C1611" s="3">
        <v>45614</v>
      </c>
      <c r="D1611" t="s">
        <v>2651</v>
      </c>
      <c r="E1611" s="2" t="s">
        <v>12</v>
      </c>
      <c r="F1611" s="2" t="s">
        <v>12</v>
      </c>
      <c r="G1611" t="s">
        <v>2396</v>
      </c>
      <c r="H1611" t="str">
        <f t="shared" si="50"/>
        <v>https://videplast.com.br/consulta-imobilizado?id=20000761&amp;nome=DESPESAS%20NO%20DESEMBARACO%20ADUANEIRO</v>
      </c>
      <c r="I1611" t="e">
        <f t="shared" ca="1" si="51"/>
        <v>#NAME?</v>
      </c>
    </row>
    <row r="1612" spans="1:9" x14ac:dyDescent="0.25">
      <c r="A1612" s="2" t="s">
        <v>2647</v>
      </c>
      <c r="B1612" s="2" t="s">
        <v>31</v>
      </c>
      <c r="C1612" s="3">
        <v>45614</v>
      </c>
      <c r="D1612" t="s">
        <v>2652</v>
      </c>
      <c r="E1612" s="2" t="s">
        <v>2653</v>
      </c>
      <c r="F1612" s="2" t="s">
        <v>12</v>
      </c>
      <c r="G1612" t="s">
        <v>2396</v>
      </c>
      <c r="H1612" t="str">
        <f t="shared" si="50"/>
        <v>https://videplast.com.br/consulta-imobilizado?id=20000761&amp;nome=GERADOR%20ELETRESTATICA%20TLA%202013-81</v>
      </c>
      <c r="I1612" t="e">
        <f t="shared" ca="1" si="51"/>
        <v>#NAME?</v>
      </c>
    </row>
    <row r="1613" spans="1:9" x14ac:dyDescent="0.25">
      <c r="A1613" s="2" t="s">
        <v>2647</v>
      </c>
      <c r="B1613" s="2" t="s">
        <v>33</v>
      </c>
      <c r="C1613" s="3">
        <v>45615</v>
      </c>
      <c r="D1613" t="s">
        <v>2654</v>
      </c>
      <c r="E1613" s="2" t="s">
        <v>12</v>
      </c>
      <c r="F1613" s="2" t="s">
        <v>12</v>
      </c>
      <c r="G1613" t="s">
        <v>2396</v>
      </c>
      <c r="H1613" t="str">
        <f t="shared" si="50"/>
        <v>https://videplast.com.br/consulta-imobilizado?id=20000761&amp;nome=BARRA%20ANTIESTATICA%20THUNDER%20ON%20SPECIAL</v>
      </c>
      <c r="I1613" t="e">
        <f t="shared" ca="1" si="51"/>
        <v>#NAME?</v>
      </c>
    </row>
    <row r="1614" spans="1:9" x14ac:dyDescent="0.25">
      <c r="A1614" s="2" t="s">
        <v>2655</v>
      </c>
      <c r="B1614" s="2" t="s">
        <v>10</v>
      </c>
      <c r="C1614" s="3">
        <v>45646</v>
      </c>
      <c r="D1614" t="s">
        <v>2656</v>
      </c>
      <c r="E1614" s="2" t="s">
        <v>2657</v>
      </c>
      <c r="F1614" s="2" t="s">
        <v>2658</v>
      </c>
      <c r="G1614" t="s">
        <v>2396</v>
      </c>
      <c r="H1614" t="str">
        <f t="shared" si="50"/>
        <v>https://videplast.com.br/consulta-imobilizado?id=20000764&amp;nome=MAQUINA%20WICKET%20MODELO%20DIMATIC%20ETH%20471HS/66%20Nº%20228</v>
      </c>
      <c r="I1614" t="e">
        <f t="shared" ca="1" si="51"/>
        <v>#NAME?</v>
      </c>
    </row>
    <row r="1615" spans="1:9" x14ac:dyDescent="0.25">
      <c r="A1615" s="2" t="s">
        <v>2655</v>
      </c>
      <c r="B1615" s="2" t="s">
        <v>26</v>
      </c>
      <c r="C1615" s="3">
        <v>45646</v>
      </c>
      <c r="D1615" t="s">
        <v>2659</v>
      </c>
      <c r="E1615" s="2" t="s">
        <v>12</v>
      </c>
      <c r="F1615" s="2" t="s">
        <v>12</v>
      </c>
      <c r="G1615" t="s">
        <v>2396</v>
      </c>
      <c r="H1615" t="str">
        <f t="shared" si="50"/>
        <v>https://videplast.com.br/consulta-imobilizado?id=20000764&amp;nome=DESPESAS%20ADUANEIRAS</v>
      </c>
      <c r="I1615" t="e">
        <f t="shared" ca="1" si="51"/>
        <v>#NAME?</v>
      </c>
    </row>
    <row r="1616" spans="1:9" x14ac:dyDescent="0.25">
      <c r="A1616" s="2" t="s">
        <v>2655</v>
      </c>
      <c r="B1616" s="2" t="s">
        <v>21</v>
      </c>
      <c r="C1616" s="3">
        <v>45646</v>
      </c>
      <c r="D1616" t="s">
        <v>381</v>
      </c>
      <c r="E1616" s="2" t="s">
        <v>12</v>
      </c>
      <c r="F1616" s="2" t="s">
        <v>12</v>
      </c>
      <c r="G1616" t="s">
        <v>2396</v>
      </c>
      <c r="H1616" t="str">
        <f t="shared" si="50"/>
        <v>https://videplast.com.br/consulta-imobilizado?id=20000764&amp;nome=FRETE</v>
      </c>
      <c r="I1616" t="e">
        <f t="shared" ca="1" si="51"/>
        <v>#NAME?</v>
      </c>
    </row>
    <row r="1617" spans="1:9" x14ac:dyDescent="0.25">
      <c r="A1617" s="2" t="s">
        <v>2655</v>
      </c>
      <c r="B1617" s="2" t="s">
        <v>29</v>
      </c>
      <c r="C1617" s="3">
        <v>45646</v>
      </c>
      <c r="D1617" t="s">
        <v>2660</v>
      </c>
      <c r="E1617" s="2" t="s">
        <v>12</v>
      </c>
      <c r="F1617" s="2" t="s">
        <v>12</v>
      </c>
      <c r="G1617" t="s">
        <v>2396</v>
      </c>
      <c r="H1617" t="str">
        <f t="shared" si="50"/>
        <v>https://videplast.com.br/consulta-imobilizado?id=20000764&amp;nome=MOTOR%20ELETRICO%20CC1/4%20CV%20185W%20PARA%20MAQ.WICKET</v>
      </c>
      <c r="I1617" t="e">
        <f t="shared" ca="1" si="51"/>
        <v>#NAME?</v>
      </c>
    </row>
    <row r="1618" spans="1:9" x14ac:dyDescent="0.25">
      <c r="A1618" s="2" t="s">
        <v>2655</v>
      </c>
      <c r="B1618" s="2" t="s">
        <v>31</v>
      </c>
      <c r="C1618" s="3">
        <v>45646</v>
      </c>
      <c r="D1618" t="s">
        <v>2661</v>
      </c>
      <c r="E1618" s="2" t="s">
        <v>12</v>
      </c>
      <c r="F1618" s="2" t="s">
        <v>12</v>
      </c>
      <c r="G1618" t="s">
        <v>2396</v>
      </c>
      <c r="H1618" t="str">
        <f t="shared" si="50"/>
        <v>https://videplast.com.br/consulta-imobilizado?id=20000764&amp;nome=PINOS%20DE%20ACO%20MEDIO%20CARBONO%20P/MAQ.WICKET%20SCAE</v>
      </c>
      <c r="I1618" t="e">
        <f t="shared" ca="1" si="51"/>
        <v>#NAME?</v>
      </c>
    </row>
    <row r="1619" spans="1:9" x14ac:dyDescent="0.25">
      <c r="A1619" s="2" t="s">
        <v>2655</v>
      </c>
      <c r="B1619" s="2" t="s">
        <v>33</v>
      </c>
      <c r="C1619" s="3">
        <v>45646</v>
      </c>
      <c r="D1619" t="s">
        <v>2662</v>
      </c>
      <c r="E1619" s="2" t="s">
        <v>12</v>
      </c>
      <c r="F1619" s="2" t="s">
        <v>12</v>
      </c>
      <c r="G1619" t="s">
        <v>2396</v>
      </c>
      <c r="H1619" t="str">
        <f t="shared" si="50"/>
        <v>https://videplast.com.br/consulta-imobilizado?id=20000764&amp;nome=SENSOR%20INFRAVERMELHO%20PARA%20MAQ.%20WICKET%20SCAE</v>
      </c>
      <c r="I1619" t="e">
        <f t="shared" ca="1" si="51"/>
        <v>#NAME?</v>
      </c>
    </row>
    <row r="1620" spans="1:9" x14ac:dyDescent="0.25">
      <c r="A1620" s="2" t="s">
        <v>2655</v>
      </c>
      <c r="B1620" s="2" t="s">
        <v>35</v>
      </c>
      <c r="C1620" s="3">
        <v>45646</v>
      </c>
      <c r="D1620" t="s">
        <v>2663</v>
      </c>
      <c r="E1620" s="2" t="s">
        <v>12</v>
      </c>
      <c r="F1620" s="2" t="s">
        <v>12</v>
      </c>
      <c r="G1620" t="s">
        <v>2396</v>
      </c>
      <c r="H1620" t="str">
        <f t="shared" si="50"/>
        <v>https://videplast.com.br/consulta-imobilizado?id=20000764&amp;nome=CARCACA%20ACO%20INOX%20E%20FILTRO%20INTERNO%20P/MAQ.WICKET</v>
      </c>
      <c r="I1620" t="e">
        <f t="shared" ca="1" si="51"/>
        <v>#NAME?</v>
      </c>
    </row>
    <row r="1621" spans="1:9" x14ac:dyDescent="0.25">
      <c r="A1621" s="2" t="s">
        <v>2655</v>
      </c>
      <c r="B1621" s="2" t="s">
        <v>37</v>
      </c>
      <c r="C1621" s="3">
        <v>45646</v>
      </c>
      <c r="D1621" t="s">
        <v>2664</v>
      </c>
      <c r="E1621" s="2" t="s">
        <v>12</v>
      </c>
      <c r="F1621" s="2" t="s">
        <v>12</v>
      </c>
      <c r="G1621" t="s">
        <v>2396</v>
      </c>
      <c r="H1621" t="str">
        <f t="shared" si="50"/>
        <v>https://videplast.com.br/consulta-imobilizado?id=20000764&amp;nome=SENSOR%20MAGNETICO%20PARA%20MAQ.WICKET%20SCAE</v>
      </c>
      <c r="I1621" t="e">
        <f t="shared" ca="1" si="51"/>
        <v>#NAME?</v>
      </c>
    </row>
    <row r="1622" spans="1:9" x14ac:dyDescent="0.25">
      <c r="A1622" s="2" t="s">
        <v>2655</v>
      </c>
      <c r="B1622" s="2" t="s">
        <v>39</v>
      </c>
      <c r="C1622" s="3">
        <v>45646</v>
      </c>
      <c r="D1622" t="s">
        <v>2665</v>
      </c>
      <c r="E1622" s="2" t="s">
        <v>12</v>
      </c>
      <c r="F1622" s="2" t="s">
        <v>12</v>
      </c>
      <c r="G1622" t="s">
        <v>2396</v>
      </c>
      <c r="H1622" t="str">
        <f t="shared" si="50"/>
        <v>https://videplast.com.br/consulta-imobilizado?id=20000764&amp;nome=RESISTENCIAS%20600W%20220V%20PARA%20MAQ.%20WICKET%20SCAE</v>
      </c>
      <c r="I1622" t="e">
        <f t="shared" ca="1" si="51"/>
        <v>#NAME?</v>
      </c>
    </row>
    <row r="1623" spans="1:9" x14ac:dyDescent="0.25">
      <c r="A1623" s="2" t="s">
        <v>2655</v>
      </c>
      <c r="B1623" s="2" t="s">
        <v>126</v>
      </c>
      <c r="C1623" s="3">
        <v>45646</v>
      </c>
      <c r="D1623" t="s">
        <v>2666</v>
      </c>
      <c r="E1623" s="2" t="s">
        <v>12</v>
      </c>
      <c r="F1623" s="2" t="s">
        <v>12</v>
      </c>
      <c r="G1623" t="s">
        <v>2396</v>
      </c>
      <c r="H1623" t="str">
        <f t="shared" si="50"/>
        <v>https://videplast.com.br/consulta-imobilizado?id=20000764&amp;nome=DESPESAS%20ADUANEIRAS%20NFE%2054762%20DE%20SCAE%20EUROPE%20NA</v>
      </c>
      <c r="I1623" t="e">
        <f t="shared" ca="1" si="51"/>
        <v>#NAME?</v>
      </c>
    </row>
    <row r="1624" spans="1:9" x14ac:dyDescent="0.25">
      <c r="A1624" s="2" t="s">
        <v>2655</v>
      </c>
      <c r="B1624" s="2" t="s">
        <v>127</v>
      </c>
      <c r="C1624" s="3">
        <v>45646</v>
      </c>
      <c r="D1624" t="s">
        <v>2667</v>
      </c>
      <c r="E1624" s="2" t="s">
        <v>12</v>
      </c>
      <c r="F1624" s="2" t="s">
        <v>12</v>
      </c>
      <c r="G1624" t="s">
        <v>2396</v>
      </c>
      <c r="H1624" t="str">
        <f t="shared" si="50"/>
        <v>https://videplast.com.br/consulta-imobilizado?id=20000764&amp;nome=RESISTENCIA%20DE%20CABECOTE%20AQUECIMENTO%20DE%20BARRAS</v>
      </c>
      <c r="I1624" t="e">
        <f t="shared" ca="1" si="51"/>
        <v>#NAME?</v>
      </c>
    </row>
    <row r="1625" spans="1:9" x14ac:dyDescent="0.25">
      <c r="A1625" s="2" t="s">
        <v>2655</v>
      </c>
      <c r="B1625" s="2" t="s">
        <v>128</v>
      </c>
      <c r="C1625" s="3">
        <v>45646</v>
      </c>
      <c r="D1625" t="s">
        <v>2668</v>
      </c>
      <c r="E1625" s="2" t="s">
        <v>12</v>
      </c>
      <c r="F1625" s="2" t="s">
        <v>12</v>
      </c>
      <c r="G1625" t="s">
        <v>2396</v>
      </c>
      <c r="H1625" t="str">
        <f t="shared" si="50"/>
        <v>https://videplast.com.br/consulta-imobilizado?id=20000764&amp;nome=25%20FURADORES%20SACO%20PLASTICO%20%2012MM%20P/MAQ.WICKET</v>
      </c>
      <c r="I1625" t="e">
        <f t="shared" ca="1" si="51"/>
        <v>#NAME?</v>
      </c>
    </row>
    <row r="1626" spans="1:9" x14ac:dyDescent="0.25">
      <c r="A1626" s="2" t="s">
        <v>2655</v>
      </c>
      <c r="B1626" s="2" t="s">
        <v>623</v>
      </c>
      <c r="C1626" s="3">
        <v>45646</v>
      </c>
      <c r="D1626" t="s">
        <v>2669</v>
      </c>
      <c r="E1626" s="2" t="s">
        <v>12</v>
      </c>
      <c r="F1626" s="2" t="s">
        <v>12</v>
      </c>
      <c r="G1626" t="s">
        <v>2396</v>
      </c>
      <c r="H1626" t="str">
        <f t="shared" si="50"/>
        <v>https://videplast.com.br/consulta-imobilizado?id=20000764&amp;nome=DESPESAS%20ADUANEIRAS%20NFE%2054351%20DE%20SCAE%20EUROPE%20NA</v>
      </c>
      <c r="I1626" t="e">
        <f t="shared" ca="1" si="51"/>
        <v>#NAME?</v>
      </c>
    </row>
    <row r="1627" spans="1:9" x14ac:dyDescent="0.25">
      <c r="A1627" s="2" t="s">
        <v>2655</v>
      </c>
      <c r="B1627" s="2" t="s">
        <v>625</v>
      </c>
      <c r="C1627" s="3">
        <v>45646</v>
      </c>
      <c r="D1627" t="s">
        <v>2670</v>
      </c>
      <c r="E1627" s="2" t="s">
        <v>12</v>
      </c>
      <c r="F1627" s="2" t="s">
        <v>12</v>
      </c>
      <c r="G1627" t="s">
        <v>2396</v>
      </c>
      <c r="H1627" t="str">
        <f t="shared" si="50"/>
        <v>https://videplast.com.br/consulta-imobilizado?id=20000764&amp;nome=RESISTENCIAS%204640W%20P/MAQ.WICKET%20SCAE</v>
      </c>
      <c r="I1627" t="e">
        <f t="shared" ca="1" si="51"/>
        <v>#NAME?</v>
      </c>
    </row>
    <row r="1628" spans="1:9" x14ac:dyDescent="0.25">
      <c r="A1628" s="2" t="s">
        <v>2655</v>
      </c>
      <c r="B1628" s="2" t="s">
        <v>681</v>
      </c>
      <c r="C1628" s="3">
        <v>45646</v>
      </c>
      <c r="D1628" t="s">
        <v>2671</v>
      </c>
      <c r="E1628" s="2" t="s">
        <v>12</v>
      </c>
      <c r="F1628" s="2" t="s">
        <v>12</v>
      </c>
      <c r="G1628" t="s">
        <v>2396</v>
      </c>
      <c r="H1628" t="str">
        <f t="shared" si="50"/>
        <v>https://videplast.com.br/consulta-imobilizado?id=20000764&amp;nome=CONVERSOR%20ELETR%20NIVEL%20U%20SUBITEM%20AA%20TOPO%20001%20TENSAO</v>
      </c>
      <c r="I1628" t="e">
        <f t="shared" ca="1" si="51"/>
        <v>#NAME?</v>
      </c>
    </row>
    <row r="1629" spans="1:9" x14ac:dyDescent="0.25">
      <c r="A1629" s="2" t="s">
        <v>2655</v>
      </c>
      <c r="B1629" s="2" t="s">
        <v>683</v>
      </c>
      <c r="C1629" s="3">
        <v>45646</v>
      </c>
      <c r="D1629" t="s">
        <v>2672</v>
      </c>
      <c r="E1629" s="2" t="s">
        <v>12</v>
      </c>
      <c r="F1629" s="2" t="s">
        <v>12</v>
      </c>
      <c r="G1629" t="s">
        <v>2396</v>
      </c>
      <c r="H1629" t="str">
        <f t="shared" si="50"/>
        <v>https://videplast.com.br/consulta-imobilizado?id=20000764&amp;nome=MANOMETRO%20DE%20AR%201/4%20P/MAQ.WICKET%20SCAE</v>
      </c>
      <c r="I1629" t="e">
        <f t="shared" ca="1" si="51"/>
        <v>#NAME?</v>
      </c>
    </row>
    <row r="1630" spans="1:9" x14ac:dyDescent="0.25">
      <c r="A1630" s="2" t="s">
        <v>2655</v>
      </c>
      <c r="B1630" s="2" t="s">
        <v>685</v>
      </c>
      <c r="C1630" s="3">
        <v>45646</v>
      </c>
      <c r="D1630" t="s">
        <v>2673</v>
      </c>
      <c r="E1630" s="2" t="s">
        <v>12</v>
      </c>
      <c r="F1630" s="2" t="s">
        <v>12</v>
      </c>
      <c r="G1630" t="s">
        <v>2396</v>
      </c>
      <c r="H1630" t="str">
        <f t="shared" si="50"/>
        <v>https://videplast.com.br/consulta-imobilizado?id=20000764&amp;nome=46%20FURADORES%20DE%20SACO%20PLASTICO%2010MM%20P/MAQ.WICKET</v>
      </c>
      <c r="I1630" t="e">
        <f t="shared" ca="1" si="51"/>
        <v>#NAME?</v>
      </c>
    </row>
    <row r="1631" spans="1:9" x14ac:dyDescent="0.25">
      <c r="A1631" s="2" t="s">
        <v>2655</v>
      </c>
      <c r="B1631" s="2" t="s">
        <v>627</v>
      </c>
      <c r="C1631" s="3">
        <v>45646</v>
      </c>
      <c r="D1631" t="s">
        <v>2674</v>
      </c>
      <c r="E1631" s="2" t="s">
        <v>12</v>
      </c>
      <c r="F1631" s="2" t="s">
        <v>12</v>
      </c>
      <c r="G1631" t="s">
        <v>2396</v>
      </c>
      <c r="H1631" t="str">
        <f t="shared" si="50"/>
        <v>https://videplast.com.br/consulta-imobilizado?id=20000764&amp;nome=40%20FURADORES%20DE%20SACO%20PLASTICO%2015MM%20P/MAQ.WICKET</v>
      </c>
      <c r="I1631" t="e">
        <f t="shared" ca="1" si="51"/>
        <v>#NAME?</v>
      </c>
    </row>
    <row r="1632" spans="1:9" x14ac:dyDescent="0.25">
      <c r="A1632" s="2" t="s">
        <v>2655</v>
      </c>
      <c r="B1632" s="2" t="s">
        <v>688</v>
      </c>
      <c r="C1632" s="3">
        <v>45646</v>
      </c>
      <c r="D1632" t="s">
        <v>2675</v>
      </c>
      <c r="E1632" s="2" t="s">
        <v>12</v>
      </c>
      <c r="F1632" s="2" t="s">
        <v>12</v>
      </c>
      <c r="G1632" t="s">
        <v>2396</v>
      </c>
      <c r="H1632" t="str">
        <f t="shared" si="50"/>
        <v>https://videplast.com.br/consulta-imobilizado?id=20000764&amp;nome=SERVICO%20DE%20TRANSPORTE,%20REFTE%20MAQ.%20WICKET%20P/%20PROD.</v>
      </c>
      <c r="I1632" t="e">
        <f t="shared" ca="1" si="51"/>
        <v>#NAME?</v>
      </c>
    </row>
    <row r="1633" spans="1:9" x14ac:dyDescent="0.25">
      <c r="A1633" s="2" t="s">
        <v>2655</v>
      </c>
      <c r="B1633" s="2" t="s">
        <v>629</v>
      </c>
      <c r="C1633" s="3">
        <v>45649</v>
      </c>
      <c r="D1633" t="s">
        <v>2676</v>
      </c>
      <c r="E1633" s="2" t="s">
        <v>12</v>
      </c>
      <c r="F1633" s="2" t="s">
        <v>12</v>
      </c>
      <c r="G1633" t="s">
        <v>2396</v>
      </c>
      <c r="H1633" t="str">
        <f t="shared" si="50"/>
        <v>https://videplast.com.br/consulta-imobilizado?id=20000764&amp;nome=BARRA%20ANTIESTATICA%20THUNDERION%20IQ%202.0%20SIMCO-ION</v>
      </c>
      <c r="I1633" t="e">
        <f t="shared" ca="1" si="51"/>
        <v>#NAME?</v>
      </c>
    </row>
    <row r="1634" spans="1:9" x14ac:dyDescent="0.25">
      <c r="A1634" s="2" t="s">
        <v>2655</v>
      </c>
      <c r="B1634" s="2" t="s">
        <v>691</v>
      </c>
      <c r="C1634" s="3">
        <v>45653</v>
      </c>
      <c r="D1634" t="s">
        <v>2676</v>
      </c>
      <c r="E1634" s="2" t="s">
        <v>12</v>
      </c>
      <c r="F1634" s="2" t="s">
        <v>12</v>
      </c>
      <c r="G1634" t="s">
        <v>2396</v>
      </c>
      <c r="H1634" t="str">
        <f t="shared" si="50"/>
        <v>https://videplast.com.br/consulta-imobilizado?id=20000764&amp;nome=BARRA%20ANTIESTATICA%20THUNDERION%20IQ%202.0%20SIMCO-ION</v>
      </c>
      <c r="I1634" t="e">
        <f t="shared" ca="1" si="51"/>
        <v>#NAME?</v>
      </c>
    </row>
    <row r="1635" spans="1:9" x14ac:dyDescent="0.25">
      <c r="A1635" s="2" t="s">
        <v>2677</v>
      </c>
      <c r="B1635" s="2" t="s">
        <v>10</v>
      </c>
      <c r="C1635" s="3">
        <v>40816</v>
      </c>
      <c r="D1635" t="s">
        <v>2678</v>
      </c>
      <c r="E1635" s="2" t="s">
        <v>12</v>
      </c>
      <c r="F1635" s="2" t="s">
        <v>12</v>
      </c>
      <c r="G1635" t="s">
        <v>2396</v>
      </c>
      <c r="H1635" t="str">
        <f t="shared" si="50"/>
        <v>https://videplast.com.br/consulta-imobilizado?id=21000310&amp;nome=SISTEMA%20DE%20ESTATISTICA%20P/O%20SETOR%20CORTE%20E%20SOLDA</v>
      </c>
      <c r="I1635" t="e">
        <f t="shared" ca="1" si="51"/>
        <v>#NAME?</v>
      </c>
    </row>
    <row r="1636" spans="1:9" x14ac:dyDescent="0.25">
      <c r="A1636" s="2" t="s">
        <v>2677</v>
      </c>
      <c r="B1636" s="2" t="s">
        <v>26</v>
      </c>
      <c r="C1636" s="3">
        <v>40816</v>
      </c>
      <c r="D1636" t="s">
        <v>2679</v>
      </c>
      <c r="E1636" s="2" t="s">
        <v>12</v>
      </c>
      <c r="F1636" s="2" t="s">
        <v>12</v>
      </c>
      <c r="G1636" t="s">
        <v>2396</v>
      </c>
      <c r="H1636" t="str">
        <f t="shared" si="50"/>
        <v>https://videplast.com.br/consulta-imobilizado?id=21000310&amp;nome=TERM.TUBULAR%20METRI.TM-150MM,%20LUVA%20EMENDA</v>
      </c>
      <c r="I1636" t="e">
        <f t="shared" ca="1" si="51"/>
        <v>#NAME?</v>
      </c>
    </row>
    <row r="1637" spans="1:9" x14ac:dyDescent="0.25">
      <c r="A1637" s="2" t="s">
        <v>2677</v>
      </c>
      <c r="B1637" s="2" t="s">
        <v>21</v>
      </c>
      <c r="C1637" s="3">
        <v>40816</v>
      </c>
      <c r="D1637" t="s">
        <v>2680</v>
      </c>
      <c r="E1637" s="2" t="s">
        <v>12</v>
      </c>
      <c r="F1637" s="2" t="s">
        <v>12</v>
      </c>
      <c r="G1637" t="s">
        <v>2396</v>
      </c>
      <c r="H1637" t="str">
        <f t="shared" si="50"/>
        <v>https://videplast.com.br/consulta-imobilizado?id=21000310&amp;nome=CABO%20FLEXIVEL%200,75%20MM</v>
      </c>
      <c r="I1637" t="e">
        <f t="shared" ca="1" si="51"/>
        <v>#NAME?</v>
      </c>
    </row>
    <row r="1638" spans="1:9" x14ac:dyDescent="0.25">
      <c r="A1638" s="2" t="s">
        <v>2677</v>
      </c>
      <c r="B1638" s="2" t="s">
        <v>29</v>
      </c>
      <c r="C1638" s="3">
        <v>40816</v>
      </c>
      <c r="D1638" t="s">
        <v>2681</v>
      </c>
      <c r="E1638" s="2" t="s">
        <v>12</v>
      </c>
      <c r="F1638" s="2" t="s">
        <v>12</v>
      </c>
      <c r="G1638" t="s">
        <v>2396</v>
      </c>
      <c r="H1638" t="str">
        <f t="shared" si="50"/>
        <v>https://videplast.com.br/consulta-imobilizado?id=21000310&amp;nome=PLACA%20DE%20REDE%20PCI-E%2010/100/1000</v>
      </c>
      <c r="I1638" t="e">
        <f t="shared" ca="1" si="51"/>
        <v>#NAME?</v>
      </c>
    </row>
    <row r="1639" spans="1:9" x14ac:dyDescent="0.25">
      <c r="A1639" s="2" t="s">
        <v>2677</v>
      </c>
      <c r="B1639" s="2" t="s">
        <v>31</v>
      </c>
      <c r="C1639" s="3">
        <v>40816</v>
      </c>
      <c r="D1639" t="s">
        <v>2682</v>
      </c>
      <c r="E1639" s="2" t="s">
        <v>12</v>
      </c>
      <c r="F1639" s="2" t="s">
        <v>12</v>
      </c>
      <c r="G1639" t="s">
        <v>2396</v>
      </c>
      <c r="H1639" t="str">
        <f t="shared" si="50"/>
        <v>https://videplast.com.br/consulta-imobilizado?id=21000310&amp;nome=JUN%20INT%20L%2038X38,%2040%20JUNC%20INT%20I,%20CT%20PARAF%20CAB</v>
      </c>
      <c r="I1639" t="e">
        <f t="shared" ca="1" si="51"/>
        <v>#NAME?</v>
      </c>
    </row>
    <row r="1640" spans="1:9" x14ac:dyDescent="0.25">
      <c r="A1640" s="2" t="s">
        <v>2677</v>
      </c>
      <c r="B1640" s="2" t="s">
        <v>33</v>
      </c>
      <c r="C1640" s="3">
        <v>40816</v>
      </c>
      <c r="D1640" t="s">
        <v>2683</v>
      </c>
      <c r="E1640" s="2" t="s">
        <v>12</v>
      </c>
      <c r="F1640" s="2" t="s">
        <v>12</v>
      </c>
      <c r="G1640" t="s">
        <v>2396</v>
      </c>
      <c r="H1640" t="str">
        <f t="shared" si="50"/>
        <v>https://videplast.com.br/consulta-imobilizado?id=21000310&amp;nome=EMENDA%20INTERNA%20PERF%2050X50,%2006%20MT%20DE%20TAMPA</v>
      </c>
      <c r="I1640" t="e">
        <f t="shared" ca="1" si="51"/>
        <v>#NAME?</v>
      </c>
    </row>
    <row r="1641" spans="1:9" x14ac:dyDescent="0.25">
      <c r="A1641" s="2" t="s">
        <v>2677</v>
      </c>
      <c r="B1641" s="2" t="s">
        <v>35</v>
      </c>
      <c r="C1641" s="3">
        <v>40816</v>
      </c>
      <c r="D1641" t="s">
        <v>2684</v>
      </c>
      <c r="E1641" s="2" t="s">
        <v>12</v>
      </c>
      <c r="F1641" s="2" t="s">
        <v>12</v>
      </c>
      <c r="G1641" t="s">
        <v>2396</v>
      </c>
      <c r="H1641" t="str">
        <f t="shared" si="50"/>
        <v>https://videplast.com.br/consulta-imobilizado?id=21000310&amp;nome=JUNCAO%20INTERNA%20L%2038X38%20GE,%20EMENDA</v>
      </c>
      <c r="I1641" t="e">
        <f t="shared" ca="1" si="51"/>
        <v>#NAME?</v>
      </c>
    </row>
    <row r="1642" spans="1:9" x14ac:dyDescent="0.25">
      <c r="A1642" s="2" t="s">
        <v>2677</v>
      </c>
      <c r="B1642" s="2" t="s">
        <v>37</v>
      </c>
      <c r="C1642" s="3">
        <v>40816</v>
      </c>
      <c r="D1642" t="s">
        <v>2685</v>
      </c>
      <c r="E1642" s="2" t="s">
        <v>12</v>
      </c>
      <c r="F1642" s="2" t="s">
        <v>12</v>
      </c>
      <c r="G1642" t="s">
        <v>2396</v>
      </c>
      <c r="H1642" t="str">
        <f t="shared" si="50"/>
        <v>https://videplast.com.br/consulta-imobilizado?id=21000310&amp;nome=TAMPA%2050%20MM%20P/%20ELETROCALHA</v>
      </c>
      <c r="I1642" t="e">
        <f t="shared" ca="1" si="51"/>
        <v>#NAME?</v>
      </c>
    </row>
    <row r="1643" spans="1:9" x14ac:dyDescent="0.25">
      <c r="A1643" s="2" t="s">
        <v>2677</v>
      </c>
      <c r="B1643" s="2" t="s">
        <v>39</v>
      </c>
      <c r="C1643" s="3">
        <v>40816</v>
      </c>
      <c r="D1643" t="s">
        <v>2686</v>
      </c>
      <c r="E1643" s="2" t="s">
        <v>12</v>
      </c>
      <c r="F1643" s="2" t="s">
        <v>12</v>
      </c>
      <c r="G1643" t="s">
        <v>2396</v>
      </c>
      <c r="H1643" t="str">
        <f t="shared" si="50"/>
        <v>https://videplast.com.br/consulta-imobilizado?id=21000310&amp;nome=EMENDA%20INTERNA%20PERFURADA%2050X50%20GE</v>
      </c>
      <c r="I1643" t="e">
        <f t="shared" ca="1" si="51"/>
        <v>#NAME?</v>
      </c>
    </row>
    <row r="1644" spans="1:9" x14ac:dyDescent="0.25">
      <c r="A1644" s="2" t="s">
        <v>2677</v>
      </c>
      <c r="B1644" s="2" t="s">
        <v>126</v>
      </c>
      <c r="C1644" s="3">
        <v>40816</v>
      </c>
      <c r="D1644" t="s">
        <v>2687</v>
      </c>
      <c r="E1644" s="2" t="s">
        <v>12</v>
      </c>
      <c r="F1644" s="2" t="s">
        <v>12</v>
      </c>
      <c r="G1644" t="s">
        <v>2396</v>
      </c>
      <c r="H1644" t="str">
        <f t="shared" si="50"/>
        <v>https://videplast.com.br/consulta-imobilizado?id=21000310&amp;nome=CABO%20USB%201,5%20MT%20X%20DB25%20PLUSCABLE</v>
      </c>
      <c r="I1644" t="e">
        <f t="shared" ca="1" si="51"/>
        <v>#NAME?</v>
      </c>
    </row>
    <row r="1645" spans="1:9" x14ac:dyDescent="0.25">
      <c r="A1645" s="2" t="s">
        <v>2677</v>
      </c>
      <c r="B1645" s="2" t="s">
        <v>127</v>
      </c>
      <c r="C1645" s="3">
        <v>40816</v>
      </c>
      <c r="D1645" t="s">
        <v>2688</v>
      </c>
      <c r="E1645" s="2" t="s">
        <v>12</v>
      </c>
      <c r="F1645" s="2" t="s">
        <v>12</v>
      </c>
      <c r="G1645" t="s">
        <v>2396</v>
      </c>
      <c r="H1645" t="str">
        <f t="shared" si="50"/>
        <v>https://videplast.com.br/consulta-imobilizado?id=21000310&amp;nome=ELETROCALHA%20PERFURA%20100X75-C</v>
      </c>
      <c r="I1645" t="e">
        <f t="shared" ca="1" si="51"/>
        <v>#NAME?</v>
      </c>
    </row>
    <row r="1646" spans="1:9" x14ac:dyDescent="0.25">
      <c r="A1646" s="2" t="s">
        <v>2677</v>
      </c>
      <c r="B1646" s="2" t="s">
        <v>128</v>
      </c>
      <c r="C1646" s="3">
        <v>40816</v>
      </c>
      <c r="D1646" t="s">
        <v>2689</v>
      </c>
      <c r="E1646" s="2" t="s">
        <v>12</v>
      </c>
      <c r="F1646" s="2" t="s">
        <v>12</v>
      </c>
      <c r="G1646" t="s">
        <v>2396</v>
      </c>
      <c r="H1646" t="str">
        <f t="shared" si="50"/>
        <v>https://videplast.com.br/consulta-imobilizado?id=21000310&amp;nome=PARAFUSO%20SEXTA%201/4"X%205/8"</v>
      </c>
      <c r="I1646" t="e">
        <f t="shared" ca="1" si="51"/>
        <v>#NAME?</v>
      </c>
    </row>
    <row r="1647" spans="1:9" x14ac:dyDescent="0.25">
      <c r="A1647" s="2" t="s">
        <v>2677</v>
      </c>
      <c r="B1647" s="2" t="s">
        <v>623</v>
      </c>
      <c r="C1647" s="3">
        <v>40816</v>
      </c>
      <c r="D1647" t="s">
        <v>2690</v>
      </c>
      <c r="E1647" s="2" t="s">
        <v>12</v>
      </c>
      <c r="F1647" s="2" t="s">
        <v>12</v>
      </c>
      <c r="G1647" t="s">
        <v>2396</v>
      </c>
      <c r="H1647" t="str">
        <f t="shared" si="50"/>
        <v>https://videplast.com.br/consulta-imobilizado?id=21000310&amp;nome=CABO%20275%20POLIRON%202X0,75MM%20300V%20E%20500M%20CABO%20475</v>
      </c>
      <c r="I1647" t="e">
        <f t="shared" ca="1" si="51"/>
        <v>#NAME?</v>
      </c>
    </row>
    <row r="1648" spans="1:9" x14ac:dyDescent="0.25">
      <c r="A1648" s="2" t="s">
        <v>2677</v>
      </c>
      <c r="B1648" s="2" t="s">
        <v>625</v>
      </c>
      <c r="C1648" s="3">
        <v>40816</v>
      </c>
      <c r="D1648" t="s">
        <v>2691</v>
      </c>
      <c r="E1648" s="2" t="s">
        <v>12</v>
      </c>
      <c r="F1648" s="2" t="s">
        <v>12</v>
      </c>
      <c r="G1648" t="s">
        <v>2396</v>
      </c>
      <c r="H1648" t="str">
        <f t="shared" si="50"/>
        <v>https://videplast.com.br/consulta-imobilizado?id=21000310&amp;nome=CABO%20SHIELD%20275%20POLIRON%202X0,75MM%20300V</v>
      </c>
      <c r="I1648" t="e">
        <f t="shared" ca="1" si="51"/>
        <v>#NAME?</v>
      </c>
    </row>
    <row r="1649" spans="1:9" x14ac:dyDescent="0.25">
      <c r="A1649" s="2" t="s">
        <v>2677</v>
      </c>
      <c r="B1649" s="2" t="s">
        <v>681</v>
      </c>
      <c r="C1649" s="3">
        <v>40816</v>
      </c>
      <c r="D1649" t="s">
        <v>2692</v>
      </c>
      <c r="E1649" s="2" t="s">
        <v>12</v>
      </c>
      <c r="F1649" s="2" t="s">
        <v>12</v>
      </c>
      <c r="G1649" t="s">
        <v>2396</v>
      </c>
      <c r="H1649" t="str">
        <f t="shared" si="50"/>
        <v>https://videplast.com.br/consulta-imobilizado?id=21000310&amp;nome=CABO%20SHIELD%20475%20POLIRON%204X0,75MM%20300V</v>
      </c>
      <c r="I1649" t="e">
        <f t="shared" ca="1" si="51"/>
        <v>#NAME?</v>
      </c>
    </row>
    <row r="1650" spans="1:9" x14ac:dyDescent="0.25">
      <c r="A1650" s="2" t="s">
        <v>2677</v>
      </c>
      <c r="B1650" s="2" t="s">
        <v>683</v>
      </c>
      <c r="C1650" s="3">
        <v>40847</v>
      </c>
      <c r="D1650" t="s">
        <v>2693</v>
      </c>
      <c r="E1650" s="2" t="s">
        <v>12</v>
      </c>
      <c r="F1650" s="2" t="s">
        <v>12</v>
      </c>
      <c r="G1650" t="s">
        <v>2396</v>
      </c>
      <c r="H1650" t="str">
        <f t="shared" si="50"/>
        <v>https://videplast.com.br/consulta-imobilizado?id=21000310&amp;nome=EMENDA%20INTERNA%20PERFURADA%2050X50</v>
      </c>
      <c r="I1650" t="e">
        <f t="shared" ca="1" si="51"/>
        <v>#NAME?</v>
      </c>
    </row>
    <row r="1651" spans="1:9" x14ac:dyDescent="0.25">
      <c r="A1651" s="2" t="s">
        <v>2694</v>
      </c>
      <c r="B1651" s="2" t="s">
        <v>10</v>
      </c>
      <c r="C1651" s="3">
        <v>40999</v>
      </c>
      <c r="D1651" t="s">
        <v>846</v>
      </c>
      <c r="E1651" s="2" t="s">
        <v>12</v>
      </c>
      <c r="F1651" s="2" t="s">
        <v>12</v>
      </c>
      <c r="G1651" t="s">
        <v>2396</v>
      </c>
      <c r="H1651" t="str">
        <f t="shared" si="50"/>
        <v>https://videplast.com.br/consulta-imobilizado?id=21000317&amp;nome=IMPRESSOR%20TERMICO%20TP-80-B</v>
      </c>
      <c r="I1651" t="e">
        <f t="shared" ca="1" si="51"/>
        <v>#NAME?</v>
      </c>
    </row>
    <row r="1652" spans="1:9" x14ac:dyDescent="0.25">
      <c r="A1652" s="2" t="s">
        <v>2695</v>
      </c>
      <c r="B1652" s="2" t="s">
        <v>10</v>
      </c>
      <c r="C1652" s="3">
        <v>40786</v>
      </c>
      <c r="D1652" t="s">
        <v>2696</v>
      </c>
      <c r="E1652" s="2" t="s">
        <v>12</v>
      </c>
      <c r="F1652" s="2" t="s">
        <v>12</v>
      </c>
      <c r="G1652" t="s">
        <v>2396</v>
      </c>
      <c r="H1652" t="str">
        <f t="shared" si="50"/>
        <v>https://videplast.com.br/consulta-imobilizado?id=21000338&amp;nome=IMPRESSOR%20TERMICO%20FILIZOLA</v>
      </c>
      <c r="I1652" t="e">
        <f t="shared" ca="1" si="51"/>
        <v>#NAME?</v>
      </c>
    </row>
    <row r="1653" spans="1:9" x14ac:dyDescent="0.25">
      <c r="A1653" s="2" t="s">
        <v>2697</v>
      </c>
      <c r="B1653" s="2" t="s">
        <v>10</v>
      </c>
      <c r="C1653" s="3">
        <v>40786</v>
      </c>
      <c r="D1653" t="s">
        <v>2698</v>
      </c>
      <c r="E1653" s="2" t="s">
        <v>12</v>
      </c>
      <c r="F1653" s="2" t="s">
        <v>12</v>
      </c>
      <c r="G1653" t="s">
        <v>2396</v>
      </c>
      <c r="H1653" t="str">
        <f t="shared" si="50"/>
        <v>https://videplast.com.br/consulta-imobilizado?id=21000339&amp;nome=BALANCA%20ACO%20CARBONO%20BT%20006%20100KG</v>
      </c>
      <c r="I1653" t="e">
        <f t="shared" ca="1" si="51"/>
        <v>#NAME?</v>
      </c>
    </row>
    <row r="1654" spans="1:9" x14ac:dyDescent="0.25">
      <c r="A1654" s="2" t="s">
        <v>2699</v>
      </c>
      <c r="B1654" s="2" t="s">
        <v>10</v>
      </c>
      <c r="C1654" s="3">
        <v>41517</v>
      </c>
      <c r="D1654" t="s">
        <v>130</v>
      </c>
      <c r="E1654" s="2" t="s">
        <v>2700</v>
      </c>
      <c r="F1654" s="2" t="s">
        <v>12</v>
      </c>
      <c r="G1654" t="s">
        <v>2396</v>
      </c>
      <c r="H1654" t="str">
        <f t="shared" si="50"/>
        <v>https://videplast.com.br/consulta-imobilizado?id=21000355&amp;nome=IMPRESSOR%20TERMICOS%20ZEBRAGC%20420%20203%20DPI%20COM%20PEEL%20OF</v>
      </c>
      <c r="I1654" t="e">
        <f t="shared" ca="1" si="51"/>
        <v>#NAME?</v>
      </c>
    </row>
    <row r="1655" spans="1:9" x14ac:dyDescent="0.25">
      <c r="A1655" s="2" t="s">
        <v>2699</v>
      </c>
      <c r="B1655" s="2" t="s">
        <v>26</v>
      </c>
      <c r="C1655" s="3">
        <v>41517</v>
      </c>
      <c r="D1655" t="s">
        <v>130</v>
      </c>
      <c r="E1655" s="2" t="s">
        <v>2701</v>
      </c>
      <c r="F1655" s="2" t="s">
        <v>12</v>
      </c>
      <c r="G1655" t="s">
        <v>2396</v>
      </c>
      <c r="H1655" t="str">
        <f t="shared" si="50"/>
        <v>https://videplast.com.br/consulta-imobilizado?id=21000355&amp;nome=IMPRESSOR%20TERMICOS%20ZEBRAGC%20420%20203%20DPI%20COM%20PEEL%20OF</v>
      </c>
      <c r="I1655" t="e">
        <f t="shared" ca="1" si="51"/>
        <v>#NAME?</v>
      </c>
    </row>
    <row r="1656" spans="1:9" x14ac:dyDescent="0.25">
      <c r="A1656" s="2" t="s">
        <v>129</v>
      </c>
      <c r="B1656" s="2" t="s">
        <v>10</v>
      </c>
      <c r="C1656" s="3">
        <v>41517</v>
      </c>
      <c r="D1656" t="s">
        <v>130</v>
      </c>
      <c r="E1656" s="2" t="s">
        <v>2702</v>
      </c>
      <c r="F1656" s="2" t="s">
        <v>12</v>
      </c>
      <c r="G1656" t="s">
        <v>2396</v>
      </c>
      <c r="H1656" t="str">
        <f t="shared" si="50"/>
        <v>https://videplast.com.br/consulta-imobilizado?id=21000356&amp;nome=IMPRESSOR%20TERMICOS%20ZEBRAGC%20420%20203%20DPI%20COM%20PEEL%20OF</v>
      </c>
      <c r="I1656" t="e">
        <f t="shared" ca="1" si="51"/>
        <v>#NAME?</v>
      </c>
    </row>
    <row r="1657" spans="1:9" x14ac:dyDescent="0.25">
      <c r="A1657" s="2" t="s">
        <v>129</v>
      </c>
      <c r="B1657" s="2" t="s">
        <v>21</v>
      </c>
      <c r="C1657" s="3">
        <v>41517</v>
      </c>
      <c r="D1657" t="s">
        <v>130</v>
      </c>
      <c r="E1657" s="2" t="s">
        <v>2703</v>
      </c>
      <c r="F1657" s="2" t="s">
        <v>12</v>
      </c>
      <c r="G1657" t="s">
        <v>2396</v>
      </c>
      <c r="H1657" t="str">
        <f t="shared" si="50"/>
        <v>https://videplast.com.br/consulta-imobilizado?id=21000356&amp;nome=IMPRESSOR%20TERMICOS%20ZEBRAGC%20420%20203%20DPI%20COM%20PEEL%20OF</v>
      </c>
      <c r="I1657" t="e">
        <f t="shared" ca="1" si="51"/>
        <v>#NAME?</v>
      </c>
    </row>
    <row r="1658" spans="1:9" x14ac:dyDescent="0.25">
      <c r="A1658" s="2" t="s">
        <v>2704</v>
      </c>
      <c r="B1658" s="2" t="s">
        <v>10</v>
      </c>
      <c r="C1658" s="3">
        <v>41517</v>
      </c>
      <c r="D1658" t="s">
        <v>2705</v>
      </c>
      <c r="E1658" s="2" t="s">
        <v>2706</v>
      </c>
      <c r="F1658" s="2" t="s">
        <v>12</v>
      </c>
      <c r="G1658" t="s">
        <v>2396</v>
      </c>
      <c r="H1658" t="str">
        <f t="shared" si="50"/>
        <v>https://videplast.com.br/consulta-imobilizado?id=21000357&amp;nome=BLANCA%20ACO%20CARBONO%20BT%20009%20300KG</v>
      </c>
      <c r="I1658" t="e">
        <f t="shared" ca="1" si="51"/>
        <v>#NAME?</v>
      </c>
    </row>
    <row r="1659" spans="1:9" x14ac:dyDescent="0.25">
      <c r="A1659" s="2" t="s">
        <v>2707</v>
      </c>
      <c r="B1659" s="2" t="s">
        <v>26</v>
      </c>
      <c r="C1659" s="3">
        <v>41547</v>
      </c>
      <c r="D1659" t="s">
        <v>2708</v>
      </c>
      <c r="E1659" s="2" t="s">
        <v>2709</v>
      </c>
      <c r="F1659" s="2" t="s">
        <v>12</v>
      </c>
      <c r="G1659" t="s">
        <v>2396</v>
      </c>
      <c r="H1659" t="str">
        <f t="shared" si="50"/>
        <v>https://videplast.com.br/consulta-imobilizado?id=21000359&amp;nome=ZEBRA%20IMPRESSORA%20GC420%20203DPI%20COM%20PEEL%20OFF,%20P/O</v>
      </c>
      <c r="I1659" t="e">
        <f t="shared" ca="1" si="51"/>
        <v>#NAME?</v>
      </c>
    </row>
    <row r="1660" spans="1:9" x14ac:dyDescent="0.25">
      <c r="A1660" s="2" t="s">
        <v>2707</v>
      </c>
      <c r="B1660" s="2" t="s">
        <v>21</v>
      </c>
      <c r="C1660" s="3">
        <v>41547</v>
      </c>
      <c r="D1660" t="s">
        <v>2710</v>
      </c>
      <c r="E1660" s="2" t="s">
        <v>2711</v>
      </c>
      <c r="F1660" s="2" t="s">
        <v>12</v>
      </c>
      <c r="G1660" t="s">
        <v>2396</v>
      </c>
      <c r="H1660" t="str">
        <f t="shared" si="50"/>
        <v>https://videplast.com.br/consulta-imobilizado?id=21000359&amp;nome=IMPRESSORA%20ZEBRA%20GC420%20203DPI%20COM%20PEEL%20OFF</v>
      </c>
      <c r="I1660" t="e">
        <f t="shared" ca="1" si="51"/>
        <v>#NAME?</v>
      </c>
    </row>
    <row r="1661" spans="1:9" x14ac:dyDescent="0.25">
      <c r="A1661" s="2" t="s">
        <v>2712</v>
      </c>
      <c r="B1661" s="2" t="s">
        <v>10</v>
      </c>
      <c r="C1661" s="3">
        <v>41578</v>
      </c>
      <c r="D1661" t="s">
        <v>2713</v>
      </c>
      <c r="E1661" s="2" t="s">
        <v>2714</v>
      </c>
      <c r="F1661" s="2" t="s">
        <v>12</v>
      </c>
      <c r="G1661" t="s">
        <v>2396</v>
      </c>
      <c r="H1661" t="str">
        <f t="shared" si="50"/>
        <v>https://videplast.com.br/consulta-imobilizado?id=21000360&amp;nome=BALANCA%20ACO%20CARBONO%20BT%20008%20200%20KG</v>
      </c>
      <c r="I1661" t="e">
        <f t="shared" ca="1" si="51"/>
        <v>#NAME?</v>
      </c>
    </row>
    <row r="1662" spans="1:9" x14ac:dyDescent="0.25">
      <c r="A1662" s="2" t="s">
        <v>2712</v>
      </c>
      <c r="B1662" s="2" t="s">
        <v>26</v>
      </c>
      <c r="C1662" s="3">
        <v>41578</v>
      </c>
      <c r="D1662" t="s">
        <v>2715</v>
      </c>
      <c r="E1662" s="2" t="s">
        <v>12</v>
      </c>
      <c r="F1662" s="2" t="s">
        <v>12</v>
      </c>
      <c r="G1662" t="s">
        <v>2396</v>
      </c>
      <c r="H1662" t="str">
        <f t="shared" si="50"/>
        <v>https://videplast.com.br/consulta-imobilizado?id=21000360&amp;nome=MODULO%20INDICADOR%20P/O%20SETOR%20DE%20CORTE%20E%20SOLDA</v>
      </c>
      <c r="I1662" t="e">
        <f t="shared" ca="1" si="51"/>
        <v>#NAME?</v>
      </c>
    </row>
    <row r="1663" spans="1:9" x14ac:dyDescent="0.25">
      <c r="A1663" s="2" t="s">
        <v>2716</v>
      </c>
      <c r="B1663" s="2" t="s">
        <v>10</v>
      </c>
      <c r="C1663" s="3">
        <v>41578</v>
      </c>
      <c r="D1663" t="s">
        <v>2713</v>
      </c>
      <c r="E1663" s="2" t="s">
        <v>2717</v>
      </c>
      <c r="F1663" s="2" t="s">
        <v>12</v>
      </c>
      <c r="G1663" t="s">
        <v>2396</v>
      </c>
      <c r="H1663" t="str">
        <f t="shared" si="50"/>
        <v>https://videplast.com.br/consulta-imobilizado?id=21000361&amp;nome=BALANCA%20ACO%20CARBONO%20BT%20008%20200%20KG</v>
      </c>
      <c r="I1663" t="e">
        <f t="shared" ca="1" si="51"/>
        <v>#NAME?</v>
      </c>
    </row>
    <row r="1664" spans="1:9" x14ac:dyDescent="0.25">
      <c r="A1664" s="2" t="s">
        <v>2716</v>
      </c>
      <c r="B1664" s="2" t="s">
        <v>26</v>
      </c>
      <c r="C1664" s="3">
        <v>41578</v>
      </c>
      <c r="D1664" t="s">
        <v>2715</v>
      </c>
      <c r="E1664" s="2" t="s">
        <v>12</v>
      </c>
      <c r="F1664" s="2" t="s">
        <v>12</v>
      </c>
      <c r="G1664" t="s">
        <v>2396</v>
      </c>
      <c r="H1664" t="str">
        <f t="shared" si="50"/>
        <v>https://videplast.com.br/consulta-imobilizado?id=21000361&amp;nome=MODULO%20INDICADOR%20P/O%20SETOR%20DE%20CORTE%20E%20SOLDA</v>
      </c>
      <c r="I1664" t="e">
        <f t="shared" ca="1" si="51"/>
        <v>#NAME?</v>
      </c>
    </row>
    <row r="1665" spans="1:9" x14ac:dyDescent="0.25">
      <c r="A1665" s="2" t="s">
        <v>2718</v>
      </c>
      <c r="B1665" s="2" t="s">
        <v>10</v>
      </c>
      <c r="C1665" s="3">
        <v>41578</v>
      </c>
      <c r="D1665" t="s">
        <v>2719</v>
      </c>
      <c r="E1665" s="2" t="s">
        <v>12</v>
      </c>
      <c r="F1665" s="2" t="s">
        <v>12</v>
      </c>
      <c r="G1665" t="s">
        <v>2396</v>
      </c>
      <c r="H1665" t="str">
        <f t="shared" si="50"/>
        <v>https://videplast.com.br/consulta-imobilizado?id=21000364&amp;nome=CHAPAS%20PRETAS%20650X1050%20E%20180X850</v>
      </c>
      <c r="I1665" t="e">
        <f t="shared" ca="1" si="51"/>
        <v>#NAME?</v>
      </c>
    </row>
    <row r="1666" spans="1:9" x14ac:dyDescent="0.25">
      <c r="A1666" s="2" t="s">
        <v>2720</v>
      </c>
      <c r="B1666" s="2" t="s">
        <v>10</v>
      </c>
      <c r="C1666" s="3">
        <v>41670</v>
      </c>
      <c r="D1666" t="s">
        <v>2721</v>
      </c>
      <c r="E1666" s="2" t="s">
        <v>2722</v>
      </c>
      <c r="F1666" s="2" t="s">
        <v>12</v>
      </c>
      <c r="G1666" t="s">
        <v>2396</v>
      </c>
      <c r="H1666" t="str">
        <f t="shared" ref="H1666:H1729" si="52" xml:space="preserve"> "https://videplast.com.br/consulta-imobilizado?id=" &amp; A1666 &amp; "&amp;nome=" &amp; SUBSTITUTE(D1666, " ", "%20")</f>
        <v>https://videplast.com.br/consulta-imobilizado?id=21000366&amp;nome=IMPRESSOR%20TERMICO%20ZEBRA%20GC420%20203%20DPI%20COM%20PEEL%20OFF</v>
      </c>
      <c r="I1666" t="e">
        <f t="shared" ref="I1666:I1729" ca="1" si="53">_xlfn.IMAGE("https://chart.googleapis.com/chart?chs=150x150&amp;cht=qr&amp;chl=" &amp; H1666)</f>
        <v>#NAME?</v>
      </c>
    </row>
    <row r="1667" spans="1:9" x14ac:dyDescent="0.25">
      <c r="A1667" s="2" t="s">
        <v>2723</v>
      </c>
      <c r="B1667" s="2" t="s">
        <v>10</v>
      </c>
      <c r="C1667" s="3">
        <v>41670</v>
      </c>
      <c r="D1667" t="s">
        <v>2721</v>
      </c>
      <c r="E1667" s="2" t="s">
        <v>2724</v>
      </c>
      <c r="F1667" s="2" t="s">
        <v>12</v>
      </c>
      <c r="G1667" t="s">
        <v>2396</v>
      </c>
      <c r="H1667" t="str">
        <f t="shared" si="52"/>
        <v>https://videplast.com.br/consulta-imobilizado?id=21000367&amp;nome=IMPRESSOR%20TERMICO%20ZEBRA%20GC420%20203%20DPI%20COM%20PEEL%20OFF</v>
      </c>
      <c r="I1667" t="e">
        <f t="shared" ca="1" si="53"/>
        <v>#NAME?</v>
      </c>
    </row>
    <row r="1668" spans="1:9" x14ac:dyDescent="0.25">
      <c r="A1668" s="2" t="s">
        <v>147</v>
      </c>
      <c r="B1668" s="2" t="s">
        <v>21</v>
      </c>
      <c r="C1668" s="3">
        <v>41882</v>
      </c>
      <c r="D1668" t="s">
        <v>148</v>
      </c>
      <c r="E1668" s="2" t="s">
        <v>2725</v>
      </c>
      <c r="F1668" s="2" t="s">
        <v>12</v>
      </c>
      <c r="G1668" t="s">
        <v>2396</v>
      </c>
      <c r="H1668" t="str">
        <f t="shared" si="52"/>
        <v>https://videplast.com.br/consulta-imobilizado?id=21000387&amp;nome=CARRO%20HIDRAULICO%20TM%202220%20680X1150%20SIMPLES%20NYLON</v>
      </c>
      <c r="I1668" t="e">
        <f t="shared" ca="1" si="53"/>
        <v>#NAME?</v>
      </c>
    </row>
    <row r="1669" spans="1:9" x14ac:dyDescent="0.25">
      <c r="A1669" s="2" t="s">
        <v>2726</v>
      </c>
      <c r="B1669" s="2" t="s">
        <v>10</v>
      </c>
      <c r="C1669" s="3">
        <v>41973</v>
      </c>
      <c r="D1669" t="s">
        <v>2721</v>
      </c>
      <c r="E1669" s="2" t="s">
        <v>2727</v>
      </c>
      <c r="F1669" s="2" t="s">
        <v>12</v>
      </c>
      <c r="G1669" t="s">
        <v>2396</v>
      </c>
      <c r="H1669" t="str">
        <f t="shared" si="52"/>
        <v>https://videplast.com.br/consulta-imobilizado?id=21000400&amp;nome=IMPRESSOR%20TERMICO%20ZEBRA%20GC420%20203%20DPI%20COM%20PEEL%20OFF</v>
      </c>
      <c r="I1669" t="e">
        <f t="shared" ca="1" si="53"/>
        <v>#NAME?</v>
      </c>
    </row>
    <row r="1670" spans="1:9" x14ac:dyDescent="0.25">
      <c r="A1670" s="2" t="s">
        <v>2728</v>
      </c>
      <c r="B1670" s="2" t="s">
        <v>10</v>
      </c>
      <c r="C1670" s="3">
        <v>38663</v>
      </c>
      <c r="D1670" t="s">
        <v>2729</v>
      </c>
      <c r="E1670" s="2" t="s">
        <v>12</v>
      </c>
      <c r="F1670" s="2" t="s">
        <v>12</v>
      </c>
      <c r="G1670" t="s">
        <v>2396</v>
      </c>
      <c r="H1670" t="str">
        <f t="shared" si="52"/>
        <v>https://videplast.com.br/consulta-imobilizado?id=21000425&amp;nome=PERFURADORES%20DE%20BORDA%20WICKET</v>
      </c>
      <c r="I1670" t="e">
        <f t="shared" ca="1" si="53"/>
        <v>#NAME?</v>
      </c>
    </row>
    <row r="1671" spans="1:9" x14ac:dyDescent="0.25">
      <c r="A1671" s="2" t="s">
        <v>2730</v>
      </c>
      <c r="B1671" s="2" t="s">
        <v>10</v>
      </c>
      <c r="C1671" s="3">
        <v>38915</v>
      </c>
      <c r="D1671" t="s">
        <v>2731</v>
      </c>
      <c r="E1671" s="2" t="s">
        <v>12</v>
      </c>
      <c r="F1671" s="2" t="s">
        <v>12</v>
      </c>
      <c r="G1671" t="s">
        <v>2396</v>
      </c>
      <c r="H1671" t="str">
        <f t="shared" si="52"/>
        <v>https://videplast.com.br/consulta-imobilizado?id=21000448&amp;nome=100M%20DE%20CABO%20P/NOVA%20MAQ.P/O%20SETOR%20DE%20CORTE%20E%20SOLDA</v>
      </c>
      <c r="I1671" t="e">
        <f t="shared" ca="1" si="53"/>
        <v>#NAME?</v>
      </c>
    </row>
    <row r="1672" spans="1:9" x14ac:dyDescent="0.25">
      <c r="A1672" s="2" t="s">
        <v>2732</v>
      </c>
      <c r="B1672" s="2" t="s">
        <v>10</v>
      </c>
      <c r="C1672" s="3">
        <v>39214</v>
      </c>
      <c r="D1672" t="s">
        <v>2733</v>
      </c>
      <c r="E1672" s="2" t="s">
        <v>12</v>
      </c>
      <c r="F1672" s="2" t="s">
        <v>12</v>
      </c>
      <c r="G1672" t="s">
        <v>2396</v>
      </c>
      <c r="H1672" t="str">
        <f t="shared" si="52"/>
        <v>https://videplast.com.br/consulta-imobilizado?id=21000484&amp;nome=KIT%20SC700%20II%20P/APLICADOR%20INTERMITENTE%20CORTAR%20PLAST</v>
      </c>
      <c r="I1672" t="e">
        <f t="shared" ca="1" si="53"/>
        <v>#NAME?</v>
      </c>
    </row>
    <row r="1673" spans="1:9" x14ac:dyDescent="0.25">
      <c r="A1673" s="2" t="s">
        <v>2732</v>
      </c>
      <c r="B1673" s="2" t="s">
        <v>26</v>
      </c>
      <c r="C1673" s="3">
        <v>39214</v>
      </c>
      <c r="D1673" t="s">
        <v>2734</v>
      </c>
      <c r="E1673" s="2" t="s">
        <v>12</v>
      </c>
      <c r="F1673" s="2" t="s">
        <v>12</v>
      </c>
      <c r="G1673" t="s">
        <v>2396</v>
      </c>
      <c r="H1673" t="str">
        <f t="shared" si="52"/>
        <v>https://videplast.com.br/consulta-imobilizado?id=21000484&amp;nome=APLICADOR%20INTERMITENTE%20P/%20CORTAR%20E%20COLAR%20PLASTICO</v>
      </c>
      <c r="I1673" t="e">
        <f t="shared" ca="1" si="53"/>
        <v>#NAME?</v>
      </c>
    </row>
    <row r="1674" spans="1:9" x14ac:dyDescent="0.25">
      <c r="A1674" s="2" t="s">
        <v>2732</v>
      </c>
      <c r="B1674" s="2" t="s">
        <v>21</v>
      </c>
      <c r="C1674" s="3">
        <v>39214</v>
      </c>
      <c r="D1674" t="s">
        <v>2735</v>
      </c>
      <c r="E1674" s="2" t="s">
        <v>12</v>
      </c>
      <c r="F1674" s="2" t="s">
        <v>12</v>
      </c>
      <c r="G1674" t="s">
        <v>2396</v>
      </c>
      <c r="H1674" t="str">
        <f t="shared" si="52"/>
        <v>https://videplast.com.br/consulta-imobilizado?id=21000484&amp;nome=ESMAGADOR%20DE%20ZIPER</v>
      </c>
      <c r="I1674" t="e">
        <f t="shared" ca="1" si="53"/>
        <v>#NAME?</v>
      </c>
    </row>
    <row r="1675" spans="1:9" x14ac:dyDescent="0.25">
      <c r="A1675" s="2" t="s">
        <v>2736</v>
      </c>
      <c r="B1675" s="2" t="s">
        <v>10</v>
      </c>
      <c r="C1675" s="3">
        <v>39262</v>
      </c>
      <c r="D1675" t="s">
        <v>352</v>
      </c>
      <c r="E1675" s="2" t="s">
        <v>2737</v>
      </c>
      <c r="F1675" s="2" t="s">
        <v>12</v>
      </c>
      <c r="G1675" t="s">
        <v>2396</v>
      </c>
      <c r="H1675" t="str">
        <f t="shared" si="52"/>
        <v>https://videplast.com.br/consulta-imobilizado?id=21000487&amp;nome=PALETEIRA%20MANUAL%202500%20KG%20M25</v>
      </c>
      <c r="I1675" t="e">
        <f t="shared" ca="1" si="53"/>
        <v>#NAME?</v>
      </c>
    </row>
    <row r="1676" spans="1:9" x14ac:dyDescent="0.25">
      <c r="A1676" s="2" t="s">
        <v>2738</v>
      </c>
      <c r="B1676" s="2" t="s">
        <v>10</v>
      </c>
      <c r="C1676" s="3">
        <v>39429</v>
      </c>
      <c r="D1676" t="s">
        <v>2739</v>
      </c>
      <c r="E1676" s="2" t="s">
        <v>12</v>
      </c>
      <c r="F1676" s="2" t="s">
        <v>12</v>
      </c>
      <c r="G1676" t="s">
        <v>2396</v>
      </c>
      <c r="H1676" t="str">
        <f t="shared" si="52"/>
        <v>https://videplast.com.br/consulta-imobilizado?id=21000514&amp;nome=EMPILHADEIRAS%20HIDRAULICAS%20MANUAL%20LM%20516</v>
      </c>
      <c r="I1676" t="e">
        <f t="shared" ca="1" si="53"/>
        <v>#NAME?</v>
      </c>
    </row>
    <row r="1677" spans="1:9" x14ac:dyDescent="0.25">
      <c r="A1677" s="2" t="s">
        <v>2740</v>
      </c>
      <c r="B1677" s="2" t="s">
        <v>10</v>
      </c>
      <c r="C1677" s="3">
        <v>39522</v>
      </c>
      <c r="D1677" t="s">
        <v>2741</v>
      </c>
      <c r="E1677" s="2" t="s">
        <v>12</v>
      </c>
      <c r="F1677" s="2" t="s">
        <v>12</v>
      </c>
      <c r="G1677" t="s">
        <v>2396</v>
      </c>
      <c r="H1677" t="str">
        <f t="shared" si="52"/>
        <v>https://videplast.com.br/consulta-imobilizado?id=21000538&amp;nome=BALANCA%20TOLEDO%20ELETRICA%20PRIX%203%2015%20KG</v>
      </c>
      <c r="I1677" t="e">
        <f t="shared" ca="1" si="53"/>
        <v>#NAME?</v>
      </c>
    </row>
    <row r="1678" spans="1:9" x14ac:dyDescent="0.25">
      <c r="A1678" s="2" t="s">
        <v>2742</v>
      </c>
      <c r="B1678" s="2" t="s">
        <v>10</v>
      </c>
      <c r="C1678" s="3">
        <v>39629</v>
      </c>
      <c r="D1678" t="s">
        <v>2743</v>
      </c>
      <c r="E1678" s="2" t="s">
        <v>12</v>
      </c>
      <c r="F1678" s="2" t="s">
        <v>12</v>
      </c>
      <c r="G1678" t="s">
        <v>2396</v>
      </c>
      <c r="H1678" t="str">
        <f t="shared" si="52"/>
        <v>https://videplast.com.br/consulta-imobilizado?id=21000566&amp;nome=BALANCA%20TRENTIN%20BT%200007%20150KG</v>
      </c>
      <c r="I1678" t="e">
        <f t="shared" ca="1" si="53"/>
        <v>#NAME?</v>
      </c>
    </row>
    <row r="1679" spans="1:9" x14ac:dyDescent="0.25">
      <c r="A1679" s="2" t="s">
        <v>2744</v>
      </c>
      <c r="B1679" s="2" t="s">
        <v>10</v>
      </c>
      <c r="C1679" s="3">
        <v>39688</v>
      </c>
      <c r="D1679" t="s">
        <v>2745</v>
      </c>
      <c r="E1679" s="2" t="s">
        <v>12</v>
      </c>
      <c r="F1679" s="2" t="s">
        <v>12</v>
      </c>
      <c r="G1679" t="s">
        <v>2396</v>
      </c>
      <c r="H1679" t="str">
        <f t="shared" si="52"/>
        <v>https://videplast.com.br/consulta-imobilizado?id=21000573&amp;nome=90M%20DE%20CABO%20P/O%20SETOR%20DE%20CORTE%20E%20SOLDA%20DA%20FABRICA</v>
      </c>
      <c r="I1679" t="e">
        <f t="shared" ca="1" si="53"/>
        <v>#NAME?</v>
      </c>
    </row>
    <row r="1680" spans="1:9" x14ac:dyDescent="0.25">
      <c r="A1680" s="2" t="s">
        <v>2746</v>
      </c>
      <c r="B1680" s="2" t="s">
        <v>10</v>
      </c>
      <c r="C1680" s="3">
        <v>39959</v>
      </c>
      <c r="D1680" t="s">
        <v>2747</v>
      </c>
      <c r="E1680" s="2" t="s">
        <v>12</v>
      </c>
      <c r="F1680" s="2" t="s">
        <v>12</v>
      </c>
      <c r="G1680" t="s">
        <v>2396</v>
      </c>
      <c r="H1680" t="str">
        <f t="shared" si="52"/>
        <v>https://videplast.com.br/consulta-imobilizado?id=21000599&amp;nome=105%20M%20DE%20CABO%20MULTIF%20P/O%20SETOR%20DE%20CORTE%20E%20SOLDA</v>
      </c>
      <c r="I1680" t="e">
        <f t="shared" ca="1" si="53"/>
        <v>#NAME?</v>
      </c>
    </row>
    <row r="1681" spans="1:9" x14ac:dyDescent="0.25">
      <c r="A1681" s="2" t="s">
        <v>2748</v>
      </c>
      <c r="B1681" s="2" t="s">
        <v>10</v>
      </c>
      <c r="C1681" s="3">
        <v>40049</v>
      </c>
      <c r="D1681" t="s">
        <v>2749</v>
      </c>
      <c r="E1681" s="2" t="s">
        <v>12</v>
      </c>
      <c r="F1681" s="2" t="s">
        <v>12</v>
      </c>
      <c r="G1681" t="s">
        <v>2396</v>
      </c>
      <c r="H1681" t="str">
        <f t="shared" si="52"/>
        <v>https://videplast.com.br/consulta-imobilizado?id=21000604&amp;nome=SOLDA%20LATERAL%20RETA%20SCW-700</v>
      </c>
      <c r="I1681" t="e">
        <f t="shared" ca="1" si="53"/>
        <v>#NAME?</v>
      </c>
    </row>
    <row r="1682" spans="1:9" x14ac:dyDescent="0.25">
      <c r="A1682" s="2" t="s">
        <v>2750</v>
      </c>
      <c r="B1682" s="2" t="s">
        <v>10</v>
      </c>
      <c r="C1682" s="3">
        <v>40094</v>
      </c>
      <c r="D1682" t="s">
        <v>2751</v>
      </c>
      <c r="E1682" s="2" t="s">
        <v>12</v>
      </c>
      <c r="F1682" s="2" t="s">
        <v>12</v>
      </c>
      <c r="G1682" t="s">
        <v>2396</v>
      </c>
      <c r="H1682" t="str">
        <f t="shared" si="52"/>
        <v>https://videplast.com.br/consulta-imobilizado?id=21000607&amp;nome=HORN%20EM%20DURALUMINIO%20E%20TRANSDUTOR%20SOLDAGEM%20DE%20ZIPER</v>
      </c>
      <c r="I1682" t="e">
        <f t="shared" ca="1" si="53"/>
        <v>#NAME?</v>
      </c>
    </row>
    <row r="1683" spans="1:9" x14ac:dyDescent="0.25">
      <c r="A1683" s="2" t="s">
        <v>2750</v>
      </c>
      <c r="B1683" s="2" t="s">
        <v>26</v>
      </c>
      <c r="C1683" s="3">
        <v>40094</v>
      </c>
      <c r="D1683" t="s">
        <v>2752</v>
      </c>
      <c r="E1683" s="2" t="s">
        <v>12</v>
      </c>
      <c r="F1683" s="2" t="s">
        <v>12</v>
      </c>
      <c r="G1683" t="s">
        <v>2396</v>
      </c>
      <c r="H1683" t="str">
        <f t="shared" si="52"/>
        <v>https://videplast.com.br/consulta-imobilizado?id=21000607&amp;nome=FRETE%20TRANSPORTE%20HORN%20EM%20DURALUMINIO%20E%20TRANSDUTOR</v>
      </c>
      <c r="I1683" t="e">
        <f t="shared" ca="1" si="53"/>
        <v>#NAME?</v>
      </c>
    </row>
    <row r="1684" spans="1:9" x14ac:dyDescent="0.25">
      <c r="A1684" s="2" t="s">
        <v>2753</v>
      </c>
      <c r="B1684" s="2" t="s">
        <v>10</v>
      </c>
      <c r="C1684" s="3">
        <v>40298</v>
      </c>
      <c r="D1684" t="s">
        <v>2754</v>
      </c>
      <c r="E1684" s="2" t="s">
        <v>12</v>
      </c>
      <c r="F1684" s="2" t="s">
        <v>12</v>
      </c>
      <c r="G1684" t="s">
        <v>2396</v>
      </c>
      <c r="H1684" t="str">
        <f t="shared" si="52"/>
        <v>https://videplast.com.br/consulta-imobilizado?id=21000618&amp;nome=BALANCA%20TOLEDO%20PRIX%20III%2015%20KG</v>
      </c>
      <c r="I1684" t="e">
        <f t="shared" ca="1" si="53"/>
        <v>#NAME?</v>
      </c>
    </row>
    <row r="1685" spans="1:9" x14ac:dyDescent="0.25">
      <c r="A1685" s="2" t="s">
        <v>2755</v>
      </c>
      <c r="B1685" s="2" t="s">
        <v>10</v>
      </c>
      <c r="C1685" s="3">
        <v>40359</v>
      </c>
      <c r="D1685" t="s">
        <v>2756</v>
      </c>
      <c r="E1685" s="2" t="s">
        <v>12</v>
      </c>
      <c r="F1685" s="2" t="s">
        <v>12</v>
      </c>
      <c r="G1685" t="s">
        <v>2396</v>
      </c>
      <c r="H1685" t="str">
        <f t="shared" si="52"/>
        <v>https://videplast.com.br/consulta-imobilizado?id=21000637&amp;nome=100MT%20CABO%204X16MM2%20E%201%20ROLO%20DE%20CABO%2010MM2%20FLEX</v>
      </c>
      <c r="I1685" t="e">
        <f t="shared" ca="1" si="53"/>
        <v>#NAME?</v>
      </c>
    </row>
    <row r="1686" spans="1:9" x14ac:dyDescent="0.25">
      <c r="A1686" s="2" t="s">
        <v>2757</v>
      </c>
      <c r="B1686" s="2" t="s">
        <v>10</v>
      </c>
      <c r="C1686" s="3">
        <v>40421</v>
      </c>
      <c r="D1686" t="s">
        <v>2758</v>
      </c>
      <c r="E1686" s="2" t="s">
        <v>12</v>
      </c>
      <c r="F1686" s="2" t="s">
        <v>12</v>
      </c>
      <c r="G1686" t="s">
        <v>2396</v>
      </c>
      <c r="H1686" t="str">
        <f t="shared" si="52"/>
        <v>https://videplast.com.br/consulta-imobilizado?id=21000642&amp;nome=3%20EIXOS%20EXPANSIVOS%20DE%206%20E%203%20POLEGADAS</v>
      </c>
      <c r="I1686" t="e">
        <f t="shared" ca="1" si="53"/>
        <v>#NAME?</v>
      </c>
    </row>
    <row r="1687" spans="1:9" x14ac:dyDescent="0.25">
      <c r="A1687" s="2" t="s">
        <v>2759</v>
      </c>
      <c r="B1687" s="2" t="s">
        <v>10</v>
      </c>
      <c r="C1687" s="3">
        <v>40543</v>
      </c>
      <c r="D1687" t="s">
        <v>2760</v>
      </c>
      <c r="E1687" s="2" t="s">
        <v>12</v>
      </c>
      <c r="F1687" s="2" t="s">
        <v>12</v>
      </c>
      <c r="G1687" t="s">
        <v>2396</v>
      </c>
      <c r="H1687" t="str">
        <f t="shared" si="52"/>
        <v>https://videplast.com.br/consulta-imobilizado?id=21000644&amp;nome=PECAS%20P/%20FABRICACAO%20DE%20PICOTADERIA</v>
      </c>
      <c r="I1687" t="e">
        <f t="shared" ca="1" si="53"/>
        <v>#NAME?</v>
      </c>
    </row>
    <row r="1688" spans="1:9" x14ac:dyDescent="0.25">
      <c r="A1688" s="2" t="s">
        <v>2761</v>
      </c>
      <c r="B1688" s="2" t="s">
        <v>10</v>
      </c>
      <c r="C1688" s="3">
        <v>40482</v>
      </c>
      <c r="D1688" t="s">
        <v>2762</v>
      </c>
      <c r="E1688" s="2" t="s">
        <v>12</v>
      </c>
      <c r="F1688" s="2" t="s">
        <v>12</v>
      </c>
      <c r="G1688" t="s">
        <v>2396</v>
      </c>
      <c r="H1688" t="str">
        <f t="shared" si="52"/>
        <v>https://videplast.com.br/consulta-imobilizado?id=21000648&amp;nome=KIT%20TRANFORMADOR%20SLIT%20SEALER%20COM%20CONTROLE</v>
      </c>
      <c r="I1688" t="e">
        <f t="shared" ca="1" si="53"/>
        <v>#NAME?</v>
      </c>
    </row>
    <row r="1689" spans="1:9" x14ac:dyDescent="0.25">
      <c r="A1689" s="2" t="s">
        <v>2763</v>
      </c>
      <c r="B1689" s="2" t="s">
        <v>10</v>
      </c>
      <c r="C1689" s="3">
        <v>40574</v>
      </c>
      <c r="D1689" t="s">
        <v>2764</v>
      </c>
      <c r="E1689" s="2" t="s">
        <v>12</v>
      </c>
      <c r="F1689" s="2" t="s">
        <v>12</v>
      </c>
      <c r="G1689" t="s">
        <v>2396</v>
      </c>
      <c r="H1689" t="str">
        <f t="shared" si="52"/>
        <v>https://videplast.com.br/consulta-imobilizado?id=21000653&amp;nome=IMPRESSOR%20TERMICO%20TP%2080%20-%20B</v>
      </c>
      <c r="I1689" t="e">
        <f t="shared" ca="1" si="53"/>
        <v>#NAME?</v>
      </c>
    </row>
    <row r="1690" spans="1:9" x14ac:dyDescent="0.25">
      <c r="A1690" s="2" t="s">
        <v>2765</v>
      </c>
      <c r="B1690" s="2" t="s">
        <v>10</v>
      </c>
      <c r="C1690" s="3">
        <v>40574</v>
      </c>
      <c r="D1690" t="s">
        <v>2766</v>
      </c>
      <c r="E1690" s="2" t="s">
        <v>12</v>
      </c>
      <c r="F1690" s="2" t="s">
        <v>12</v>
      </c>
      <c r="G1690" t="s">
        <v>2396</v>
      </c>
      <c r="H1690" t="str">
        <f t="shared" si="52"/>
        <v>https://videplast.com.br/consulta-imobilizado?id=21000654&amp;nome=SERVOCONVERSOR%20SCA%2005%2024T%202223%20PSZ</v>
      </c>
      <c r="I1690" t="e">
        <f t="shared" ca="1" si="53"/>
        <v>#NAME?</v>
      </c>
    </row>
    <row r="1691" spans="1:9" x14ac:dyDescent="0.25">
      <c r="A1691" s="2" t="s">
        <v>2767</v>
      </c>
      <c r="B1691" s="2" t="s">
        <v>10</v>
      </c>
      <c r="C1691" s="3">
        <v>40602</v>
      </c>
      <c r="D1691" t="s">
        <v>2768</v>
      </c>
      <c r="E1691" s="2" t="s">
        <v>12</v>
      </c>
      <c r="F1691" s="2" t="s">
        <v>2769</v>
      </c>
      <c r="G1691" t="s">
        <v>2396</v>
      </c>
      <c r="H1691" t="str">
        <f t="shared" si="52"/>
        <v>https://videplast.com.br/consulta-imobilizado?id=21000655&amp;nome=BALANCA%20ELETRONICA%20TOLEDO%20PRIX-III%2015KG</v>
      </c>
      <c r="I1691" t="e">
        <f t="shared" ca="1" si="53"/>
        <v>#NAME?</v>
      </c>
    </row>
    <row r="1692" spans="1:9" x14ac:dyDescent="0.25">
      <c r="A1692" s="2" t="s">
        <v>2770</v>
      </c>
      <c r="B1692" s="2" t="s">
        <v>10</v>
      </c>
      <c r="C1692" s="3">
        <v>40602</v>
      </c>
      <c r="D1692" t="s">
        <v>2771</v>
      </c>
      <c r="E1692" s="2" t="s">
        <v>12</v>
      </c>
      <c r="F1692" s="2" t="s">
        <v>12</v>
      </c>
      <c r="G1692" t="s">
        <v>2396</v>
      </c>
      <c r="H1692" t="str">
        <f t="shared" si="52"/>
        <v>https://videplast.com.br/consulta-imobilizado?id=21000656&amp;nome=BALANCA%20ACO%20CARBONO%20BT%20007%20150%20KG</v>
      </c>
      <c r="I1692" t="e">
        <f t="shared" ca="1" si="53"/>
        <v>#NAME?</v>
      </c>
    </row>
    <row r="1693" spans="1:9" x14ac:dyDescent="0.25">
      <c r="A1693" s="2" t="s">
        <v>2770</v>
      </c>
      <c r="B1693" s="2" t="s">
        <v>26</v>
      </c>
      <c r="C1693" s="3">
        <v>40602</v>
      </c>
      <c r="D1693" t="s">
        <v>2772</v>
      </c>
      <c r="E1693" s="2" t="s">
        <v>12</v>
      </c>
      <c r="F1693" s="2" t="s">
        <v>12</v>
      </c>
      <c r="G1693" t="s">
        <v>2396</v>
      </c>
      <c r="H1693" t="str">
        <f t="shared" si="52"/>
        <v>https://videplast.com.br/consulta-imobilizado?id=21000656&amp;nome=CABO%20FLEXIVEL%20PP%203X2,5MM,%20PLUG.%20FEMEA%2010A%202.+T.%20PA</v>
      </c>
      <c r="I1693" t="e">
        <f t="shared" ca="1" si="53"/>
        <v>#NAME?</v>
      </c>
    </row>
    <row r="1694" spans="1:9" x14ac:dyDescent="0.25">
      <c r="A1694" s="2" t="s">
        <v>2773</v>
      </c>
      <c r="B1694" s="2" t="s">
        <v>10</v>
      </c>
      <c r="C1694" s="3">
        <v>37978</v>
      </c>
      <c r="D1694" t="s">
        <v>2774</v>
      </c>
      <c r="E1694" s="2" t="s">
        <v>12</v>
      </c>
      <c r="F1694" s="2" t="s">
        <v>12</v>
      </c>
      <c r="G1694" t="s">
        <v>2396</v>
      </c>
      <c r="H1694" t="str">
        <f t="shared" si="52"/>
        <v>https://videplast.com.br/consulta-imobilizado?id=21000694&amp;nome=ANDAIME%20METALICO%20GERWAL</v>
      </c>
      <c r="I1694" t="e">
        <f t="shared" ca="1" si="53"/>
        <v>#NAME?</v>
      </c>
    </row>
    <row r="1695" spans="1:9" x14ac:dyDescent="0.25">
      <c r="A1695" s="2" t="s">
        <v>2775</v>
      </c>
      <c r="B1695" s="2" t="s">
        <v>10</v>
      </c>
      <c r="C1695" s="3">
        <v>42094</v>
      </c>
      <c r="D1695" t="s">
        <v>2776</v>
      </c>
      <c r="E1695" s="2" t="s">
        <v>12</v>
      </c>
      <c r="F1695" s="2" t="s">
        <v>12</v>
      </c>
      <c r="G1695" t="s">
        <v>2396</v>
      </c>
      <c r="H1695" t="str">
        <f t="shared" si="52"/>
        <v>https://videplast.com.br/consulta-imobilizado?id=21000700&amp;nome=CORREIA%20DENTADA%20630H%20100%20SCAE%2033551%20P/%20MAQ%20WICKET</v>
      </c>
      <c r="I1695" t="e">
        <f t="shared" ca="1" si="53"/>
        <v>#NAME?</v>
      </c>
    </row>
    <row r="1696" spans="1:9" x14ac:dyDescent="0.25">
      <c r="A1696" s="2" t="s">
        <v>2775</v>
      </c>
      <c r="B1696" s="2" t="s">
        <v>26</v>
      </c>
      <c r="C1696" s="3">
        <v>42094</v>
      </c>
      <c r="D1696" t="s">
        <v>2777</v>
      </c>
      <c r="E1696" s="2" t="s">
        <v>12</v>
      </c>
      <c r="F1696" s="2" t="s">
        <v>12</v>
      </c>
      <c r="G1696" t="s">
        <v>2396</v>
      </c>
      <c r="H1696" t="str">
        <f t="shared" si="52"/>
        <v>https://videplast.com.br/consulta-imobilizado?id=21000700&amp;nome=CORREIA%20DENTADA%20630H%20100%20SCAE%2033551</v>
      </c>
      <c r="I1696" t="e">
        <f t="shared" ca="1" si="53"/>
        <v>#NAME?</v>
      </c>
    </row>
    <row r="1697" spans="1:9" x14ac:dyDescent="0.25">
      <c r="A1697" s="2" t="s">
        <v>2775</v>
      </c>
      <c r="B1697" s="2" t="s">
        <v>21</v>
      </c>
      <c r="C1697" s="3">
        <v>42094</v>
      </c>
      <c r="D1697" t="s">
        <v>2778</v>
      </c>
      <c r="E1697" s="2" t="s">
        <v>12</v>
      </c>
      <c r="F1697" s="2" t="s">
        <v>12</v>
      </c>
      <c r="G1697" t="s">
        <v>2396</v>
      </c>
      <c r="H1697" t="str">
        <f t="shared" si="52"/>
        <v>https://videplast.com.br/consulta-imobilizado?id=21000700&amp;nome=CINGHIA%20DENTADA%20240L%20100%20SCAE%2033172</v>
      </c>
      <c r="I1697" t="e">
        <f t="shared" ca="1" si="53"/>
        <v>#NAME?</v>
      </c>
    </row>
    <row r="1698" spans="1:9" x14ac:dyDescent="0.25">
      <c r="A1698" s="2" t="s">
        <v>2775</v>
      </c>
      <c r="B1698" s="2" t="s">
        <v>29</v>
      </c>
      <c r="C1698" s="3">
        <v>42094</v>
      </c>
      <c r="D1698" t="s">
        <v>2779</v>
      </c>
      <c r="E1698" s="2" t="s">
        <v>12</v>
      </c>
      <c r="F1698" s="2" t="s">
        <v>12</v>
      </c>
      <c r="G1698" t="s">
        <v>2396</v>
      </c>
      <c r="H1698" t="str">
        <f t="shared" si="52"/>
        <v>https://videplast.com.br/consulta-imobilizado?id=21000700&amp;nome=CORREIA%20DENTADA%20360%20H%20100</v>
      </c>
      <c r="I1698" t="e">
        <f t="shared" ca="1" si="53"/>
        <v>#NAME?</v>
      </c>
    </row>
    <row r="1699" spans="1:9" x14ac:dyDescent="0.25">
      <c r="A1699" s="2" t="s">
        <v>2775</v>
      </c>
      <c r="B1699" s="2" t="s">
        <v>31</v>
      </c>
      <c r="C1699" s="3">
        <v>42094</v>
      </c>
      <c r="D1699" t="s">
        <v>2780</v>
      </c>
      <c r="E1699" s="2" t="s">
        <v>12</v>
      </c>
      <c r="F1699" s="2" t="s">
        <v>12</v>
      </c>
      <c r="G1699" t="s">
        <v>2396</v>
      </c>
      <c r="H1699" t="str">
        <f t="shared" si="52"/>
        <v>https://videplast.com.br/consulta-imobilizado?id=21000700&amp;nome=CARTUCHO%20DE%20ACO%20INOX</v>
      </c>
      <c r="I1699" t="e">
        <f t="shared" ca="1" si="53"/>
        <v>#NAME?</v>
      </c>
    </row>
    <row r="1700" spans="1:9" x14ac:dyDescent="0.25">
      <c r="A1700" s="2" t="s">
        <v>2775</v>
      </c>
      <c r="B1700" s="2" t="s">
        <v>37</v>
      </c>
      <c r="C1700" s="3">
        <v>42094</v>
      </c>
      <c r="D1700" t="s">
        <v>2781</v>
      </c>
      <c r="E1700" s="2" t="s">
        <v>12</v>
      </c>
      <c r="F1700" s="2" t="s">
        <v>12</v>
      </c>
      <c r="G1700" t="s">
        <v>2396</v>
      </c>
      <c r="H1700" t="str">
        <f t="shared" si="52"/>
        <v>https://videplast.com.br/consulta-imobilizado?id=21000700&amp;nome=CINGHIA%20PIANA%20MM%201610X30</v>
      </c>
      <c r="I1700" t="e">
        <f t="shared" ca="1" si="53"/>
        <v>#NAME?</v>
      </c>
    </row>
    <row r="1701" spans="1:9" x14ac:dyDescent="0.25">
      <c r="A1701" s="2" t="s">
        <v>2775</v>
      </c>
      <c r="B1701" s="2" t="s">
        <v>126</v>
      </c>
      <c r="C1701" s="3">
        <v>42094</v>
      </c>
      <c r="D1701" t="s">
        <v>2782</v>
      </c>
      <c r="E1701" s="2" t="s">
        <v>12</v>
      </c>
      <c r="F1701" s="2" t="s">
        <v>12</v>
      </c>
      <c r="G1701" t="s">
        <v>2396</v>
      </c>
      <c r="H1701" t="str">
        <f t="shared" si="52"/>
        <v>https://videplast.com.br/consulta-imobilizado?id=21000700&amp;nome=CANOTTO%20SCORRIM%20PISTONI%201052231</v>
      </c>
      <c r="I1701" t="e">
        <f t="shared" ca="1" si="53"/>
        <v>#NAME?</v>
      </c>
    </row>
    <row r="1702" spans="1:9" x14ac:dyDescent="0.25">
      <c r="A1702" s="2" t="s">
        <v>2775</v>
      </c>
      <c r="B1702" s="2" t="s">
        <v>127</v>
      </c>
      <c r="C1702" s="3">
        <v>42094</v>
      </c>
      <c r="D1702" t="s">
        <v>2783</v>
      </c>
      <c r="E1702" s="2" t="s">
        <v>12</v>
      </c>
      <c r="F1702" s="2" t="s">
        <v>12</v>
      </c>
      <c r="G1702" t="s">
        <v>2396</v>
      </c>
      <c r="H1702" t="str">
        <f t="shared" si="52"/>
        <v>https://videplast.com.br/consulta-imobilizado?id=21000700&amp;nome=FUSTELA%20D.15MM%20PRL%20M10</v>
      </c>
      <c r="I1702" t="e">
        <f t="shared" ca="1" si="53"/>
        <v>#NAME?</v>
      </c>
    </row>
    <row r="1703" spans="1:9" x14ac:dyDescent="0.25">
      <c r="A1703" s="2" t="s">
        <v>2775</v>
      </c>
      <c r="B1703" s="2" t="s">
        <v>623</v>
      </c>
      <c r="C1703" s="3">
        <v>42094</v>
      </c>
      <c r="D1703" t="s">
        <v>2784</v>
      </c>
      <c r="E1703" s="2" t="s">
        <v>12</v>
      </c>
      <c r="F1703" s="2" t="s">
        <v>12</v>
      </c>
      <c r="G1703" t="s">
        <v>2396</v>
      </c>
      <c r="H1703" t="str">
        <f t="shared" si="52"/>
        <v>https://videplast.com.br/consulta-imobilizado?id=21000700&amp;nome=UGELLO%20PALETTA%20WICKET</v>
      </c>
      <c r="I1703" t="e">
        <f t="shared" ca="1" si="53"/>
        <v>#NAME?</v>
      </c>
    </row>
    <row r="1704" spans="1:9" x14ac:dyDescent="0.25">
      <c r="A1704" s="2" t="s">
        <v>2775</v>
      </c>
      <c r="B1704" s="2" t="s">
        <v>625</v>
      </c>
      <c r="C1704" s="3">
        <v>42094</v>
      </c>
      <c r="D1704" t="s">
        <v>2785</v>
      </c>
      <c r="E1704" s="2" t="s">
        <v>12</v>
      </c>
      <c r="F1704" s="2" t="s">
        <v>12</v>
      </c>
      <c r="G1704" t="s">
        <v>2396</v>
      </c>
      <c r="H1704" t="str">
        <f t="shared" si="52"/>
        <v>https://videplast.com.br/consulta-imobilizado?id=21000700&amp;nome=UGELLO%20SOFFIO%20SALDANTE</v>
      </c>
      <c r="I1704" t="e">
        <f t="shared" ca="1" si="53"/>
        <v>#NAME?</v>
      </c>
    </row>
    <row r="1705" spans="1:9" x14ac:dyDescent="0.25">
      <c r="A1705" s="2" t="s">
        <v>2775</v>
      </c>
      <c r="B1705" s="2" t="s">
        <v>681</v>
      </c>
      <c r="C1705" s="3">
        <v>42094</v>
      </c>
      <c r="D1705" t="s">
        <v>2786</v>
      </c>
      <c r="E1705" s="2" t="s">
        <v>12</v>
      </c>
      <c r="F1705" s="2" t="s">
        <v>12</v>
      </c>
      <c r="G1705" t="s">
        <v>2396</v>
      </c>
      <c r="H1705" t="str">
        <f t="shared" si="52"/>
        <v>https://videplast.com.br/consulta-imobilizado?id=21000700&amp;nome=CINGHIA%20SYNCROFLEX%20AT10/920%20SCAE%2033196</v>
      </c>
      <c r="I1705" t="e">
        <f t="shared" ca="1" si="53"/>
        <v>#NAME?</v>
      </c>
    </row>
    <row r="1706" spans="1:9" x14ac:dyDescent="0.25">
      <c r="A1706" s="2" t="s">
        <v>2775</v>
      </c>
      <c r="B1706" s="2" t="s">
        <v>683</v>
      </c>
      <c r="C1706" s="3">
        <v>42094</v>
      </c>
      <c r="D1706" t="s">
        <v>2787</v>
      </c>
      <c r="E1706" s="2" t="s">
        <v>12</v>
      </c>
      <c r="F1706" s="2" t="s">
        <v>12</v>
      </c>
      <c r="G1706" t="s">
        <v>2396</v>
      </c>
      <c r="H1706" t="str">
        <f t="shared" si="52"/>
        <v>https://videplast.com.br/consulta-imobilizado?id=21000700&amp;nome=INGRANAGGIO%20SUPER%20TRAINO%20DISCAE</v>
      </c>
      <c r="I1706" t="e">
        <f t="shared" ca="1" si="53"/>
        <v>#NAME?</v>
      </c>
    </row>
    <row r="1707" spans="1:9" x14ac:dyDescent="0.25">
      <c r="A1707" s="2" t="s">
        <v>2775</v>
      </c>
      <c r="B1707" s="2" t="s">
        <v>685</v>
      </c>
      <c r="C1707" s="3">
        <v>42094</v>
      </c>
      <c r="D1707" t="s">
        <v>2788</v>
      </c>
      <c r="E1707" s="2" t="s">
        <v>12</v>
      </c>
      <c r="F1707" s="2" t="s">
        <v>12</v>
      </c>
      <c r="G1707" t="s">
        <v>2396</v>
      </c>
      <c r="H1707" t="str">
        <f t="shared" si="52"/>
        <v>https://videplast.com.br/consulta-imobilizado?id=21000700&amp;nome=BRUSHLESS%20SMB%20SERVO%20MOTOR%20SCAE</v>
      </c>
      <c r="I1707" t="e">
        <f t="shared" ca="1" si="53"/>
        <v>#NAME?</v>
      </c>
    </row>
    <row r="1708" spans="1:9" x14ac:dyDescent="0.25">
      <c r="A1708" s="2" t="s">
        <v>2775</v>
      </c>
      <c r="B1708" s="2" t="s">
        <v>627</v>
      </c>
      <c r="C1708" s="3">
        <v>42094</v>
      </c>
      <c r="D1708" t="s">
        <v>2789</v>
      </c>
      <c r="E1708" s="2" t="s">
        <v>12</v>
      </c>
      <c r="F1708" s="2" t="s">
        <v>12</v>
      </c>
      <c r="G1708" t="s">
        <v>2396</v>
      </c>
      <c r="H1708" t="str">
        <f t="shared" si="52"/>
        <v>https://videplast.com.br/consulta-imobilizado?id=21000700&amp;nome=PORTA%20PWK%20SCAE%201019670</v>
      </c>
      <c r="I1708" t="e">
        <f t="shared" ca="1" si="53"/>
        <v>#NAME?</v>
      </c>
    </row>
    <row r="1709" spans="1:9" x14ac:dyDescent="0.25">
      <c r="A1709" s="2" t="s">
        <v>2775</v>
      </c>
      <c r="B1709" s="2" t="s">
        <v>688</v>
      </c>
      <c r="C1709" s="3">
        <v>42094</v>
      </c>
      <c r="D1709" t="s">
        <v>2790</v>
      </c>
      <c r="E1709" s="2" t="s">
        <v>12</v>
      </c>
      <c r="F1709" s="2" t="s">
        <v>12</v>
      </c>
      <c r="G1709" t="s">
        <v>2396</v>
      </c>
      <c r="H1709" t="str">
        <f t="shared" si="52"/>
        <v>https://videplast.com.br/consulta-imobilizado?id=21000700&amp;nome=CINGHIA%20PIANA%20MM%201980X30%20SCAE%2033578</v>
      </c>
      <c r="I1709" t="e">
        <f t="shared" ca="1" si="53"/>
        <v>#NAME?</v>
      </c>
    </row>
    <row r="1710" spans="1:9" x14ac:dyDescent="0.25">
      <c r="A1710" s="2" t="s">
        <v>2775</v>
      </c>
      <c r="B1710" s="2" t="s">
        <v>629</v>
      </c>
      <c r="C1710" s="3">
        <v>42094</v>
      </c>
      <c r="D1710" t="s">
        <v>2790</v>
      </c>
      <c r="E1710" s="2" t="s">
        <v>12</v>
      </c>
      <c r="F1710" s="2" t="s">
        <v>12</v>
      </c>
      <c r="G1710" t="s">
        <v>2396</v>
      </c>
      <c r="H1710" t="str">
        <f t="shared" si="52"/>
        <v>https://videplast.com.br/consulta-imobilizado?id=21000700&amp;nome=CINGHIA%20PIANA%20MM%201980X30%20SCAE%2033578</v>
      </c>
      <c r="I1710" t="e">
        <f t="shared" ca="1" si="53"/>
        <v>#NAME?</v>
      </c>
    </row>
    <row r="1711" spans="1:9" x14ac:dyDescent="0.25">
      <c r="A1711" s="2" t="s">
        <v>2775</v>
      </c>
      <c r="B1711" s="2" t="s">
        <v>691</v>
      </c>
      <c r="C1711" s="3">
        <v>42094</v>
      </c>
      <c r="D1711" t="s">
        <v>2791</v>
      </c>
      <c r="E1711" s="2" t="s">
        <v>12</v>
      </c>
      <c r="F1711" s="2" t="s">
        <v>12</v>
      </c>
      <c r="G1711" t="s">
        <v>2396</v>
      </c>
      <c r="H1711" t="str">
        <f t="shared" si="52"/>
        <v>https://videplast.com.br/consulta-imobilizado?id=21000700&amp;nome=POSITIVA%20HTD%20480-8M%20SCAE%2033446</v>
      </c>
      <c r="I1711" t="e">
        <f t="shared" ca="1" si="53"/>
        <v>#NAME?</v>
      </c>
    </row>
    <row r="1712" spans="1:9" x14ac:dyDescent="0.25">
      <c r="A1712" s="2" t="s">
        <v>2775</v>
      </c>
      <c r="B1712" s="2" t="s">
        <v>631</v>
      </c>
      <c r="C1712" s="3">
        <v>42094</v>
      </c>
      <c r="D1712" t="s">
        <v>2792</v>
      </c>
      <c r="E1712" s="2" t="s">
        <v>12</v>
      </c>
      <c r="F1712" s="2" t="s">
        <v>12</v>
      </c>
      <c r="G1712" t="s">
        <v>2396</v>
      </c>
      <c r="H1712" t="str">
        <f t="shared" si="52"/>
        <v>https://videplast.com.br/consulta-imobilizado?id=21000700&amp;nome=CINGHIA%20POSITIVA%20HTD%201760-8M%20SCAE%2033447</v>
      </c>
      <c r="I1712" t="e">
        <f t="shared" ca="1" si="53"/>
        <v>#NAME?</v>
      </c>
    </row>
    <row r="1713" spans="1:9" x14ac:dyDescent="0.25">
      <c r="A1713" s="2" t="s">
        <v>2775</v>
      </c>
      <c r="B1713" s="2" t="s">
        <v>633</v>
      </c>
      <c r="C1713" s="3">
        <v>42094</v>
      </c>
      <c r="D1713" t="s">
        <v>2793</v>
      </c>
      <c r="E1713" s="2" t="s">
        <v>12</v>
      </c>
      <c r="F1713" s="2" t="s">
        <v>12</v>
      </c>
      <c r="G1713" t="s">
        <v>2396</v>
      </c>
      <c r="H1713" t="str">
        <f t="shared" si="52"/>
        <v>https://videplast.com.br/consulta-imobilizado?id=21000700&amp;nome=RESISTENZA%2012.7X60%20W500%20SCAE%2080105</v>
      </c>
      <c r="I1713" t="e">
        <f t="shared" ca="1" si="53"/>
        <v>#NAME?</v>
      </c>
    </row>
    <row r="1714" spans="1:9" x14ac:dyDescent="0.25">
      <c r="A1714" s="2" t="s">
        <v>2775</v>
      </c>
      <c r="B1714" s="2" t="s">
        <v>635</v>
      </c>
      <c r="C1714" s="3">
        <v>42094</v>
      </c>
      <c r="D1714" t="s">
        <v>2794</v>
      </c>
      <c r="E1714" s="2" t="s">
        <v>12</v>
      </c>
      <c r="F1714" s="2" t="s">
        <v>12</v>
      </c>
      <c r="G1714" t="s">
        <v>2396</v>
      </c>
      <c r="H1714" t="str">
        <f t="shared" si="52"/>
        <v>https://videplast.com.br/consulta-imobilizado?id=21000700&amp;nome=ACESSORIAS%20PROCESSO%2016976%20DI%2015/046140</v>
      </c>
      <c r="I1714" t="e">
        <f t="shared" ca="1" si="53"/>
        <v>#NAME?</v>
      </c>
    </row>
    <row r="1715" spans="1:9" x14ac:dyDescent="0.25">
      <c r="A1715" s="2" t="s">
        <v>2795</v>
      </c>
      <c r="B1715" s="2" t="s">
        <v>10</v>
      </c>
      <c r="C1715" s="3">
        <v>40663</v>
      </c>
      <c r="D1715" t="s">
        <v>2796</v>
      </c>
      <c r="E1715" s="2" t="s">
        <v>12</v>
      </c>
      <c r="F1715" s="2" t="s">
        <v>12</v>
      </c>
      <c r="G1715" t="s">
        <v>2396</v>
      </c>
      <c r="H1715" t="str">
        <f t="shared" si="52"/>
        <v>https://videplast.com.br/consulta-imobilizado?id=21000701&amp;nome=CONSTRUCAO%20DE%20UMA%20PICOTEIRA</v>
      </c>
      <c r="I1715" t="e">
        <f t="shared" ca="1" si="53"/>
        <v>#NAME?</v>
      </c>
    </row>
    <row r="1716" spans="1:9" x14ac:dyDescent="0.25">
      <c r="A1716" s="2" t="s">
        <v>2795</v>
      </c>
      <c r="B1716" s="2" t="s">
        <v>26</v>
      </c>
      <c r="C1716" s="3">
        <v>40633</v>
      </c>
      <c r="D1716" t="s">
        <v>2797</v>
      </c>
      <c r="E1716" s="2" t="s">
        <v>12</v>
      </c>
      <c r="F1716" s="2" t="s">
        <v>12</v>
      </c>
      <c r="G1716" t="s">
        <v>2396</v>
      </c>
      <c r="H1716" t="str">
        <f t="shared" si="52"/>
        <v>https://videplast.com.br/consulta-imobilizado?id=21000701&amp;nome=CABO%204X16MM2%200.6/1KV%20FLEX</v>
      </c>
      <c r="I1716" t="e">
        <f t="shared" ca="1" si="53"/>
        <v>#NAME?</v>
      </c>
    </row>
    <row r="1717" spans="1:9" x14ac:dyDescent="0.25">
      <c r="A1717" s="2" t="s">
        <v>2798</v>
      </c>
      <c r="B1717" s="2" t="s">
        <v>10</v>
      </c>
      <c r="C1717" s="3">
        <v>42825</v>
      </c>
      <c r="D1717" t="s">
        <v>291</v>
      </c>
      <c r="E1717" s="2" t="s">
        <v>12</v>
      </c>
      <c r="F1717" s="2" t="s">
        <v>12</v>
      </c>
      <c r="G1717" t="s">
        <v>2396</v>
      </c>
      <c r="H1717" t="str">
        <f t="shared" si="52"/>
        <v>https://videplast.com.br/consulta-imobilizado?id=21003277&amp;nome=CARRO%20HIDRAULICO%20PALETRANS%20P/%20PALLET%20TM%203020%20RTN68</v>
      </c>
      <c r="I1717" t="e">
        <f t="shared" ca="1" si="53"/>
        <v>#NAME?</v>
      </c>
    </row>
    <row r="1718" spans="1:9" x14ac:dyDescent="0.25">
      <c r="A1718" s="2" t="s">
        <v>2799</v>
      </c>
      <c r="B1718" s="2" t="s">
        <v>10</v>
      </c>
      <c r="C1718" s="3">
        <v>43210</v>
      </c>
      <c r="D1718" t="s">
        <v>2800</v>
      </c>
      <c r="E1718" s="2" t="s">
        <v>12</v>
      </c>
      <c r="F1718" s="2" t="s">
        <v>12</v>
      </c>
      <c r="G1718" t="s">
        <v>2396</v>
      </c>
      <c r="H1718" t="str">
        <f t="shared" si="52"/>
        <v>https://videplast.com.br/consulta-imobilizado?id=21003977&amp;nome=4%20EXAUSTOR%2050%20POLEGAS%20GAVANIZADO%20COM%20CABECOTE</v>
      </c>
      <c r="I1718" t="e">
        <f t="shared" ca="1" si="53"/>
        <v>#NAME?</v>
      </c>
    </row>
    <row r="1719" spans="1:9" x14ac:dyDescent="0.25">
      <c r="A1719" s="2" t="s">
        <v>2801</v>
      </c>
      <c r="B1719" s="2" t="s">
        <v>10</v>
      </c>
      <c r="C1719" s="3">
        <v>43343</v>
      </c>
      <c r="D1719" t="s">
        <v>921</v>
      </c>
      <c r="E1719" s="2" t="s">
        <v>12</v>
      </c>
      <c r="F1719" s="2" t="s">
        <v>12</v>
      </c>
      <c r="G1719" t="s">
        <v>2396</v>
      </c>
      <c r="H1719" t="str">
        <f t="shared" si="52"/>
        <v>https://videplast.com.br/consulta-imobilizado?id=21004055&amp;nome=EMPILHADEIRA%20MANUAL%20PALETRANS%20LM%201010%20CAP%201000KG</v>
      </c>
      <c r="I1719" t="e">
        <f t="shared" ca="1" si="53"/>
        <v>#NAME?</v>
      </c>
    </row>
    <row r="1720" spans="1:9" x14ac:dyDescent="0.25">
      <c r="A1720" s="2" t="s">
        <v>2802</v>
      </c>
      <c r="B1720" s="2" t="s">
        <v>10</v>
      </c>
      <c r="C1720" s="3">
        <v>44072</v>
      </c>
      <c r="D1720" t="s">
        <v>2803</v>
      </c>
      <c r="E1720" s="2" t="s">
        <v>12</v>
      </c>
      <c r="F1720" s="2" t="s">
        <v>12</v>
      </c>
      <c r="G1720" t="s">
        <v>2396</v>
      </c>
      <c r="H1720" t="str">
        <f t="shared" si="52"/>
        <v>https://videplast.com.br/consulta-imobilizado?id=21005658&amp;nome=CARRO%20HIDRAULICO%20EMP%20CATARINENSE%203000KG</v>
      </c>
      <c r="I1720" t="e">
        <f t="shared" ca="1" si="53"/>
        <v>#NAME?</v>
      </c>
    </row>
    <row r="1721" spans="1:9" x14ac:dyDescent="0.25">
      <c r="A1721" s="2" t="s">
        <v>2804</v>
      </c>
      <c r="B1721" s="2" t="s">
        <v>10</v>
      </c>
      <c r="C1721" s="3">
        <v>44182</v>
      </c>
      <c r="D1721" t="s">
        <v>2805</v>
      </c>
      <c r="E1721" s="2" t="s">
        <v>12</v>
      </c>
      <c r="F1721" s="2" t="s">
        <v>12</v>
      </c>
      <c r="G1721" t="s">
        <v>2396</v>
      </c>
      <c r="H1721" t="str">
        <f t="shared" si="52"/>
        <v>https://videplast.com.br/consulta-imobilizado?id=21005785&amp;nome=DISJUNTOR%20TRIPOLAR%20A%20VACUO</v>
      </c>
      <c r="I1721" t="e">
        <f t="shared" ca="1" si="53"/>
        <v>#NAME?</v>
      </c>
    </row>
    <row r="1722" spans="1:9" x14ac:dyDescent="0.25">
      <c r="A1722" s="2" t="s">
        <v>2806</v>
      </c>
      <c r="B1722" s="2" t="s">
        <v>10</v>
      </c>
      <c r="C1722" s="3">
        <v>44182</v>
      </c>
      <c r="D1722" t="s">
        <v>2807</v>
      </c>
      <c r="E1722" s="2" t="s">
        <v>12</v>
      </c>
      <c r="F1722" s="2" t="s">
        <v>12</v>
      </c>
      <c r="G1722" t="s">
        <v>2396</v>
      </c>
      <c r="H1722" t="str">
        <f t="shared" si="52"/>
        <v>https://videplast.com.br/consulta-imobilizado?id=21005786&amp;nome=CARTUCHO%20DE%20AÇO%20INOX%20PARA%20FILTRO</v>
      </c>
      <c r="I1722" t="e">
        <f t="shared" ca="1" si="53"/>
        <v>#NAME?</v>
      </c>
    </row>
    <row r="1723" spans="1:9" x14ac:dyDescent="0.25">
      <c r="A1723" s="2" t="s">
        <v>2806</v>
      </c>
      <c r="B1723" s="2" t="s">
        <v>26</v>
      </c>
      <c r="C1723" s="3">
        <v>44182</v>
      </c>
      <c r="D1723" t="s">
        <v>2651</v>
      </c>
      <c r="E1723" s="2" t="s">
        <v>12</v>
      </c>
      <c r="F1723" s="2" t="s">
        <v>12</v>
      </c>
      <c r="G1723" t="s">
        <v>2396</v>
      </c>
      <c r="H1723" t="str">
        <f t="shared" si="52"/>
        <v>https://videplast.com.br/consulta-imobilizado?id=21005786&amp;nome=DESPESAS%20NO%20DESEMBARACO%20ADUANEIRO</v>
      </c>
      <c r="I1723" t="e">
        <f t="shared" ca="1" si="53"/>
        <v>#NAME?</v>
      </c>
    </row>
    <row r="1724" spans="1:9" x14ac:dyDescent="0.25">
      <c r="A1724" s="2" t="s">
        <v>2808</v>
      </c>
      <c r="B1724" s="2" t="s">
        <v>10</v>
      </c>
      <c r="C1724" s="3">
        <v>44182</v>
      </c>
      <c r="D1724" t="s">
        <v>2809</v>
      </c>
      <c r="E1724" s="2" t="s">
        <v>12</v>
      </c>
      <c r="F1724" s="2" t="s">
        <v>12</v>
      </c>
      <c r="G1724" t="s">
        <v>2396</v>
      </c>
      <c r="H1724" t="str">
        <f t="shared" si="52"/>
        <v>https://videplast.com.br/consulta-imobilizado?id=21005787&amp;nome=REGULADOR%20MANOMETRO,%20SENSOR%20MAGNETICO%20CAMOZZ</v>
      </c>
      <c r="I1724" t="e">
        <f t="shared" ca="1" si="53"/>
        <v>#NAME?</v>
      </c>
    </row>
    <row r="1725" spans="1:9" x14ac:dyDescent="0.25">
      <c r="A1725" s="2" t="s">
        <v>2808</v>
      </c>
      <c r="B1725" s="2" t="s">
        <v>26</v>
      </c>
      <c r="C1725" s="3">
        <v>44182</v>
      </c>
      <c r="D1725" t="s">
        <v>2651</v>
      </c>
      <c r="E1725" s="2" t="s">
        <v>12</v>
      </c>
      <c r="F1725" s="2" t="s">
        <v>12</v>
      </c>
      <c r="G1725" t="s">
        <v>2396</v>
      </c>
      <c r="H1725" t="str">
        <f t="shared" si="52"/>
        <v>https://videplast.com.br/consulta-imobilizado?id=21005787&amp;nome=DESPESAS%20NO%20DESEMBARACO%20ADUANEIRO</v>
      </c>
      <c r="I1725" t="e">
        <f t="shared" ca="1" si="53"/>
        <v>#NAME?</v>
      </c>
    </row>
    <row r="1726" spans="1:9" x14ac:dyDescent="0.25">
      <c r="A1726" s="2" t="s">
        <v>2810</v>
      </c>
      <c r="B1726" s="2" t="s">
        <v>10</v>
      </c>
      <c r="C1726" s="3">
        <v>44182</v>
      </c>
      <c r="D1726" t="s">
        <v>2811</v>
      </c>
      <c r="E1726" s="2" t="s">
        <v>12</v>
      </c>
      <c r="F1726" s="2" t="s">
        <v>12</v>
      </c>
      <c r="G1726" t="s">
        <v>2396</v>
      </c>
      <c r="H1726" t="str">
        <f t="shared" si="52"/>
        <v>https://videplast.com.br/consulta-imobilizado?id=21005788&amp;nome=VALOR%20REFTE%20DESPESAS%20NO%20DESEMBARACO%20ADUANEIRO</v>
      </c>
      <c r="I1726" t="e">
        <f t="shared" ca="1" si="53"/>
        <v>#NAME?</v>
      </c>
    </row>
    <row r="1727" spans="1:9" x14ac:dyDescent="0.25">
      <c r="A1727" s="2" t="s">
        <v>2812</v>
      </c>
      <c r="B1727" s="2" t="s">
        <v>10</v>
      </c>
      <c r="C1727" s="3">
        <v>44182</v>
      </c>
      <c r="D1727" t="s">
        <v>2813</v>
      </c>
      <c r="E1727" s="2" t="s">
        <v>12</v>
      </c>
      <c r="F1727" s="2" t="s">
        <v>12</v>
      </c>
      <c r="G1727" t="s">
        <v>2396</v>
      </c>
      <c r="H1727" t="str">
        <f t="shared" si="52"/>
        <v>https://videplast.com.br/consulta-imobilizado?id=21005792&amp;nome=IMPRESSOR%20TERMICO%20TP%2080%20B</v>
      </c>
      <c r="I1727" t="e">
        <f t="shared" ca="1" si="53"/>
        <v>#NAME?</v>
      </c>
    </row>
    <row r="1728" spans="1:9" x14ac:dyDescent="0.25">
      <c r="A1728" s="2" t="s">
        <v>2812</v>
      </c>
      <c r="B1728" s="2" t="s">
        <v>26</v>
      </c>
      <c r="C1728" s="3">
        <v>44182</v>
      </c>
      <c r="D1728" t="s">
        <v>2814</v>
      </c>
      <c r="E1728" s="2" t="s">
        <v>12</v>
      </c>
      <c r="F1728" s="2" t="s">
        <v>12</v>
      </c>
      <c r="G1728" t="s">
        <v>2396</v>
      </c>
      <c r="H1728" t="str">
        <f t="shared" si="52"/>
        <v>https://videplast.com.br/consulta-imobilizado?id=21005792&amp;nome=FRETE%20P/TRANSPORTE%20DE%202%20IMPRESSOR</v>
      </c>
      <c r="I1728" t="e">
        <f t="shared" ca="1" si="53"/>
        <v>#NAME?</v>
      </c>
    </row>
    <row r="1729" spans="1:9" x14ac:dyDescent="0.25">
      <c r="A1729" s="2" t="s">
        <v>2815</v>
      </c>
      <c r="B1729" s="2" t="s">
        <v>10</v>
      </c>
      <c r="C1729" s="3">
        <v>44182</v>
      </c>
      <c r="D1729" t="s">
        <v>2816</v>
      </c>
      <c r="E1729" s="2" t="s">
        <v>12</v>
      </c>
      <c r="F1729" s="2" t="s">
        <v>12</v>
      </c>
      <c r="G1729" t="s">
        <v>2396</v>
      </c>
      <c r="H1729" t="str">
        <f t="shared" si="52"/>
        <v>https://videplast.com.br/consulta-imobilizado?id=21005795&amp;nome=PLACA%20EIXO%20/%20ANALOGICA%20DO%20SX-570</v>
      </c>
      <c r="I1729" t="e">
        <f t="shared" ca="1" si="53"/>
        <v>#NAME?</v>
      </c>
    </row>
    <row r="1730" spans="1:9" x14ac:dyDescent="0.25">
      <c r="A1730" s="2" t="s">
        <v>2817</v>
      </c>
      <c r="B1730" s="2" t="s">
        <v>10</v>
      </c>
      <c r="C1730" s="3">
        <v>44182</v>
      </c>
      <c r="D1730" t="s">
        <v>2818</v>
      </c>
      <c r="E1730" s="2" t="s">
        <v>12</v>
      </c>
      <c r="F1730" s="2" t="s">
        <v>12</v>
      </c>
      <c r="G1730" t="s">
        <v>2396</v>
      </c>
      <c r="H1730" t="str">
        <f t="shared" ref="H1730:H1793" si="54" xml:space="preserve"> "https://videplast.com.br/consulta-imobilizado?id=" &amp; A1730 &amp; "&amp;nome=" &amp; SUBSTITUTE(D1730, " ", "%20")</f>
        <v>https://videplast.com.br/consulta-imobilizado?id=21005796&amp;nome=DESBOBINADOR%20ADICIONAL%20HP%20HECE</v>
      </c>
      <c r="I1730" t="e">
        <f t="shared" ref="I1730:I1793" ca="1" si="55">_xlfn.IMAGE("https://chart.googleapis.com/chart?chs=150x150&amp;cht=qr&amp;chl=" &amp; H1730)</f>
        <v>#NAME?</v>
      </c>
    </row>
    <row r="1731" spans="1:9" x14ac:dyDescent="0.25">
      <c r="A1731" s="2" t="s">
        <v>2819</v>
      </c>
      <c r="B1731" s="2" t="s">
        <v>10</v>
      </c>
      <c r="C1731" s="3">
        <v>44182</v>
      </c>
      <c r="D1731" t="s">
        <v>2820</v>
      </c>
      <c r="E1731" s="2" t="s">
        <v>12</v>
      </c>
      <c r="F1731" s="2" t="s">
        <v>12</v>
      </c>
      <c r="G1731" t="s">
        <v>2396</v>
      </c>
      <c r="H1731" t="str">
        <f t="shared" si="54"/>
        <v>https://videplast.com.br/consulta-imobilizado?id=21005797&amp;nome=DESBOBINADOR%20ADICIONAL%20HP%20700-%20II</v>
      </c>
      <c r="I1731" t="e">
        <f t="shared" ca="1" si="55"/>
        <v>#NAME?</v>
      </c>
    </row>
    <row r="1732" spans="1:9" x14ac:dyDescent="0.25">
      <c r="A1732" s="2" t="s">
        <v>2819</v>
      </c>
      <c r="B1732" s="2" t="s">
        <v>26</v>
      </c>
      <c r="C1732" s="3">
        <v>44182</v>
      </c>
      <c r="D1732" t="s">
        <v>2821</v>
      </c>
      <c r="E1732" s="2" t="s">
        <v>12</v>
      </c>
      <c r="F1732" s="2" t="s">
        <v>12</v>
      </c>
      <c r="G1732" t="s">
        <v>2396</v>
      </c>
      <c r="H1732" t="str">
        <f t="shared" si="54"/>
        <v>https://videplast.com.br/consulta-imobilizado?id=21005797&amp;nome=COMPLEMENTO%20VALOR%20NOTA%2018705</v>
      </c>
      <c r="I1732" t="e">
        <f t="shared" ca="1" si="55"/>
        <v>#NAME?</v>
      </c>
    </row>
    <row r="1733" spans="1:9" x14ac:dyDescent="0.25">
      <c r="A1733" s="2" t="s">
        <v>2822</v>
      </c>
      <c r="B1733" s="2" t="s">
        <v>10</v>
      </c>
      <c r="C1733" s="3">
        <v>44692</v>
      </c>
      <c r="D1733" t="s">
        <v>352</v>
      </c>
      <c r="E1733" s="2" t="s">
        <v>2823</v>
      </c>
      <c r="F1733" s="2" t="s">
        <v>12</v>
      </c>
      <c r="G1733" t="s">
        <v>2396</v>
      </c>
      <c r="H1733" t="str">
        <f t="shared" si="54"/>
        <v>https://videplast.com.br/consulta-imobilizado?id=21006101&amp;nome=PALETEIRA%20MANUAL%202500%20KG%20M25</v>
      </c>
      <c r="I1733" t="e">
        <f t="shared" ca="1" si="55"/>
        <v>#NAME?</v>
      </c>
    </row>
    <row r="1734" spans="1:9" x14ac:dyDescent="0.25">
      <c r="A1734" s="2" t="s">
        <v>2824</v>
      </c>
      <c r="B1734" s="2" t="s">
        <v>10</v>
      </c>
      <c r="C1734" s="3">
        <v>44692</v>
      </c>
      <c r="D1734" t="s">
        <v>352</v>
      </c>
      <c r="E1734" s="2" t="s">
        <v>2825</v>
      </c>
      <c r="F1734" s="2" t="s">
        <v>12</v>
      </c>
      <c r="G1734" t="s">
        <v>2396</v>
      </c>
      <c r="H1734" t="str">
        <f t="shared" si="54"/>
        <v>https://videplast.com.br/consulta-imobilizado?id=21006108&amp;nome=PALETEIRA%20MANUAL%202500%20KG%20M25</v>
      </c>
      <c r="I1734" t="e">
        <f t="shared" ca="1" si="55"/>
        <v>#NAME?</v>
      </c>
    </row>
    <row r="1735" spans="1:9" x14ac:dyDescent="0.25">
      <c r="A1735" s="2" t="s">
        <v>2826</v>
      </c>
      <c r="B1735" s="2" t="s">
        <v>10</v>
      </c>
      <c r="C1735" s="3">
        <v>44762</v>
      </c>
      <c r="D1735" t="s">
        <v>2827</v>
      </c>
      <c r="E1735" s="2" t="s">
        <v>2828</v>
      </c>
      <c r="F1735" s="2" t="s">
        <v>12</v>
      </c>
      <c r="G1735" t="s">
        <v>2396</v>
      </c>
      <c r="H1735" t="str">
        <f t="shared" si="54"/>
        <v>https://videplast.com.br/consulta-imobilizado?id=21006115&amp;nome=EMPILHADEIRA%20MANUAL%201.0T%20%201000%20TONELADAS</v>
      </c>
      <c r="I1735" t="e">
        <f t="shared" ca="1" si="55"/>
        <v>#NAME?</v>
      </c>
    </row>
    <row r="1736" spans="1:9" x14ac:dyDescent="0.25">
      <c r="A1736" s="2" t="s">
        <v>2826</v>
      </c>
      <c r="B1736" s="2" t="s">
        <v>26</v>
      </c>
      <c r="C1736" s="3">
        <v>44762</v>
      </c>
      <c r="D1736" t="s">
        <v>2829</v>
      </c>
      <c r="E1736" s="2" t="s">
        <v>12</v>
      </c>
      <c r="F1736" s="2" t="s">
        <v>12</v>
      </c>
      <c r="G1736" t="s">
        <v>2396</v>
      </c>
      <c r="H1736" t="str">
        <f t="shared" si="54"/>
        <v>https://videplast.com.br/consulta-imobilizado?id=21006115&amp;nome=FRETE%20REF%20COMPRA%20EMPILHADEIRA%20MANUAL</v>
      </c>
      <c r="I1736" t="e">
        <f t="shared" ca="1" si="55"/>
        <v>#NAME?</v>
      </c>
    </row>
    <row r="1737" spans="1:9" x14ac:dyDescent="0.25">
      <c r="A1737" s="2" t="s">
        <v>2830</v>
      </c>
      <c r="B1737" s="2" t="s">
        <v>10</v>
      </c>
      <c r="C1737" s="3">
        <v>44797</v>
      </c>
      <c r="D1737" t="s">
        <v>2831</v>
      </c>
      <c r="E1737" s="2" t="s">
        <v>2832</v>
      </c>
      <c r="F1737" s="2" t="s">
        <v>2828</v>
      </c>
      <c r="G1737" t="s">
        <v>2396</v>
      </c>
      <c r="H1737" t="str">
        <f t="shared" si="54"/>
        <v>https://videplast.com.br/consulta-imobilizado?id=21006168&amp;nome=BALANCA%20TRENTIN%20BT-006%20CAP%20100KG%20EM%20ACO%20CARBONO</v>
      </c>
      <c r="I1737" t="e">
        <f t="shared" ca="1" si="55"/>
        <v>#NAME?</v>
      </c>
    </row>
    <row r="1738" spans="1:9" x14ac:dyDescent="0.25">
      <c r="A1738" s="2" t="s">
        <v>2833</v>
      </c>
      <c r="B1738" s="2" t="s">
        <v>10</v>
      </c>
      <c r="C1738" s="3">
        <v>45168</v>
      </c>
      <c r="D1738" t="s">
        <v>2834</v>
      </c>
      <c r="E1738" s="2" t="s">
        <v>12</v>
      </c>
      <c r="F1738" s="2" t="s">
        <v>2835</v>
      </c>
      <c r="G1738" t="s">
        <v>2396</v>
      </c>
      <c r="H1738" t="str">
        <f t="shared" si="54"/>
        <v>https://videplast.com.br/consulta-imobilizado?id=21006342&amp;nome=BALANCA%20TRENTIN%20MODELO%20BT%20500KG</v>
      </c>
      <c r="I1738" t="e">
        <f t="shared" ca="1" si="55"/>
        <v>#NAME?</v>
      </c>
    </row>
    <row r="1739" spans="1:9" x14ac:dyDescent="0.25">
      <c r="A1739" s="2" t="s">
        <v>2836</v>
      </c>
      <c r="B1739" s="2" t="s">
        <v>10</v>
      </c>
      <c r="C1739" s="3">
        <v>45168</v>
      </c>
      <c r="D1739" t="s">
        <v>2834</v>
      </c>
      <c r="E1739" s="2" t="s">
        <v>12</v>
      </c>
      <c r="F1739" s="2" t="s">
        <v>2828</v>
      </c>
      <c r="G1739" t="s">
        <v>2396</v>
      </c>
      <c r="H1739" t="str">
        <f t="shared" si="54"/>
        <v>https://videplast.com.br/consulta-imobilizado?id=21006343&amp;nome=BALANCA%20TRENTIN%20MODELO%20BT%20500KG</v>
      </c>
      <c r="I1739" t="e">
        <f t="shared" ca="1" si="55"/>
        <v>#NAME?</v>
      </c>
    </row>
    <row r="1740" spans="1:9" x14ac:dyDescent="0.25">
      <c r="A1740" s="2" t="s">
        <v>2837</v>
      </c>
      <c r="B1740" s="2" t="s">
        <v>10</v>
      </c>
      <c r="C1740" s="3">
        <v>45223</v>
      </c>
      <c r="D1740" t="s">
        <v>2838</v>
      </c>
      <c r="E1740" s="2" t="s">
        <v>12</v>
      </c>
      <c r="F1740" s="2" t="s">
        <v>2839</v>
      </c>
      <c r="G1740" t="s">
        <v>2396</v>
      </c>
      <c r="H1740" t="str">
        <f t="shared" si="54"/>
        <v>https://videplast.com.br/consulta-imobilizado?id=21006409&amp;nome=IMPRESSORA%20TTO%20MASTER%20U53C%20TOUCH%20LH%20YANJIE</v>
      </c>
      <c r="I1740" t="e">
        <f t="shared" ca="1" si="55"/>
        <v>#NAME?</v>
      </c>
    </row>
    <row r="1741" spans="1:9" x14ac:dyDescent="0.25">
      <c r="A1741" s="2" t="s">
        <v>2840</v>
      </c>
      <c r="B1741" s="2" t="s">
        <v>10</v>
      </c>
      <c r="C1741" s="3">
        <v>45223</v>
      </c>
      <c r="D1741" t="s">
        <v>2838</v>
      </c>
      <c r="E1741" s="2" t="s">
        <v>12</v>
      </c>
      <c r="F1741" s="2" t="s">
        <v>2841</v>
      </c>
      <c r="G1741" t="s">
        <v>2396</v>
      </c>
      <c r="H1741" t="str">
        <f t="shared" si="54"/>
        <v>https://videplast.com.br/consulta-imobilizado?id=21006410&amp;nome=IMPRESSORA%20TTO%20MASTER%20U53C%20TOUCH%20LH%20YANJIE</v>
      </c>
      <c r="I1741" t="e">
        <f t="shared" ca="1" si="55"/>
        <v>#NAME?</v>
      </c>
    </row>
    <row r="1742" spans="1:9" x14ac:dyDescent="0.25">
      <c r="A1742" s="2" t="s">
        <v>2842</v>
      </c>
      <c r="B1742" s="2" t="s">
        <v>10</v>
      </c>
      <c r="C1742" s="3">
        <v>45350</v>
      </c>
      <c r="D1742" t="s">
        <v>1005</v>
      </c>
      <c r="E1742" s="2" t="s">
        <v>12</v>
      </c>
      <c r="F1742" s="2" t="s">
        <v>2843</v>
      </c>
      <c r="G1742" t="s">
        <v>2396</v>
      </c>
      <c r="H1742" t="str">
        <f t="shared" si="54"/>
        <v>https://videplast.com.br/consulta-imobilizado?id=21006428&amp;nome=PALETEIRA%20MANUAL%20TX-25%20CAPACIDADE%202500%20KG%20STILL</v>
      </c>
      <c r="I1742" t="e">
        <f t="shared" ca="1" si="55"/>
        <v>#NAME?</v>
      </c>
    </row>
    <row r="1743" spans="1:9" x14ac:dyDescent="0.25">
      <c r="A1743" s="2" t="s">
        <v>2842</v>
      </c>
      <c r="B1743" s="2" t="s">
        <v>26</v>
      </c>
      <c r="C1743" s="3">
        <v>45351</v>
      </c>
      <c r="D1743" t="s">
        <v>1007</v>
      </c>
      <c r="E1743" s="2" t="s">
        <v>12</v>
      </c>
      <c r="F1743" s="2" t="s">
        <v>12</v>
      </c>
      <c r="G1743" t="s">
        <v>2396</v>
      </c>
      <c r="H1743" t="str">
        <f t="shared" si="54"/>
        <v>https://videplast.com.br/consulta-imobilizado?id=21006428&amp;nome=FRETE%20PALETEIRA%20MANUAL%20TX-25</v>
      </c>
      <c r="I1743" t="e">
        <f t="shared" ca="1" si="55"/>
        <v>#NAME?</v>
      </c>
    </row>
    <row r="1744" spans="1:9" x14ac:dyDescent="0.25">
      <c r="A1744" s="2" t="s">
        <v>2844</v>
      </c>
      <c r="B1744" s="2" t="s">
        <v>10</v>
      </c>
      <c r="C1744" s="3">
        <v>45350</v>
      </c>
      <c r="D1744" t="s">
        <v>1005</v>
      </c>
      <c r="E1744" s="2" t="s">
        <v>12</v>
      </c>
      <c r="F1744" s="2" t="s">
        <v>2845</v>
      </c>
      <c r="G1744" t="s">
        <v>2396</v>
      </c>
      <c r="H1744" t="str">
        <f t="shared" si="54"/>
        <v>https://videplast.com.br/consulta-imobilizado?id=21006429&amp;nome=PALETEIRA%20MANUAL%20TX-25%20CAPACIDADE%202500%20KG%20STILL</v>
      </c>
      <c r="I1744" t="e">
        <f t="shared" ca="1" si="55"/>
        <v>#NAME?</v>
      </c>
    </row>
    <row r="1745" spans="1:9" x14ac:dyDescent="0.25">
      <c r="A1745" s="2" t="s">
        <v>2844</v>
      </c>
      <c r="B1745" s="2" t="s">
        <v>26</v>
      </c>
      <c r="C1745" s="3">
        <v>45351</v>
      </c>
      <c r="D1745" t="s">
        <v>1007</v>
      </c>
      <c r="E1745" s="2" t="s">
        <v>12</v>
      </c>
      <c r="F1745" s="2" t="s">
        <v>12</v>
      </c>
      <c r="G1745" t="s">
        <v>2396</v>
      </c>
      <c r="H1745" t="str">
        <f t="shared" si="54"/>
        <v>https://videplast.com.br/consulta-imobilizado?id=21006429&amp;nome=FRETE%20PALETEIRA%20MANUAL%20TX-25</v>
      </c>
      <c r="I1745" t="e">
        <f t="shared" ca="1" si="55"/>
        <v>#NAME?</v>
      </c>
    </row>
    <row r="1746" spans="1:9" x14ac:dyDescent="0.25">
      <c r="A1746" s="2" t="s">
        <v>2846</v>
      </c>
      <c r="B1746" s="2" t="s">
        <v>10</v>
      </c>
      <c r="C1746" s="3">
        <v>45516</v>
      </c>
      <c r="D1746" t="s">
        <v>2807</v>
      </c>
      <c r="E1746" s="2" t="s">
        <v>12</v>
      </c>
      <c r="F1746" s="2" t="s">
        <v>12</v>
      </c>
      <c r="G1746" t="s">
        <v>2396</v>
      </c>
      <c r="H1746" t="str">
        <f t="shared" si="54"/>
        <v>https://videplast.com.br/consulta-imobilizado?id=21006611&amp;nome=CARTUCHO%20DE%20AÇO%20INOX%20PARA%20FILTRO</v>
      </c>
      <c r="I1746" t="e">
        <f t="shared" ca="1" si="55"/>
        <v>#NAME?</v>
      </c>
    </row>
    <row r="1747" spans="1:9" x14ac:dyDescent="0.25">
      <c r="A1747" s="2" t="s">
        <v>2847</v>
      </c>
      <c r="B1747" s="2" t="s">
        <v>10</v>
      </c>
      <c r="C1747" s="3">
        <v>45516</v>
      </c>
      <c r="D1747" t="s">
        <v>2768</v>
      </c>
      <c r="E1747" s="2" t="s">
        <v>12</v>
      </c>
      <c r="F1747" s="2" t="s">
        <v>2848</v>
      </c>
      <c r="G1747" t="s">
        <v>2396</v>
      </c>
      <c r="H1747" t="str">
        <f t="shared" si="54"/>
        <v>https://videplast.com.br/consulta-imobilizado?id=21006613&amp;nome=BALANCA%20ELETRONICA%20TOLEDO%20PRIX-III%2015KG</v>
      </c>
      <c r="I1747" t="e">
        <f t="shared" ca="1" si="55"/>
        <v>#NAME?</v>
      </c>
    </row>
    <row r="1748" spans="1:9" x14ac:dyDescent="0.25">
      <c r="A1748" s="2" t="s">
        <v>2849</v>
      </c>
      <c r="B1748" s="2" t="s">
        <v>10</v>
      </c>
      <c r="C1748" s="3">
        <v>45516</v>
      </c>
      <c r="D1748" t="s">
        <v>2739</v>
      </c>
      <c r="E1748" s="2" t="s">
        <v>12</v>
      </c>
      <c r="F1748" s="2" t="s">
        <v>12</v>
      </c>
      <c r="G1748" t="s">
        <v>2396</v>
      </c>
      <c r="H1748" t="str">
        <f t="shared" si="54"/>
        <v>https://videplast.com.br/consulta-imobilizado?id=21006619&amp;nome=EMPILHADEIRAS%20HIDRAULICAS%20MANUAL%20LM%20516</v>
      </c>
      <c r="I1748" t="e">
        <f t="shared" ca="1" si="55"/>
        <v>#NAME?</v>
      </c>
    </row>
    <row r="1749" spans="1:9" x14ac:dyDescent="0.25">
      <c r="A1749" s="2" t="s">
        <v>2850</v>
      </c>
      <c r="B1749" s="2" t="s">
        <v>10</v>
      </c>
      <c r="C1749" s="3">
        <v>45728</v>
      </c>
      <c r="D1749" t="s">
        <v>2851</v>
      </c>
      <c r="E1749" s="2" t="s">
        <v>12</v>
      </c>
      <c r="F1749" s="2" t="s">
        <v>2852</v>
      </c>
      <c r="G1749" t="s">
        <v>2396</v>
      </c>
      <c r="H1749" t="str">
        <f t="shared" si="54"/>
        <v>https://videplast.com.br/consulta-imobilizado?id=21006810&amp;nome=PALETEIRA%20MANUAL%20STILL%20TX-25%202500%20KG</v>
      </c>
      <c r="I1749" t="e">
        <f t="shared" ca="1" si="55"/>
        <v>#NAME?</v>
      </c>
    </row>
    <row r="1750" spans="1:9" x14ac:dyDescent="0.25">
      <c r="A1750" s="2" t="s">
        <v>2850</v>
      </c>
      <c r="B1750" s="2" t="s">
        <v>26</v>
      </c>
      <c r="C1750" s="3">
        <v>45730</v>
      </c>
      <c r="D1750" t="s">
        <v>2853</v>
      </c>
      <c r="E1750" s="2" t="s">
        <v>12</v>
      </c>
      <c r="F1750" s="2" t="s">
        <v>12</v>
      </c>
      <c r="G1750" t="s">
        <v>2396</v>
      </c>
      <c r="H1750" t="str">
        <f t="shared" si="54"/>
        <v>https://videplast.com.br/consulta-imobilizado?id=21006810&amp;nome=FRETE%20PALETEIRA%20MANUAL%20STILL</v>
      </c>
      <c r="I1750" t="e">
        <f t="shared" ca="1" si="55"/>
        <v>#NAME?</v>
      </c>
    </row>
    <row r="1751" spans="1:9" x14ac:dyDescent="0.25">
      <c r="A1751" s="2" t="s">
        <v>2854</v>
      </c>
      <c r="B1751" s="2" t="s">
        <v>10</v>
      </c>
      <c r="C1751" s="3">
        <v>45645</v>
      </c>
      <c r="D1751" t="s">
        <v>1011</v>
      </c>
      <c r="E1751" s="2" t="s">
        <v>12</v>
      </c>
      <c r="F1751" s="2" t="s">
        <v>2855</v>
      </c>
      <c r="G1751" t="s">
        <v>2396</v>
      </c>
      <c r="H1751" t="str">
        <f t="shared" si="54"/>
        <v>https://videplast.com.br/consulta-imobilizado?id=21006833&amp;nome=EMPILHADEIRA%20MANUAL%20PALETRANS%20PM1516%201500%20KG</v>
      </c>
      <c r="I1751" t="e">
        <f t="shared" ca="1" si="55"/>
        <v>#NAME?</v>
      </c>
    </row>
    <row r="1752" spans="1:9" x14ac:dyDescent="0.25">
      <c r="A1752" s="2" t="s">
        <v>2856</v>
      </c>
      <c r="B1752" s="2" t="s">
        <v>10</v>
      </c>
      <c r="C1752" s="3">
        <v>41333</v>
      </c>
      <c r="D1752" t="s">
        <v>2857</v>
      </c>
      <c r="E1752" s="2" t="s">
        <v>12</v>
      </c>
      <c r="F1752" s="2" t="s">
        <v>12</v>
      </c>
      <c r="G1752" t="s">
        <v>2396</v>
      </c>
      <c r="H1752" t="str">
        <f t="shared" si="54"/>
        <v>https://videplast.com.br/consulta-imobilizado?id=30000131&amp;nome=BEBEDOURO%20ACQUA%20GELATA%20PAG-100%20C/%203%20TORNEIRAS%20220V</v>
      </c>
      <c r="I1752" t="e">
        <f t="shared" ca="1" si="55"/>
        <v>#NAME?</v>
      </c>
    </row>
    <row r="1753" spans="1:9" x14ac:dyDescent="0.25">
      <c r="A1753" s="2" t="s">
        <v>2858</v>
      </c>
      <c r="B1753" s="2" t="s">
        <v>10</v>
      </c>
      <c r="C1753" s="3">
        <v>36796</v>
      </c>
      <c r="D1753" t="s">
        <v>2859</v>
      </c>
      <c r="E1753" s="2" t="s">
        <v>12</v>
      </c>
      <c r="F1753" s="2" t="s">
        <v>12</v>
      </c>
      <c r="G1753" t="s">
        <v>2396</v>
      </c>
      <c r="H1753" t="str">
        <f t="shared" si="54"/>
        <v>https://videplast.com.br/consulta-imobilizado?id=30000156&amp;nome=BEBEDOURO%20MF%20BAG%2040%20INOX</v>
      </c>
      <c r="I1753" t="e">
        <f t="shared" ca="1" si="55"/>
        <v>#NAME?</v>
      </c>
    </row>
    <row r="1754" spans="1:9" x14ac:dyDescent="0.25">
      <c r="A1754" s="2" t="s">
        <v>2860</v>
      </c>
      <c r="B1754" s="2" t="s">
        <v>10</v>
      </c>
      <c r="C1754" s="3">
        <v>39478</v>
      </c>
      <c r="D1754" t="s">
        <v>2861</v>
      </c>
      <c r="E1754" s="2" t="s">
        <v>12</v>
      </c>
      <c r="F1754" s="2" t="s">
        <v>12</v>
      </c>
      <c r="G1754" t="s">
        <v>2396</v>
      </c>
      <c r="H1754" t="str">
        <f t="shared" si="54"/>
        <v>https://videplast.com.br/consulta-imobilizado?id=30000218&amp;nome=MESA%20OVAL%20COM%202%20GAVETAS%201,2X60X75</v>
      </c>
      <c r="I1754" t="e">
        <f t="shared" ca="1" si="55"/>
        <v>#NAME?</v>
      </c>
    </row>
    <row r="1755" spans="1:9" x14ac:dyDescent="0.25">
      <c r="A1755" s="2" t="s">
        <v>2862</v>
      </c>
      <c r="B1755" s="2" t="s">
        <v>10</v>
      </c>
      <c r="C1755" s="3">
        <v>39599</v>
      </c>
      <c r="D1755" t="s">
        <v>2863</v>
      </c>
      <c r="E1755" s="2" t="s">
        <v>12</v>
      </c>
      <c r="F1755" s="2" t="s">
        <v>12</v>
      </c>
      <c r="G1755" t="s">
        <v>2396</v>
      </c>
      <c r="H1755" t="str">
        <f t="shared" si="54"/>
        <v>https://videplast.com.br/consulta-imobilizado?id=30000223&amp;nome=TV%20SAMSUNG%2040R71BX%2040%20LCD</v>
      </c>
      <c r="I1755" t="e">
        <f t="shared" ca="1" si="55"/>
        <v>#NAME?</v>
      </c>
    </row>
    <row r="1756" spans="1:9" x14ac:dyDescent="0.25">
      <c r="A1756" s="2" t="s">
        <v>2864</v>
      </c>
      <c r="B1756" s="2" t="s">
        <v>10</v>
      </c>
      <c r="C1756" s="3">
        <v>42446</v>
      </c>
      <c r="D1756" t="s">
        <v>2865</v>
      </c>
      <c r="E1756" s="2" t="s">
        <v>2866</v>
      </c>
      <c r="F1756" s="2" t="s">
        <v>12</v>
      </c>
      <c r="G1756" t="s">
        <v>2396</v>
      </c>
      <c r="H1756" t="str">
        <f t="shared" si="54"/>
        <v>https://videplast.com.br/consulta-imobilizado?id=30001406&amp;nome=BEBEDOURO%20PRESSÃO%20INOX%20BRX%2080%20220V%20BEGEL</v>
      </c>
      <c r="I1756" t="e">
        <f t="shared" ca="1" si="55"/>
        <v>#NAME?</v>
      </c>
    </row>
    <row r="1757" spans="1:9" x14ac:dyDescent="0.25">
      <c r="A1757" s="2" t="s">
        <v>2867</v>
      </c>
      <c r="B1757" s="2" t="s">
        <v>10</v>
      </c>
      <c r="C1757" s="3">
        <v>42923</v>
      </c>
      <c r="D1757" t="s">
        <v>2868</v>
      </c>
      <c r="E1757" s="2" t="s">
        <v>12</v>
      </c>
      <c r="F1757" s="2" t="s">
        <v>12</v>
      </c>
      <c r="G1757" t="s">
        <v>2396</v>
      </c>
      <c r="H1757" t="str">
        <f t="shared" si="54"/>
        <v>https://videplast.com.br/consulta-imobilizado?id=30001619&amp;nome=AR%20CONDICIONADO%20SPLIT%20INT/EXT%20FUJITSU%2012000BTU</v>
      </c>
      <c r="I1757" t="e">
        <f t="shared" ca="1" si="55"/>
        <v>#NAME?</v>
      </c>
    </row>
    <row r="1758" spans="1:9" x14ac:dyDescent="0.25">
      <c r="A1758" s="2" t="s">
        <v>2869</v>
      </c>
      <c r="B1758" s="2" t="s">
        <v>10</v>
      </c>
      <c r="C1758" s="3">
        <v>43003</v>
      </c>
      <c r="D1758" t="s">
        <v>428</v>
      </c>
      <c r="E1758" s="2" t="s">
        <v>12</v>
      </c>
      <c r="F1758" s="2" t="s">
        <v>12</v>
      </c>
      <c r="G1758" t="s">
        <v>2396</v>
      </c>
      <c r="H1758" t="str">
        <f t="shared" si="54"/>
        <v>https://videplast.com.br/consulta-imobilizado?id=30001647&amp;nome=CADEIRA%20SECRETARIA%20GIRATORIA%20SEM%20BRAÇOS%20REVESTIDA</v>
      </c>
      <c r="I1758" t="e">
        <f t="shared" ca="1" si="55"/>
        <v>#NAME?</v>
      </c>
    </row>
    <row r="1759" spans="1:9" x14ac:dyDescent="0.25">
      <c r="A1759" s="2" t="s">
        <v>2870</v>
      </c>
      <c r="B1759" s="2" t="s">
        <v>10</v>
      </c>
      <c r="C1759" s="3">
        <v>43003</v>
      </c>
      <c r="D1759" t="s">
        <v>428</v>
      </c>
      <c r="E1759" s="2" t="s">
        <v>12</v>
      </c>
      <c r="F1759" s="2" t="s">
        <v>12</v>
      </c>
      <c r="G1759" t="s">
        <v>2396</v>
      </c>
      <c r="H1759" t="str">
        <f t="shared" si="54"/>
        <v>https://videplast.com.br/consulta-imobilizado?id=30001648&amp;nome=CADEIRA%20SECRETARIA%20GIRATORIA%20SEM%20BRAÇOS%20REVESTIDA</v>
      </c>
      <c r="I1759" t="e">
        <f t="shared" ca="1" si="55"/>
        <v>#NAME?</v>
      </c>
    </row>
    <row r="1760" spans="1:9" x14ac:dyDescent="0.25">
      <c r="A1760" s="2" t="s">
        <v>2871</v>
      </c>
      <c r="B1760" s="2" t="s">
        <v>10</v>
      </c>
      <c r="C1760" s="3">
        <v>44693</v>
      </c>
      <c r="D1760" t="s">
        <v>2872</v>
      </c>
      <c r="E1760" s="2" t="s">
        <v>2873</v>
      </c>
      <c r="F1760" s="2" t="s">
        <v>12</v>
      </c>
      <c r="G1760" t="s">
        <v>2396</v>
      </c>
      <c r="H1760" t="str">
        <f t="shared" si="54"/>
        <v>https://videplast.com.br/consulta-imobilizado?id=30003602&amp;nome=BEBEDOURO%20ACQUA%20GELATA%20PRE50%20ACO%20INOX%202%20TORNEIRAS</v>
      </c>
      <c r="I1760" t="e">
        <f t="shared" ca="1" si="55"/>
        <v>#NAME?</v>
      </c>
    </row>
    <row r="1761" spans="1:9" x14ac:dyDescent="0.25">
      <c r="A1761" s="2" t="s">
        <v>2874</v>
      </c>
      <c r="B1761" s="2" t="s">
        <v>10</v>
      </c>
      <c r="C1761" s="3">
        <v>44741</v>
      </c>
      <c r="D1761" t="s">
        <v>2875</v>
      </c>
      <c r="E1761" s="2" t="s">
        <v>2876</v>
      </c>
      <c r="F1761" s="2" t="s">
        <v>12</v>
      </c>
      <c r="G1761" t="s">
        <v>2396</v>
      </c>
      <c r="H1761" t="str">
        <f t="shared" si="54"/>
        <v>https://videplast.com.br/consulta-imobilizado?id=30003609&amp;nome=ARMARIO%20DE%20ACO%20CINZA%2050%20PORTAS</v>
      </c>
      <c r="I1761" t="e">
        <f t="shared" ca="1" si="55"/>
        <v>#NAME?</v>
      </c>
    </row>
    <row r="1762" spans="1:9" x14ac:dyDescent="0.25">
      <c r="A1762" s="2" t="s">
        <v>2877</v>
      </c>
      <c r="B1762" s="2" t="s">
        <v>10</v>
      </c>
      <c r="C1762" s="3">
        <v>44741</v>
      </c>
      <c r="D1762" t="s">
        <v>2875</v>
      </c>
      <c r="E1762" s="2" t="s">
        <v>2878</v>
      </c>
      <c r="F1762" s="2" t="s">
        <v>12</v>
      </c>
      <c r="G1762" t="s">
        <v>2396</v>
      </c>
      <c r="H1762" t="str">
        <f t="shared" si="54"/>
        <v>https://videplast.com.br/consulta-imobilizado?id=30003610&amp;nome=ARMARIO%20DE%20ACO%20CINZA%2050%20PORTAS</v>
      </c>
      <c r="I1762" t="e">
        <f t="shared" ca="1" si="55"/>
        <v>#NAME?</v>
      </c>
    </row>
    <row r="1763" spans="1:9" x14ac:dyDescent="0.25">
      <c r="A1763" s="2" t="s">
        <v>2879</v>
      </c>
      <c r="B1763" s="2" t="s">
        <v>10</v>
      </c>
      <c r="C1763" s="3">
        <v>44711</v>
      </c>
      <c r="D1763" t="s">
        <v>2880</v>
      </c>
      <c r="E1763" s="2" t="s">
        <v>2881</v>
      </c>
      <c r="F1763" s="2" t="s">
        <v>2882</v>
      </c>
      <c r="G1763" t="s">
        <v>2396</v>
      </c>
      <c r="H1763" t="str">
        <f t="shared" si="54"/>
        <v>https://videplast.com.br/consulta-imobilizado?id=30003633&amp;nome=AR%20CONDICIONADO%20INT/EXT%20FUJITSU%2024000%20BTUS</v>
      </c>
      <c r="I1763" t="e">
        <f t="shared" ca="1" si="55"/>
        <v>#NAME?</v>
      </c>
    </row>
    <row r="1764" spans="1:9" x14ac:dyDescent="0.25">
      <c r="A1764" s="2" t="s">
        <v>2883</v>
      </c>
      <c r="B1764" s="2" t="s">
        <v>10</v>
      </c>
      <c r="C1764" s="3">
        <v>45112</v>
      </c>
      <c r="D1764" t="s">
        <v>2884</v>
      </c>
      <c r="E1764" s="2" t="s">
        <v>2885</v>
      </c>
      <c r="F1764" s="2" t="s">
        <v>2886</v>
      </c>
      <c r="G1764" t="s">
        <v>2396</v>
      </c>
      <c r="H1764" t="str">
        <f t="shared" si="54"/>
        <v>https://videplast.com.br/consulta-imobilizado?id=30003867&amp;nome=CLIMATIZADOR%20ROTOPLAST%2046%20PORTATIL</v>
      </c>
      <c r="I1764" t="e">
        <f t="shared" ca="1" si="55"/>
        <v>#NAME?</v>
      </c>
    </row>
    <row r="1765" spans="1:9" x14ac:dyDescent="0.25">
      <c r="A1765" s="2" t="s">
        <v>2887</v>
      </c>
      <c r="B1765" s="2" t="s">
        <v>10</v>
      </c>
      <c r="C1765" s="3">
        <v>45119</v>
      </c>
      <c r="D1765" t="s">
        <v>2888</v>
      </c>
      <c r="E1765" s="2" t="s">
        <v>2889</v>
      </c>
      <c r="F1765" s="2" t="s">
        <v>12</v>
      </c>
      <c r="G1765" t="s">
        <v>2396</v>
      </c>
      <c r="H1765" t="str">
        <f t="shared" si="54"/>
        <v>https://videplast.com.br/consulta-imobilizado?id=30003928&amp;nome=MESA%20EM%20ACO%20INOXIDAVEL</v>
      </c>
      <c r="I1765" t="e">
        <f t="shared" ca="1" si="55"/>
        <v>#NAME?</v>
      </c>
    </row>
    <row r="1766" spans="1:9" x14ac:dyDescent="0.25">
      <c r="A1766" s="2" t="s">
        <v>2890</v>
      </c>
      <c r="B1766" s="2" t="s">
        <v>10</v>
      </c>
      <c r="C1766" s="3">
        <v>45119</v>
      </c>
      <c r="D1766" t="s">
        <v>2888</v>
      </c>
      <c r="E1766" s="2" t="s">
        <v>2891</v>
      </c>
      <c r="F1766" s="2" t="s">
        <v>12</v>
      </c>
      <c r="G1766" t="s">
        <v>2396</v>
      </c>
      <c r="H1766" t="str">
        <f t="shared" si="54"/>
        <v>https://videplast.com.br/consulta-imobilizado?id=30003929&amp;nome=MESA%20EM%20ACO%20INOXIDAVEL</v>
      </c>
      <c r="I1766" t="e">
        <f t="shared" ca="1" si="55"/>
        <v>#NAME?</v>
      </c>
    </row>
    <row r="1767" spans="1:9" x14ac:dyDescent="0.25">
      <c r="A1767" s="2" t="s">
        <v>2892</v>
      </c>
      <c r="B1767" s="2" t="s">
        <v>10</v>
      </c>
      <c r="C1767" s="3">
        <v>45119</v>
      </c>
      <c r="D1767" t="s">
        <v>2888</v>
      </c>
      <c r="E1767" s="2" t="s">
        <v>2201</v>
      </c>
      <c r="F1767" s="2" t="s">
        <v>12</v>
      </c>
      <c r="G1767" t="s">
        <v>2396</v>
      </c>
      <c r="H1767" t="str">
        <f t="shared" si="54"/>
        <v>https://videplast.com.br/consulta-imobilizado?id=30003930&amp;nome=MESA%20EM%20ACO%20INOXIDAVEL</v>
      </c>
      <c r="I1767" t="e">
        <f t="shared" ca="1" si="55"/>
        <v>#NAME?</v>
      </c>
    </row>
    <row r="1768" spans="1:9" x14ac:dyDescent="0.25">
      <c r="A1768" s="2" t="s">
        <v>2893</v>
      </c>
      <c r="B1768" s="2" t="s">
        <v>10</v>
      </c>
      <c r="C1768" s="3">
        <v>45631</v>
      </c>
      <c r="D1768" t="s">
        <v>2894</v>
      </c>
      <c r="E1768" s="2" t="s">
        <v>12</v>
      </c>
      <c r="F1768" s="2" t="s">
        <v>12</v>
      </c>
      <c r="G1768" t="s">
        <v>2396</v>
      </c>
      <c r="H1768" t="str">
        <f t="shared" si="54"/>
        <v>https://videplast.com.br/consulta-imobilizado?id=30004393&amp;nome=ESTANTE%20PORTA%20PALETE%204%20VAOS%202000X2000X500MM</v>
      </c>
      <c r="I1768" t="e">
        <f t="shared" ca="1" si="55"/>
        <v>#NAME?</v>
      </c>
    </row>
    <row r="1769" spans="1:9" x14ac:dyDescent="0.25">
      <c r="A1769" s="2" t="s">
        <v>2895</v>
      </c>
      <c r="B1769" s="2" t="s">
        <v>10</v>
      </c>
      <c r="C1769" s="3">
        <v>43734</v>
      </c>
      <c r="D1769" t="s">
        <v>2896</v>
      </c>
      <c r="E1769" s="2" t="s">
        <v>2897</v>
      </c>
      <c r="F1769" s="2" t="s">
        <v>12</v>
      </c>
      <c r="G1769" t="s">
        <v>2396</v>
      </c>
      <c r="H1769" t="str">
        <f t="shared" si="54"/>
        <v>https://videplast.com.br/consulta-imobilizado?id=31000193&amp;nome=PALETEIRA%20ELETRICA%20STILL%20EGU%20C-20%20CAP%202000%20KG</v>
      </c>
      <c r="I1769" t="e">
        <f t="shared" ca="1" si="55"/>
        <v>#NAME?</v>
      </c>
    </row>
    <row r="1770" spans="1:9" x14ac:dyDescent="0.25">
      <c r="A1770" s="2" t="s">
        <v>2898</v>
      </c>
      <c r="B1770" s="2" t="s">
        <v>10</v>
      </c>
      <c r="C1770" s="3">
        <v>45607</v>
      </c>
      <c r="D1770" t="s">
        <v>2899</v>
      </c>
      <c r="E1770" s="2" t="s">
        <v>12</v>
      </c>
      <c r="F1770" s="2" t="s">
        <v>2900</v>
      </c>
      <c r="G1770" t="s">
        <v>2396</v>
      </c>
      <c r="H1770" t="str">
        <f t="shared" si="54"/>
        <v>https://videplast.com.br/consulta-imobilizado?id=31000323&amp;nome=TRANSPALETEIRA%20ELETRICA%20STHILL%20ECH15C%201500KG</v>
      </c>
      <c r="I1770" t="e">
        <f t="shared" ca="1" si="55"/>
        <v>#NAME?</v>
      </c>
    </row>
    <row r="1771" spans="1:9" x14ac:dyDescent="0.25">
      <c r="A1771" s="2" t="s">
        <v>2901</v>
      </c>
      <c r="B1771" s="2" t="s">
        <v>10</v>
      </c>
      <c r="C1771" s="3">
        <v>41578</v>
      </c>
      <c r="D1771" t="s">
        <v>2902</v>
      </c>
      <c r="E1771" s="2" t="s">
        <v>2903</v>
      </c>
      <c r="F1771" s="2" t="s">
        <v>12</v>
      </c>
      <c r="G1771" t="s">
        <v>2396</v>
      </c>
      <c r="H1771" t="str">
        <f t="shared" si="54"/>
        <v>https://videplast.com.br/consulta-imobilizado?id=32000054&amp;nome=THIN%20CLIENT%20T510%20HP</v>
      </c>
      <c r="I1771" t="e">
        <f t="shared" ca="1" si="55"/>
        <v>#NAME?</v>
      </c>
    </row>
    <row r="1772" spans="1:9" x14ac:dyDescent="0.25">
      <c r="A1772" s="2" t="s">
        <v>2904</v>
      </c>
      <c r="B1772" s="2" t="s">
        <v>10</v>
      </c>
      <c r="C1772" s="3">
        <v>40755</v>
      </c>
      <c r="D1772" t="s">
        <v>2905</v>
      </c>
      <c r="E1772" s="2" t="s">
        <v>12</v>
      </c>
      <c r="F1772" s="2" t="s">
        <v>12</v>
      </c>
      <c r="G1772" t="s">
        <v>2396</v>
      </c>
      <c r="H1772" t="str">
        <f t="shared" si="54"/>
        <v>https://videplast.com.br/consulta-imobilizado?id=32000067&amp;nome=PLACA%20MAE%20I3/I5/I7%20ASUS%20LGA1155%20P8H61-M%20CB%206878</v>
      </c>
      <c r="I1772" t="e">
        <f t="shared" ca="1" si="55"/>
        <v>#NAME?</v>
      </c>
    </row>
    <row r="1773" spans="1:9" x14ac:dyDescent="0.25">
      <c r="A1773" s="2" t="s">
        <v>2904</v>
      </c>
      <c r="B1773" s="2" t="s">
        <v>26</v>
      </c>
      <c r="C1773" s="3">
        <v>40755</v>
      </c>
      <c r="D1773" t="s">
        <v>2906</v>
      </c>
      <c r="E1773" s="2" t="s">
        <v>12</v>
      </c>
      <c r="F1773" s="2" t="s">
        <v>12</v>
      </c>
      <c r="G1773" t="s">
        <v>2396</v>
      </c>
      <c r="H1773" t="str">
        <f t="shared" si="54"/>
        <v>https://videplast.com.br/consulta-imobilizado?id=32000067&amp;nome=PROCESSADOR%20INTEL%20CORE%20I3</v>
      </c>
      <c r="I1773" t="e">
        <f t="shared" ca="1" si="55"/>
        <v>#NAME?</v>
      </c>
    </row>
    <row r="1774" spans="1:9" x14ac:dyDescent="0.25">
      <c r="A1774" s="2" t="s">
        <v>2907</v>
      </c>
      <c r="B1774" s="2" t="s">
        <v>10</v>
      </c>
      <c r="C1774" s="3">
        <v>40755</v>
      </c>
      <c r="D1774" t="s">
        <v>2908</v>
      </c>
      <c r="E1774" s="2" t="s">
        <v>12</v>
      </c>
      <c r="F1774" s="2" t="s">
        <v>12</v>
      </c>
      <c r="G1774" t="s">
        <v>2396</v>
      </c>
      <c r="H1774" t="str">
        <f t="shared" si="54"/>
        <v>https://videplast.com.br/consulta-imobilizado?id=32000068&amp;nome=COOLER%20GAMER%2012%20VDC</v>
      </c>
      <c r="I1774" t="e">
        <f t="shared" ca="1" si="55"/>
        <v>#NAME?</v>
      </c>
    </row>
    <row r="1775" spans="1:9" x14ac:dyDescent="0.25">
      <c r="A1775" s="2" t="s">
        <v>2907</v>
      </c>
      <c r="B1775" s="2" t="s">
        <v>26</v>
      </c>
      <c r="C1775" s="3">
        <v>40755</v>
      </c>
      <c r="D1775" t="s">
        <v>2909</v>
      </c>
      <c r="E1775" s="2" t="s">
        <v>12</v>
      </c>
      <c r="F1775" s="2" t="s">
        <v>12</v>
      </c>
      <c r="G1775" t="s">
        <v>2396</v>
      </c>
      <c r="H1775" t="str">
        <f t="shared" si="54"/>
        <v>https://videplast.com.br/consulta-imobilizado?id=32000068&amp;nome=02%20GABINETE</v>
      </c>
      <c r="I1775" t="e">
        <f t="shared" ca="1" si="55"/>
        <v>#NAME?</v>
      </c>
    </row>
    <row r="1776" spans="1:9" x14ac:dyDescent="0.25">
      <c r="A1776" s="2" t="s">
        <v>2907</v>
      </c>
      <c r="B1776" s="2" t="s">
        <v>21</v>
      </c>
      <c r="C1776" s="3">
        <v>40755</v>
      </c>
      <c r="D1776" t="s">
        <v>2910</v>
      </c>
      <c r="E1776" s="2" t="s">
        <v>12</v>
      </c>
      <c r="F1776" s="2" t="s">
        <v>12</v>
      </c>
      <c r="G1776" t="s">
        <v>2396</v>
      </c>
      <c r="H1776" t="str">
        <f t="shared" si="54"/>
        <v>https://videplast.com.br/consulta-imobilizado?id=32000068&amp;nome=2%20HD%20500GB%20SATA%20SAMSUNG</v>
      </c>
      <c r="I1776" t="e">
        <f t="shared" ca="1" si="55"/>
        <v>#NAME?</v>
      </c>
    </row>
    <row r="1777" spans="1:9" x14ac:dyDescent="0.25">
      <c r="A1777" s="2" t="s">
        <v>2907</v>
      </c>
      <c r="B1777" s="2" t="s">
        <v>29</v>
      </c>
      <c r="C1777" s="3">
        <v>40755</v>
      </c>
      <c r="D1777" t="s">
        <v>2911</v>
      </c>
      <c r="E1777" s="2" t="s">
        <v>12</v>
      </c>
      <c r="F1777" s="2" t="s">
        <v>12</v>
      </c>
      <c r="G1777" t="s">
        <v>2396</v>
      </c>
      <c r="H1777" t="str">
        <f t="shared" si="54"/>
        <v>https://videplast.com.br/consulta-imobilizado?id=32000068&amp;nome=2%20MEMORIA%20DDR3%202GB%201333MHZ%20MARKVISION</v>
      </c>
      <c r="I1777" t="e">
        <f t="shared" ca="1" si="55"/>
        <v>#NAME?</v>
      </c>
    </row>
    <row r="1778" spans="1:9" x14ac:dyDescent="0.25">
      <c r="A1778" s="2" t="s">
        <v>2912</v>
      </c>
      <c r="B1778" s="2" t="s">
        <v>10</v>
      </c>
      <c r="C1778" s="3">
        <v>40786</v>
      </c>
      <c r="D1778" t="s">
        <v>2913</v>
      </c>
      <c r="E1778" s="2" t="s">
        <v>12</v>
      </c>
      <c r="F1778" s="2" t="s">
        <v>12</v>
      </c>
      <c r="G1778" t="s">
        <v>2396</v>
      </c>
      <c r="H1778" t="str">
        <f t="shared" si="54"/>
        <v>https://videplast.com.br/consulta-imobilizado?id=32000070&amp;nome=BALLUN%20PASSIVO%204%20CANAIS%20CB%205273</v>
      </c>
      <c r="I1778" t="e">
        <f t="shared" ca="1" si="55"/>
        <v>#NAME?</v>
      </c>
    </row>
    <row r="1779" spans="1:9" x14ac:dyDescent="0.25">
      <c r="A1779" s="2" t="s">
        <v>2914</v>
      </c>
      <c r="B1779" s="2" t="s">
        <v>10</v>
      </c>
      <c r="C1779" s="3">
        <v>41670</v>
      </c>
      <c r="D1779" t="s">
        <v>2915</v>
      </c>
      <c r="E1779" s="2" t="s">
        <v>2916</v>
      </c>
      <c r="F1779" s="2" t="s">
        <v>12</v>
      </c>
      <c r="G1779" t="s">
        <v>2396</v>
      </c>
      <c r="H1779" t="str">
        <f t="shared" si="54"/>
        <v>https://videplast.com.br/consulta-imobilizado?id=32000097&amp;nome=MONITOR%2015.6%20LCD%20AOC%20LED%201670/1619/E1621</v>
      </c>
      <c r="I1779" t="e">
        <f t="shared" ca="1" si="55"/>
        <v>#NAME?</v>
      </c>
    </row>
    <row r="1780" spans="1:9" x14ac:dyDescent="0.25">
      <c r="A1780" s="2" t="s">
        <v>2917</v>
      </c>
      <c r="B1780" s="2" t="s">
        <v>10</v>
      </c>
      <c r="C1780" s="3">
        <v>41670</v>
      </c>
      <c r="D1780" t="s">
        <v>2915</v>
      </c>
      <c r="E1780" s="2" t="s">
        <v>2918</v>
      </c>
      <c r="F1780" s="2" t="s">
        <v>12</v>
      </c>
      <c r="G1780" t="s">
        <v>2396</v>
      </c>
      <c r="H1780" t="str">
        <f t="shared" si="54"/>
        <v>https://videplast.com.br/consulta-imobilizado?id=32000098&amp;nome=MONITOR%2015.6%20LCD%20AOC%20LED%201670/1619/E1621</v>
      </c>
      <c r="I1780" t="e">
        <f t="shared" ca="1" si="55"/>
        <v>#NAME?</v>
      </c>
    </row>
    <row r="1781" spans="1:9" x14ac:dyDescent="0.25">
      <c r="A1781" s="2" t="s">
        <v>2919</v>
      </c>
      <c r="B1781" s="2" t="s">
        <v>10</v>
      </c>
      <c r="C1781" s="3">
        <v>39144</v>
      </c>
      <c r="D1781" t="s">
        <v>2920</v>
      </c>
      <c r="E1781" s="2" t="s">
        <v>12</v>
      </c>
      <c r="F1781" s="2" t="s">
        <v>12</v>
      </c>
      <c r="G1781" t="s">
        <v>2396</v>
      </c>
      <c r="H1781" t="str">
        <f t="shared" si="54"/>
        <v>https://videplast.com.br/consulta-imobilizado?id=32000167&amp;nome=MONITOR%2017"%20SAMSUNG%20794V</v>
      </c>
      <c r="I1781" t="e">
        <f t="shared" ca="1" si="55"/>
        <v>#NAME?</v>
      </c>
    </row>
    <row r="1782" spans="1:9" x14ac:dyDescent="0.25">
      <c r="A1782" s="2" t="s">
        <v>2921</v>
      </c>
      <c r="B1782" s="2" t="s">
        <v>10</v>
      </c>
      <c r="C1782" s="3">
        <v>39161</v>
      </c>
      <c r="D1782" t="s">
        <v>2922</v>
      </c>
      <c r="E1782" s="2" t="s">
        <v>12</v>
      </c>
      <c r="F1782" s="2" t="s">
        <v>12</v>
      </c>
      <c r="G1782" t="s">
        <v>2396</v>
      </c>
      <c r="H1782" t="str">
        <f t="shared" si="54"/>
        <v>https://videplast.com.br/consulta-imobilizado?id=32000169&amp;nome=6%20LEITORES%20OPTICOS%20METROLOGIC%20MK5145</v>
      </c>
      <c r="I1782" t="e">
        <f t="shared" ca="1" si="55"/>
        <v>#NAME?</v>
      </c>
    </row>
    <row r="1783" spans="1:9" x14ac:dyDescent="0.25">
      <c r="A1783" s="2" t="s">
        <v>2923</v>
      </c>
      <c r="B1783" s="2" t="s">
        <v>10</v>
      </c>
      <c r="C1783" s="3">
        <v>39623</v>
      </c>
      <c r="D1783" t="s">
        <v>2924</v>
      </c>
      <c r="E1783" s="2" t="s">
        <v>12</v>
      </c>
      <c r="F1783" s="2" t="s">
        <v>12</v>
      </c>
      <c r="G1783" t="s">
        <v>2396</v>
      </c>
      <c r="H1783" s="5" t="str">
        <f t="shared" si="54"/>
        <v>https://videplast.com.br/consulta-imobilizado?id=32000184&amp;nome=COMPUTADOR%20INTEL%20DUALCORE%201,8HD%20160%20+%20MONITOR%20AOC</v>
      </c>
      <c r="I1783" t="e">
        <f t="shared" ca="1" si="55"/>
        <v>#NAME?</v>
      </c>
    </row>
    <row r="1784" spans="1:9" x14ac:dyDescent="0.25">
      <c r="A1784" s="2" t="s">
        <v>2925</v>
      </c>
      <c r="B1784" s="2" t="s">
        <v>10</v>
      </c>
      <c r="C1784" s="3">
        <v>42241</v>
      </c>
      <c r="D1784" t="s">
        <v>506</v>
      </c>
      <c r="E1784" s="2" t="s">
        <v>12</v>
      </c>
      <c r="F1784" s="2" t="s">
        <v>12</v>
      </c>
      <c r="G1784" t="s">
        <v>2396</v>
      </c>
      <c r="H1784" t="str">
        <f t="shared" si="54"/>
        <v>https://videplast.com.br/consulta-imobilizado?id=32000873&amp;nome=IMPRESSOR%20TERMICO%20ZEBRA%20GC%20420</v>
      </c>
      <c r="I1784" t="e">
        <f t="shared" ca="1" si="55"/>
        <v>#NAME?</v>
      </c>
    </row>
    <row r="1785" spans="1:9" x14ac:dyDescent="0.25">
      <c r="A1785" s="2" t="s">
        <v>2926</v>
      </c>
      <c r="B1785" s="2" t="s">
        <v>10</v>
      </c>
      <c r="C1785" s="3">
        <v>42292</v>
      </c>
      <c r="D1785" t="s">
        <v>506</v>
      </c>
      <c r="E1785" s="2" t="s">
        <v>12</v>
      </c>
      <c r="F1785" s="2" t="s">
        <v>12</v>
      </c>
      <c r="G1785" t="s">
        <v>2396</v>
      </c>
      <c r="H1785" t="str">
        <f t="shared" si="54"/>
        <v>https://videplast.com.br/consulta-imobilizado?id=32000887&amp;nome=IMPRESSOR%20TERMICO%20ZEBRA%20GC%20420</v>
      </c>
      <c r="I1785" t="e">
        <f t="shared" ca="1" si="55"/>
        <v>#NAME?</v>
      </c>
    </row>
    <row r="1786" spans="1:9" x14ac:dyDescent="0.25">
      <c r="A1786" s="2" t="s">
        <v>2927</v>
      </c>
      <c r="B1786" s="2" t="s">
        <v>10</v>
      </c>
      <c r="C1786" s="3">
        <v>43186</v>
      </c>
      <c r="D1786" t="s">
        <v>2928</v>
      </c>
      <c r="E1786" s="2" t="s">
        <v>12</v>
      </c>
      <c r="F1786" s="2" t="s">
        <v>12</v>
      </c>
      <c r="G1786" t="s">
        <v>2396</v>
      </c>
      <c r="H1786" t="str">
        <f t="shared" si="54"/>
        <v>https://videplast.com.br/consulta-imobilizado?id=32001081&amp;nome=IMPRESSOR%20TERMICO%20ZEBRA%20ETQ%20GC%20420%20203D</v>
      </c>
      <c r="I1786" t="e">
        <f t="shared" ca="1" si="55"/>
        <v>#NAME?</v>
      </c>
    </row>
    <row r="1787" spans="1:9" x14ac:dyDescent="0.25">
      <c r="A1787" s="2" t="s">
        <v>2929</v>
      </c>
      <c r="B1787" s="2" t="s">
        <v>10</v>
      </c>
      <c r="C1787" s="3">
        <v>43227</v>
      </c>
      <c r="D1787" t="s">
        <v>506</v>
      </c>
      <c r="E1787" s="2" t="s">
        <v>12</v>
      </c>
      <c r="F1787" s="2" t="s">
        <v>12</v>
      </c>
      <c r="G1787" t="s">
        <v>2396</v>
      </c>
      <c r="H1787" t="str">
        <f t="shared" si="54"/>
        <v>https://videplast.com.br/consulta-imobilizado?id=32001087&amp;nome=IMPRESSOR%20TERMICO%20ZEBRA%20GC%20420</v>
      </c>
      <c r="I1787" t="e">
        <f t="shared" ca="1" si="55"/>
        <v>#NAME?</v>
      </c>
    </row>
    <row r="1788" spans="1:9" x14ac:dyDescent="0.25">
      <c r="A1788" s="2" t="s">
        <v>2930</v>
      </c>
      <c r="B1788" s="2" t="s">
        <v>10</v>
      </c>
      <c r="C1788" s="3">
        <v>43404</v>
      </c>
      <c r="D1788" t="s">
        <v>2931</v>
      </c>
      <c r="E1788" s="2" t="s">
        <v>12</v>
      </c>
      <c r="F1788" s="2" t="s">
        <v>2932</v>
      </c>
      <c r="G1788" t="s">
        <v>2396</v>
      </c>
      <c r="H1788" s="5" t="str">
        <f t="shared" si="54"/>
        <v>https://videplast.com.br/consulta-imobilizado?id=32001132&amp;nome=COMPUTADOR%20DELL%20VOSTRO%20I3%208100%204C%203.6GHZ,%204G%20RAM</v>
      </c>
      <c r="I1788" t="e">
        <f t="shared" ca="1" si="55"/>
        <v>#NAME?</v>
      </c>
    </row>
    <row r="1789" spans="1:9" x14ac:dyDescent="0.25">
      <c r="A1789" s="2" t="s">
        <v>2933</v>
      </c>
      <c r="B1789" s="2" t="s">
        <v>10</v>
      </c>
      <c r="C1789" s="3">
        <v>43404</v>
      </c>
      <c r="D1789" t="s">
        <v>2931</v>
      </c>
      <c r="E1789" s="2" t="s">
        <v>12</v>
      </c>
      <c r="F1789" s="2" t="s">
        <v>2934</v>
      </c>
      <c r="G1789" t="s">
        <v>2396</v>
      </c>
      <c r="H1789" s="5" t="str">
        <f t="shared" si="54"/>
        <v>https://videplast.com.br/consulta-imobilizado?id=32001133&amp;nome=COMPUTADOR%20DELL%20VOSTRO%20I3%208100%204C%203.6GHZ,%204G%20RAM</v>
      </c>
      <c r="I1789" t="e">
        <f t="shared" ca="1" si="55"/>
        <v>#NAME?</v>
      </c>
    </row>
    <row r="1790" spans="1:9" x14ac:dyDescent="0.25">
      <c r="A1790" s="2" t="s">
        <v>2935</v>
      </c>
      <c r="B1790" s="2" t="s">
        <v>10</v>
      </c>
      <c r="C1790" s="3">
        <v>43404</v>
      </c>
      <c r="D1790" t="s">
        <v>2936</v>
      </c>
      <c r="E1790" s="2" t="s">
        <v>12</v>
      </c>
      <c r="F1790" s="2" t="s">
        <v>2937</v>
      </c>
      <c r="G1790" t="s">
        <v>2396</v>
      </c>
      <c r="H1790" t="str">
        <f t="shared" si="54"/>
        <v>https://videplast.com.br/consulta-imobilizado?id=32001134&amp;nome=MONITOR%20DELL%20E1916H%2019"</v>
      </c>
      <c r="I1790" t="e">
        <f t="shared" ca="1" si="55"/>
        <v>#NAME?</v>
      </c>
    </row>
    <row r="1791" spans="1:9" x14ac:dyDescent="0.25">
      <c r="A1791" s="2" t="s">
        <v>2938</v>
      </c>
      <c r="B1791" s="2" t="s">
        <v>10</v>
      </c>
      <c r="C1791" s="3">
        <v>43404</v>
      </c>
      <c r="D1791" t="s">
        <v>2936</v>
      </c>
      <c r="E1791" s="2" t="s">
        <v>12</v>
      </c>
      <c r="F1791" s="2" t="s">
        <v>2939</v>
      </c>
      <c r="G1791" t="s">
        <v>2396</v>
      </c>
      <c r="H1791" t="str">
        <f t="shared" si="54"/>
        <v>https://videplast.com.br/consulta-imobilizado?id=32001135&amp;nome=MONITOR%20DELL%20E1916H%2019"</v>
      </c>
      <c r="I1791" t="e">
        <f t="shared" ca="1" si="55"/>
        <v>#NAME?</v>
      </c>
    </row>
    <row r="1792" spans="1:9" x14ac:dyDescent="0.25">
      <c r="A1792" s="2" t="s">
        <v>2940</v>
      </c>
      <c r="B1792" s="2" t="s">
        <v>10</v>
      </c>
      <c r="C1792" s="3">
        <v>43369</v>
      </c>
      <c r="D1792" t="s">
        <v>506</v>
      </c>
      <c r="E1792" s="2" t="s">
        <v>12</v>
      </c>
      <c r="F1792" s="2" t="s">
        <v>12</v>
      </c>
      <c r="G1792" t="s">
        <v>2396</v>
      </c>
      <c r="H1792" t="str">
        <f t="shared" si="54"/>
        <v>https://videplast.com.br/consulta-imobilizado?id=32001136&amp;nome=IMPRESSOR%20TERMICO%20ZEBRA%20GC%20420</v>
      </c>
      <c r="I1792" t="e">
        <f t="shared" ca="1" si="55"/>
        <v>#NAME?</v>
      </c>
    </row>
    <row r="1793" spans="1:9" x14ac:dyDescent="0.25">
      <c r="A1793" s="2" t="s">
        <v>2941</v>
      </c>
      <c r="B1793" s="2" t="s">
        <v>10</v>
      </c>
      <c r="C1793" s="3">
        <v>43369</v>
      </c>
      <c r="D1793" t="s">
        <v>506</v>
      </c>
      <c r="E1793" s="2" t="s">
        <v>12</v>
      </c>
      <c r="F1793" s="2" t="s">
        <v>12</v>
      </c>
      <c r="G1793" t="s">
        <v>2396</v>
      </c>
      <c r="H1793" t="str">
        <f t="shared" si="54"/>
        <v>https://videplast.com.br/consulta-imobilizado?id=32001137&amp;nome=IMPRESSOR%20TERMICO%20ZEBRA%20GC%20420</v>
      </c>
      <c r="I1793" t="e">
        <f t="shared" ca="1" si="55"/>
        <v>#NAME?</v>
      </c>
    </row>
    <row r="1794" spans="1:9" x14ac:dyDescent="0.25">
      <c r="A1794" s="2" t="s">
        <v>2942</v>
      </c>
      <c r="B1794" s="2" t="s">
        <v>10</v>
      </c>
      <c r="C1794" s="3">
        <v>43463</v>
      </c>
      <c r="D1794" t="s">
        <v>512</v>
      </c>
      <c r="E1794" s="2" t="s">
        <v>12</v>
      </c>
      <c r="F1794" s="2" t="s">
        <v>2943</v>
      </c>
      <c r="G1794" t="s">
        <v>2396</v>
      </c>
      <c r="H1794" s="5" t="str">
        <f t="shared" ref="H1794:H1857" si="56" xml:space="preserve"> "https://videplast.com.br/consulta-imobilizado?id=" &amp; A1794 &amp; "&amp;nome=" &amp; SUBSTITUTE(D1794, " ", "%20")</f>
        <v>https://videplast.com.br/consulta-imobilizado?id=32001210&amp;nome=COMPUTADOR%20DELL%20VOSTRO%20I3%208100%204C%203.6GHZ%204GB%20RAM</v>
      </c>
      <c r="I1794" t="e">
        <f t="shared" ref="I1794:I1857" ca="1" si="57">_xlfn.IMAGE("https://chart.googleapis.com/chart?chs=150x150&amp;cht=qr&amp;chl=" &amp; H1794)</f>
        <v>#NAME?</v>
      </c>
    </row>
    <row r="1795" spans="1:9" x14ac:dyDescent="0.25">
      <c r="A1795" s="2" t="s">
        <v>2944</v>
      </c>
      <c r="B1795" s="2" t="s">
        <v>10</v>
      </c>
      <c r="C1795" s="3">
        <v>43463</v>
      </c>
      <c r="D1795" t="s">
        <v>515</v>
      </c>
      <c r="E1795" s="2" t="s">
        <v>12</v>
      </c>
      <c r="F1795" s="2" t="s">
        <v>2945</v>
      </c>
      <c r="G1795" t="s">
        <v>2396</v>
      </c>
      <c r="H1795" t="str">
        <f t="shared" si="56"/>
        <v>https://videplast.com.br/consulta-imobilizado?id=32001214&amp;nome=MONITOR%20LED%2018,5"%20DELL%20E1916H</v>
      </c>
      <c r="I1795" t="e">
        <f t="shared" ca="1" si="57"/>
        <v>#NAME?</v>
      </c>
    </row>
    <row r="1796" spans="1:9" x14ac:dyDescent="0.25">
      <c r="A1796" s="2" t="s">
        <v>2946</v>
      </c>
      <c r="B1796" s="2" t="s">
        <v>10</v>
      </c>
      <c r="C1796" s="3">
        <v>43494</v>
      </c>
      <c r="D1796" t="s">
        <v>512</v>
      </c>
      <c r="E1796" s="2" t="s">
        <v>12</v>
      </c>
      <c r="F1796" s="2" t="s">
        <v>2947</v>
      </c>
      <c r="G1796" t="s">
        <v>2396</v>
      </c>
      <c r="H1796" s="5" t="str">
        <f t="shared" si="56"/>
        <v>https://videplast.com.br/consulta-imobilizado?id=32001227&amp;nome=COMPUTADOR%20DELL%20VOSTRO%20I3%208100%204C%203.6GHZ%204GB%20RAM</v>
      </c>
      <c r="I1796" t="e">
        <f t="shared" ca="1" si="57"/>
        <v>#NAME?</v>
      </c>
    </row>
    <row r="1797" spans="1:9" x14ac:dyDescent="0.25">
      <c r="A1797" s="2" t="s">
        <v>2948</v>
      </c>
      <c r="B1797" s="2" t="s">
        <v>10</v>
      </c>
      <c r="C1797" s="3">
        <v>43494</v>
      </c>
      <c r="D1797" t="s">
        <v>515</v>
      </c>
      <c r="E1797" s="2" t="s">
        <v>12</v>
      </c>
      <c r="F1797" s="2" t="s">
        <v>2949</v>
      </c>
      <c r="G1797" t="s">
        <v>2396</v>
      </c>
      <c r="H1797" t="str">
        <f t="shared" si="56"/>
        <v>https://videplast.com.br/consulta-imobilizado?id=32001230&amp;nome=MONITOR%20LED%2018,5"%20DELL%20E1916H</v>
      </c>
      <c r="I1797" t="e">
        <f t="shared" ca="1" si="57"/>
        <v>#NAME?</v>
      </c>
    </row>
    <row r="1798" spans="1:9" x14ac:dyDescent="0.25">
      <c r="A1798" s="2" t="s">
        <v>2950</v>
      </c>
      <c r="B1798" s="2" t="s">
        <v>10</v>
      </c>
      <c r="C1798" s="3">
        <v>43559</v>
      </c>
      <c r="D1798" t="s">
        <v>506</v>
      </c>
      <c r="E1798" s="2" t="s">
        <v>12</v>
      </c>
      <c r="F1798" s="2" t="s">
        <v>12</v>
      </c>
      <c r="G1798" t="s">
        <v>2396</v>
      </c>
      <c r="H1798" t="str">
        <f t="shared" si="56"/>
        <v>https://videplast.com.br/consulta-imobilizado?id=32001330&amp;nome=IMPRESSOR%20TERMICO%20ZEBRA%20GC%20420</v>
      </c>
      <c r="I1798" t="e">
        <f t="shared" ca="1" si="57"/>
        <v>#NAME?</v>
      </c>
    </row>
    <row r="1799" spans="1:9" x14ac:dyDescent="0.25">
      <c r="A1799" s="2" t="s">
        <v>2951</v>
      </c>
      <c r="B1799" s="2" t="s">
        <v>10</v>
      </c>
      <c r="C1799" s="3">
        <v>43560</v>
      </c>
      <c r="D1799" t="s">
        <v>506</v>
      </c>
      <c r="E1799" s="2" t="s">
        <v>12</v>
      </c>
      <c r="F1799" s="2" t="s">
        <v>12</v>
      </c>
      <c r="G1799" t="s">
        <v>2396</v>
      </c>
      <c r="H1799" t="str">
        <f t="shared" si="56"/>
        <v>https://videplast.com.br/consulta-imobilizado?id=32001341&amp;nome=IMPRESSOR%20TERMICO%20ZEBRA%20GC%20420</v>
      </c>
      <c r="I1799" t="e">
        <f t="shared" ca="1" si="57"/>
        <v>#NAME?</v>
      </c>
    </row>
    <row r="1800" spans="1:9" x14ac:dyDescent="0.25">
      <c r="A1800" s="2" t="s">
        <v>2952</v>
      </c>
      <c r="B1800" s="2" t="s">
        <v>10</v>
      </c>
      <c r="C1800" s="3">
        <v>43613</v>
      </c>
      <c r="D1800" t="s">
        <v>522</v>
      </c>
      <c r="E1800" s="2" t="s">
        <v>12</v>
      </c>
      <c r="F1800" s="2" t="s">
        <v>12</v>
      </c>
      <c r="G1800" t="s">
        <v>2396</v>
      </c>
      <c r="H1800" t="str">
        <f t="shared" si="56"/>
        <v>https://videplast.com.br/consulta-imobilizado?id=32001364&amp;nome=RELOGIO%20PONTO%20TOPDATA%20INNER%20373%20LFD%20BIO%20BARRAS</v>
      </c>
      <c r="I1800" t="e">
        <f t="shared" ca="1" si="57"/>
        <v>#NAME?</v>
      </c>
    </row>
    <row r="1801" spans="1:9" x14ac:dyDescent="0.25">
      <c r="A1801" s="2" t="s">
        <v>2953</v>
      </c>
      <c r="B1801" s="2" t="s">
        <v>10</v>
      </c>
      <c r="C1801" s="3">
        <v>44202</v>
      </c>
      <c r="D1801" t="s">
        <v>2310</v>
      </c>
      <c r="E1801" s="2" t="s">
        <v>12</v>
      </c>
      <c r="F1801" s="2" t="s">
        <v>2954</v>
      </c>
      <c r="G1801" t="s">
        <v>2396</v>
      </c>
      <c r="H1801" s="5" t="str">
        <f t="shared" si="56"/>
        <v>https://videplast.com.br/consulta-imobilizado?id=32002051&amp;nome=COMPUTADOR%20DELL%20OPTIPLEX%203070%20e%20i3-9100%20RAM%204GB</v>
      </c>
      <c r="I1801" t="e">
        <f t="shared" ca="1" si="57"/>
        <v>#NAME?</v>
      </c>
    </row>
    <row r="1802" spans="1:9" x14ac:dyDescent="0.25">
      <c r="A1802" s="2" t="s">
        <v>2955</v>
      </c>
      <c r="B1802" s="2" t="s">
        <v>10</v>
      </c>
      <c r="C1802" s="3">
        <v>44207</v>
      </c>
      <c r="D1802" t="s">
        <v>2313</v>
      </c>
      <c r="E1802" s="2" t="s">
        <v>12</v>
      </c>
      <c r="F1802" s="2" t="s">
        <v>2956</v>
      </c>
      <c r="G1802" t="s">
        <v>2396</v>
      </c>
      <c r="H1802" t="str">
        <f t="shared" si="56"/>
        <v>https://videplast.com.br/consulta-imobilizado?id=32002053&amp;nome=MONITOR%20LED%2018,5%20DELL%20E1920H</v>
      </c>
      <c r="I1802" t="e">
        <f t="shared" ca="1" si="57"/>
        <v>#NAME?</v>
      </c>
    </row>
    <row r="1803" spans="1:9" x14ac:dyDescent="0.25">
      <c r="A1803" s="2" t="s">
        <v>2957</v>
      </c>
      <c r="B1803" s="2" t="s">
        <v>10</v>
      </c>
      <c r="C1803" s="3">
        <v>44250</v>
      </c>
      <c r="D1803" t="s">
        <v>2958</v>
      </c>
      <c r="E1803" s="2" t="s">
        <v>12</v>
      </c>
      <c r="F1803" s="2" t="s">
        <v>2959</v>
      </c>
      <c r="G1803" t="s">
        <v>2396</v>
      </c>
      <c r="H1803" t="str">
        <f t="shared" si="56"/>
        <v>https://videplast.com.br/consulta-imobilizado?id=32002079&amp;nome=THINPC%20SUPERA%20SPMJ18TPSSD%20WINDOWS%2010%20IOT</v>
      </c>
      <c r="I1803" t="e">
        <f t="shared" ca="1" si="57"/>
        <v>#NAME?</v>
      </c>
    </row>
    <row r="1804" spans="1:9" x14ac:dyDescent="0.25">
      <c r="A1804" s="2" t="s">
        <v>2960</v>
      </c>
      <c r="B1804" s="2" t="s">
        <v>10</v>
      </c>
      <c r="C1804" s="3">
        <v>44249</v>
      </c>
      <c r="D1804" t="s">
        <v>2961</v>
      </c>
      <c r="E1804" s="2" t="s">
        <v>12</v>
      </c>
      <c r="F1804" s="2" t="s">
        <v>2962</v>
      </c>
      <c r="G1804" t="s">
        <v>2396</v>
      </c>
      <c r="H1804" t="str">
        <f t="shared" si="56"/>
        <v>https://videplast.com.br/consulta-imobilizado?id=32002080&amp;nome=MONITOR%20HP%20CM%20V19B%2018,5"</v>
      </c>
      <c r="I1804" t="e">
        <f t="shared" ca="1" si="57"/>
        <v>#NAME?</v>
      </c>
    </row>
    <row r="1805" spans="1:9" x14ac:dyDescent="0.25">
      <c r="A1805" s="2" t="s">
        <v>2963</v>
      </c>
      <c r="B1805" s="2" t="s">
        <v>10</v>
      </c>
      <c r="C1805" s="3">
        <v>44356</v>
      </c>
      <c r="D1805" t="s">
        <v>2958</v>
      </c>
      <c r="E1805" s="2" t="s">
        <v>12</v>
      </c>
      <c r="F1805" s="2" t="s">
        <v>2964</v>
      </c>
      <c r="G1805" t="s">
        <v>2396</v>
      </c>
      <c r="H1805" t="str">
        <f t="shared" si="56"/>
        <v>https://videplast.com.br/consulta-imobilizado?id=32002149&amp;nome=THINPC%20SUPERA%20SPMJ18TPSSD%20WINDOWS%2010%20IOT</v>
      </c>
      <c r="I1805" t="e">
        <f t="shared" ca="1" si="57"/>
        <v>#NAME?</v>
      </c>
    </row>
    <row r="1806" spans="1:9" x14ac:dyDescent="0.25">
      <c r="A1806" s="2" t="s">
        <v>2965</v>
      </c>
      <c r="B1806" s="2" t="s">
        <v>10</v>
      </c>
      <c r="C1806" s="3">
        <v>44356</v>
      </c>
      <c r="D1806" t="s">
        <v>2958</v>
      </c>
      <c r="E1806" s="2" t="s">
        <v>12</v>
      </c>
      <c r="F1806" s="2" t="s">
        <v>2966</v>
      </c>
      <c r="G1806" t="s">
        <v>2396</v>
      </c>
      <c r="H1806" t="str">
        <f t="shared" si="56"/>
        <v>https://videplast.com.br/consulta-imobilizado?id=32002150&amp;nome=THINPC%20SUPERA%20SPMJ18TPSSD%20WINDOWS%2010%20IOT</v>
      </c>
      <c r="I1806" t="e">
        <f t="shared" ca="1" si="57"/>
        <v>#NAME?</v>
      </c>
    </row>
    <row r="1807" spans="1:9" x14ac:dyDescent="0.25">
      <c r="A1807" s="2" t="s">
        <v>2967</v>
      </c>
      <c r="B1807" s="2" t="s">
        <v>10</v>
      </c>
      <c r="C1807" s="3">
        <v>44356</v>
      </c>
      <c r="D1807" t="s">
        <v>2958</v>
      </c>
      <c r="E1807" s="2" t="s">
        <v>12</v>
      </c>
      <c r="F1807" s="2" t="s">
        <v>2968</v>
      </c>
      <c r="G1807" t="s">
        <v>2396</v>
      </c>
      <c r="H1807" t="str">
        <f t="shared" si="56"/>
        <v>https://videplast.com.br/consulta-imobilizado?id=32002151&amp;nome=THINPC%20SUPERA%20SPMJ18TPSSD%20WINDOWS%2010%20IOT</v>
      </c>
      <c r="I1807" t="e">
        <f t="shared" ca="1" si="57"/>
        <v>#NAME?</v>
      </c>
    </row>
    <row r="1808" spans="1:9" x14ac:dyDescent="0.25">
      <c r="A1808" s="2" t="s">
        <v>2969</v>
      </c>
      <c r="B1808" s="2" t="s">
        <v>10</v>
      </c>
      <c r="C1808" s="3">
        <v>44820</v>
      </c>
      <c r="D1808" t="s">
        <v>2970</v>
      </c>
      <c r="E1808" s="2" t="s">
        <v>12</v>
      </c>
      <c r="F1808" s="2" t="s">
        <v>2971</v>
      </c>
      <c r="G1808" t="s">
        <v>2396</v>
      </c>
      <c r="H1808" s="5" t="str">
        <f t="shared" si="56"/>
        <v>https://videplast.com.br/consulta-imobilizado?id=32002263&amp;nome=COMPUTADOR%20DELL%20OPTIPLEX/VOSTRO%20I3%204GB%20SS256G%20W10P</v>
      </c>
      <c r="I1808" t="e">
        <f t="shared" ca="1" si="57"/>
        <v>#NAME?</v>
      </c>
    </row>
    <row r="1809" spans="1:9" x14ac:dyDescent="0.25">
      <c r="A1809" s="2" t="s">
        <v>2972</v>
      </c>
      <c r="B1809" s="2" t="s">
        <v>10</v>
      </c>
      <c r="C1809" s="3">
        <v>44700</v>
      </c>
      <c r="D1809" t="s">
        <v>535</v>
      </c>
      <c r="E1809" s="2" t="s">
        <v>2973</v>
      </c>
      <c r="F1809" s="2" t="s">
        <v>2974</v>
      </c>
      <c r="G1809" t="s">
        <v>2396</v>
      </c>
      <c r="H1809" s="5" t="str">
        <f t="shared" si="56"/>
        <v>https://videplast.com.br/consulta-imobilizado?id=32002378&amp;nome=COMPUTADOR%20DELL%20OPTIPLEX/VASTRO%20I3%204GB%20SSD256%20W10P</v>
      </c>
      <c r="I1809" t="e">
        <f t="shared" ca="1" si="57"/>
        <v>#NAME?</v>
      </c>
    </row>
    <row r="1810" spans="1:9" x14ac:dyDescent="0.25">
      <c r="A1810" s="2" t="s">
        <v>2975</v>
      </c>
      <c r="B1810" s="2" t="s">
        <v>10</v>
      </c>
      <c r="C1810" s="3">
        <v>44657</v>
      </c>
      <c r="D1810" t="s">
        <v>542</v>
      </c>
      <c r="E1810" s="2" t="s">
        <v>2976</v>
      </c>
      <c r="F1810" s="2" t="s">
        <v>12</v>
      </c>
      <c r="G1810" t="s">
        <v>2396</v>
      </c>
      <c r="H1810" t="str">
        <f t="shared" si="56"/>
        <v>https://videplast.com.br/consulta-imobilizado?id=32002404&amp;nome=TERMINAL%20DE%20BALANÇA%20THINPC%20SUPERA%20IZEI%20TINY%20W10P</v>
      </c>
      <c r="I1810" t="e">
        <f t="shared" ca="1" si="57"/>
        <v>#NAME?</v>
      </c>
    </row>
    <row r="1811" spans="1:9" x14ac:dyDescent="0.25">
      <c r="A1811" s="2" t="s">
        <v>2977</v>
      </c>
      <c r="B1811" s="2" t="s">
        <v>10</v>
      </c>
      <c r="C1811" s="3">
        <v>44657</v>
      </c>
      <c r="D1811" t="s">
        <v>542</v>
      </c>
      <c r="E1811" s="2" t="s">
        <v>2978</v>
      </c>
      <c r="F1811" s="2" t="s">
        <v>12</v>
      </c>
      <c r="G1811" t="s">
        <v>2396</v>
      </c>
      <c r="H1811" t="str">
        <f t="shared" si="56"/>
        <v>https://videplast.com.br/consulta-imobilizado?id=32002405&amp;nome=TERMINAL%20DE%20BALANÇA%20THINPC%20SUPERA%20IZEI%20TINY%20W10P</v>
      </c>
      <c r="I1811" t="e">
        <f t="shared" ca="1" si="57"/>
        <v>#NAME?</v>
      </c>
    </row>
    <row r="1812" spans="1:9" x14ac:dyDescent="0.25">
      <c r="A1812" s="2" t="s">
        <v>2979</v>
      </c>
      <c r="B1812" s="2" t="s">
        <v>10</v>
      </c>
      <c r="C1812" s="3">
        <v>44657</v>
      </c>
      <c r="D1812" t="s">
        <v>542</v>
      </c>
      <c r="E1812" s="2" t="s">
        <v>2980</v>
      </c>
      <c r="F1812" s="2" t="s">
        <v>12</v>
      </c>
      <c r="G1812" t="s">
        <v>2396</v>
      </c>
      <c r="H1812" t="str">
        <f t="shared" si="56"/>
        <v>https://videplast.com.br/consulta-imobilizado?id=32002406&amp;nome=TERMINAL%20DE%20BALANÇA%20THINPC%20SUPERA%20IZEI%20TINY%20W10P</v>
      </c>
      <c r="I1812" t="e">
        <f t="shared" ca="1" si="57"/>
        <v>#NAME?</v>
      </c>
    </row>
    <row r="1813" spans="1:9" x14ac:dyDescent="0.25">
      <c r="A1813" s="2" t="s">
        <v>2981</v>
      </c>
      <c r="B1813" s="2" t="s">
        <v>10</v>
      </c>
      <c r="C1813" s="3">
        <v>44846</v>
      </c>
      <c r="D1813" t="s">
        <v>2982</v>
      </c>
      <c r="E1813" s="2" t="s">
        <v>2983</v>
      </c>
      <c r="F1813" s="2" t="s">
        <v>2984</v>
      </c>
      <c r="G1813" t="s">
        <v>2396</v>
      </c>
      <c r="H1813" t="str">
        <f t="shared" si="56"/>
        <v>https://videplast.com.br/consulta-imobilizado?id=32002507&amp;nome=NOTEBOOK%20DELL%2015,6"%20I5%204GB%20MEMORIA%201TB</v>
      </c>
      <c r="I1813" t="e">
        <f t="shared" ca="1" si="57"/>
        <v>#NAME?</v>
      </c>
    </row>
    <row r="1814" spans="1:9" x14ac:dyDescent="0.25">
      <c r="A1814" s="2" t="s">
        <v>2985</v>
      </c>
      <c r="B1814" s="2" t="s">
        <v>10</v>
      </c>
      <c r="C1814" s="3">
        <v>44823</v>
      </c>
      <c r="D1814" t="s">
        <v>2986</v>
      </c>
      <c r="E1814" s="2" t="s">
        <v>2987</v>
      </c>
      <c r="F1814" s="2" t="s">
        <v>12</v>
      </c>
      <c r="G1814" t="s">
        <v>2396</v>
      </c>
      <c r="H1814" t="str">
        <f t="shared" si="56"/>
        <v>https://videplast.com.br/consulta-imobilizado?id=32002508&amp;nome=TV%20SMART%20LED%2055"%20LG%204K%20UHD%20BLUETOOTH</v>
      </c>
      <c r="I1814" t="e">
        <f t="shared" ca="1" si="57"/>
        <v>#NAME?</v>
      </c>
    </row>
    <row r="1815" spans="1:9" x14ac:dyDescent="0.25">
      <c r="A1815" s="2" t="s">
        <v>2988</v>
      </c>
      <c r="B1815" s="2" t="s">
        <v>10</v>
      </c>
      <c r="C1815" s="3">
        <v>44817</v>
      </c>
      <c r="D1815" t="s">
        <v>2989</v>
      </c>
      <c r="E1815" s="2" t="s">
        <v>12</v>
      </c>
      <c r="F1815" s="2" t="s">
        <v>2990</v>
      </c>
      <c r="G1815" t="s">
        <v>2396</v>
      </c>
      <c r="H1815" s="5" t="str">
        <f t="shared" si="56"/>
        <v>https://videplast.com.br/consulta-imobilizado?id=32002527&amp;nome=COMPUTADOR%20DELL%20OPTIPLEX/VOSTRO%20I3%204GB%20HD%20SSD256GB</v>
      </c>
      <c r="I1815" t="e">
        <f t="shared" ca="1" si="57"/>
        <v>#NAME?</v>
      </c>
    </row>
    <row r="1816" spans="1:9" x14ac:dyDescent="0.25">
      <c r="A1816" s="2" t="s">
        <v>2991</v>
      </c>
      <c r="B1816" s="2" t="s">
        <v>10</v>
      </c>
      <c r="C1816" s="3">
        <v>44859</v>
      </c>
      <c r="D1816" t="s">
        <v>557</v>
      </c>
      <c r="E1816" s="2" t="s">
        <v>2992</v>
      </c>
      <c r="F1816" s="2" t="s">
        <v>12</v>
      </c>
      <c r="G1816" t="s">
        <v>2396</v>
      </c>
      <c r="H1816" t="str">
        <f t="shared" si="56"/>
        <v>https://videplast.com.br/consulta-imobilizado?id=32002544&amp;nome=NOBREAK%20APC%20SRV%201KVA%20RACK%20230V</v>
      </c>
      <c r="I1816" t="e">
        <f t="shared" ca="1" si="57"/>
        <v>#NAME?</v>
      </c>
    </row>
    <row r="1817" spans="1:9" x14ac:dyDescent="0.25">
      <c r="A1817" s="2" t="s">
        <v>2993</v>
      </c>
      <c r="B1817" s="2" t="s">
        <v>10</v>
      </c>
      <c r="C1817" s="3">
        <v>44932</v>
      </c>
      <c r="D1817" t="s">
        <v>550</v>
      </c>
      <c r="E1817" s="2" t="s">
        <v>2994</v>
      </c>
      <c r="F1817" s="2" t="s">
        <v>2995</v>
      </c>
      <c r="G1817" t="s">
        <v>2396</v>
      </c>
      <c r="H1817" t="str">
        <f t="shared" si="56"/>
        <v>https://videplast.com.br/consulta-imobilizado?id=32002573&amp;nome=MONITOR%20DELL%2021.5"%20P2219H</v>
      </c>
      <c r="I1817" t="e">
        <f t="shared" ca="1" si="57"/>
        <v>#NAME?</v>
      </c>
    </row>
    <row r="1818" spans="1:9" x14ac:dyDescent="0.25">
      <c r="A1818" s="2" t="s">
        <v>2996</v>
      </c>
      <c r="B1818" s="2" t="s">
        <v>10</v>
      </c>
      <c r="C1818" s="3">
        <v>44957</v>
      </c>
      <c r="D1818" t="s">
        <v>550</v>
      </c>
      <c r="E1818" s="2" t="s">
        <v>12</v>
      </c>
      <c r="F1818" s="2" t="s">
        <v>12</v>
      </c>
      <c r="G1818" t="s">
        <v>2396</v>
      </c>
      <c r="H1818" t="str">
        <f t="shared" si="56"/>
        <v>https://videplast.com.br/consulta-imobilizado?id=32002612&amp;nome=MONITOR%20DELL%2021.5"%20P2219H</v>
      </c>
      <c r="I1818" t="e">
        <f t="shared" ca="1" si="57"/>
        <v>#NAME?</v>
      </c>
    </row>
    <row r="1819" spans="1:9" x14ac:dyDescent="0.25">
      <c r="A1819" s="2" t="s">
        <v>2997</v>
      </c>
      <c r="B1819" s="2" t="s">
        <v>10</v>
      </c>
      <c r="C1819" s="3">
        <v>45040</v>
      </c>
      <c r="D1819" t="s">
        <v>2348</v>
      </c>
      <c r="E1819" s="2" t="s">
        <v>12</v>
      </c>
      <c r="F1819" s="2" t="s">
        <v>2998</v>
      </c>
      <c r="G1819" t="s">
        <v>2396</v>
      </c>
      <c r="H1819" t="str">
        <f t="shared" si="56"/>
        <v>https://videplast.com.br/consulta-imobilizado?id=32002637&amp;nome=NOBREAK%20APC%20SRV%201KVA%20S/%20EXPANSAO%20SRV1KRI%20230V</v>
      </c>
      <c r="I1819" t="e">
        <f t="shared" ca="1" si="57"/>
        <v>#NAME?</v>
      </c>
    </row>
    <row r="1820" spans="1:9" x14ac:dyDescent="0.25">
      <c r="A1820" s="2" t="s">
        <v>2999</v>
      </c>
      <c r="B1820" s="2" t="s">
        <v>10</v>
      </c>
      <c r="C1820" s="3">
        <v>44960</v>
      </c>
      <c r="D1820" t="s">
        <v>547</v>
      </c>
      <c r="E1820" s="2" t="s">
        <v>3000</v>
      </c>
      <c r="F1820" s="2" t="s">
        <v>3001</v>
      </c>
      <c r="G1820" t="s">
        <v>2396</v>
      </c>
      <c r="H1820" t="str">
        <f t="shared" si="56"/>
        <v>https://videplast.com.br/consulta-imobilizado?id=32002640&amp;nome=THINPC%20SUPERA%20B2316%20IZEI%20TINY%20WINDOWS%2010%20IOT</v>
      </c>
      <c r="I1820" t="e">
        <f t="shared" ca="1" si="57"/>
        <v>#NAME?</v>
      </c>
    </row>
    <row r="1821" spans="1:9" x14ac:dyDescent="0.25">
      <c r="A1821" s="2" t="s">
        <v>2999</v>
      </c>
      <c r="B1821" s="2" t="s">
        <v>26</v>
      </c>
      <c r="C1821" s="3">
        <v>44950</v>
      </c>
      <c r="D1821" t="s">
        <v>579</v>
      </c>
      <c r="E1821" s="2" t="s">
        <v>12</v>
      </c>
      <c r="F1821" s="2" t="s">
        <v>12</v>
      </c>
      <c r="G1821" t="s">
        <v>2396</v>
      </c>
      <c r="H1821" t="str">
        <f t="shared" si="56"/>
        <v>https://videplast.com.br/consulta-imobilizado?id=32002640&amp;nome=SUPORTE%20TECNICO%20EM%20INFORMATICA</v>
      </c>
      <c r="I1821" t="e">
        <f t="shared" ca="1" si="57"/>
        <v>#NAME?</v>
      </c>
    </row>
    <row r="1822" spans="1:9" x14ac:dyDescent="0.25">
      <c r="A1822" s="2" t="s">
        <v>3002</v>
      </c>
      <c r="B1822" s="2" t="s">
        <v>10</v>
      </c>
      <c r="C1822" s="3">
        <v>45050</v>
      </c>
      <c r="D1822" t="s">
        <v>3003</v>
      </c>
      <c r="E1822" s="2" t="s">
        <v>12</v>
      </c>
      <c r="F1822" s="2" t="s">
        <v>3004</v>
      </c>
      <c r="G1822" t="s">
        <v>2396</v>
      </c>
      <c r="H1822" t="str">
        <f t="shared" si="56"/>
        <v>https://videplast.com.br/consulta-imobilizado?id=32002673&amp;nome=MONITOR%20DELL%20LED%2020"%20E2222HS</v>
      </c>
      <c r="I1822" t="e">
        <f t="shared" ca="1" si="57"/>
        <v>#NAME?</v>
      </c>
    </row>
    <row r="1823" spans="1:9" x14ac:dyDescent="0.25">
      <c r="A1823" s="2" t="s">
        <v>3005</v>
      </c>
      <c r="B1823" s="2" t="s">
        <v>10</v>
      </c>
      <c r="C1823" s="3">
        <v>45050</v>
      </c>
      <c r="D1823" t="s">
        <v>3006</v>
      </c>
      <c r="E1823" s="2" t="s">
        <v>12</v>
      </c>
      <c r="F1823" s="2" t="s">
        <v>3007</v>
      </c>
      <c r="G1823" t="s">
        <v>2396</v>
      </c>
      <c r="H1823" t="str">
        <f t="shared" si="56"/>
        <v>https://videplast.com.br/consulta-imobilizado?id=32002674&amp;nome=MONITOR%20DELL%20LED%2020"</v>
      </c>
      <c r="I1823" t="e">
        <f t="shared" ca="1" si="57"/>
        <v>#NAME?</v>
      </c>
    </row>
    <row r="1824" spans="1:9" x14ac:dyDescent="0.25">
      <c r="A1824" s="2" t="s">
        <v>3008</v>
      </c>
      <c r="B1824" s="2" t="s">
        <v>10</v>
      </c>
      <c r="C1824" s="3">
        <v>45050</v>
      </c>
      <c r="D1824" t="s">
        <v>3006</v>
      </c>
      <c r="E1824" s="2" t="s">
        <v>12</v>
      </c>
      <c r="F1824" s="2" t="s">
        <v>3009</v>
      </c>
      <c r="G1824" t="s">
        <v>2396</v>
      </c>
      <c r="H1824" t="str">
        <f t="shared" si="56"/>
        <v>https://videplast.com.br/consulta-imobilizado?id=32002675&amp;nome=MONITOR%20DELL%20LED%2020"</v>
      </c>
      <c r="I1824" t="e">
        <f t="shared" ca="1" si="57"/>
        <v>#NAME?</v>
      </c>
    </row>
    <row r="1825" spans="1:9" x14ac:dyDescent="0.25">
      <c r="A1825" s="2" t="s">
        <v>3010</v>
      </c>
      <c r="B1825" s="2" t="s">
        <v>10</v>
      </c>
      <c r="C1825" s="3">
        <v>45061</v>
      </c>
      <c r="D1825" t="s">
        <v>547</v>
      </c>
      <c r="E1825" s="2" t="s">
        <v>12</v>
      </c>
      <c r="F1825" s="2" t="s">
        <v>3011</v>
      </c>
      <c r="G1825" t="s">
        <v>2396</v>
      </c>
      <c r="H1825" t="str">
        <f t="shared" si="56"/>
        <v>https://videplast.com.br/consulta-imobilizado?id=32002677&amp;nome=THINPC%20SUPERA%20B2316%20IZEI%20TINY%20WINDOWS%2010%20IOT</v>
      </c>
      <c r="I1825" t="e">
        <f t="shared" ca="1" si="57"/>
        <v>#NAME?</v>
      </c>
    </row>
    <row r="1826" spans="1:9" x14ac:dyDescent="0.25">
      <c r="A1826" s="2" t="s">
        <v>3012</v>
      </c>
      <c r="B1826" s="2" t="s">
        <v>10</v>
      </c>
      <c r="C1826" s="3">
        <v>45061</v>
      </c>
      <c r="D1826" t="s">
        <v>547</v>
      </c>
      <c r="E1826" s="2" t="s">
        <v>12</v>
      </c>
      <c r="F1826" s="2" t="s">
        <v>3013</v>
      </c>
      <c r="G1826" t="s">
        <v>2396</v>
      </c>
      <c r="H1826" t="str">
        <f t="shared" si="56"/>
        <v>https://videplast.com.br/consulta-imobilizado?id=32002678&amp;nome=THINPC%20SUPERA%20B2316%20IZEI%20TINY%20WINDOWS%2010%20IOT</v>
      </c>
      <c r="I1826" t="e">
        <f t="shared" ca="1" si="57"/>
        <v>#NAME?</v>
      </c>
    </row>
    <row r="1827" spans="1:9" x14ac:dyDescent="0.25">
      <c r="A1827" s="2" t="s">
        <v>3014</v>
      </c>
      <c r="B1827" s="2" t="s">
        <v>10</v>
      </c>
      <c r="C1827" s="3">
        <v>45100</v>
      </c>
      <c r="D1827" t="s">
        <v>547</v>
      </c>
      <c r="E1827" s="2" t="s">
        <v>12</v>
      </c>
      <c r="F1827" s="2" t="s">
        <v>3015</v>
      </c>
      <c r="G1827" t="s">
        <v>2396</v>
      </c>
      <c r="H1827" t="str">
        <f t="shared" si="56"/>
        <v>https://videplast.com.br/consulta-imobilizado?id=32002679&amp;nome=THINPC%20SUPERA%20B2316%20IZEI%20TINY%20WINDOWS%2010%20IOT</v>
      </c>
      <c r="I1827" t="e">
        <f t="shared" ca="1" si="57"/>
        <v>#NAME?</v>
      </c>
    </row>
    <row r="1828" spans="1:9" x14ac:dyDescent="0.25">
      <c r="A1828" s="2" t="s">
        <v>3016</v>
      </c>
      <c r="B1828" s="2" t="s">
        <v>10</v>
      </c>
      <c r="C1828" s="3">
        <v>45050</v>
      </c>
      <c r="D1828" t="s">
        <v>3017</v>
      </c>
      <c r="E1828" s="2" t="s">
        <v>3018</v>
      </c>
      <c r="F1828" s="2" t="s">
        <v>12</v>
      </c>
      <c r="G1828" t="s">
        <v>2396</v>
      </c>
      <c r="H1828" t="str">
        <f t="shared" si="56"/>
        <v>https://videplast.com.br/consulta-imobilizado?id=32002703&amp;nome=IMPRESSOR%20TERMICO%20ZEBRA%20ZD220T%20203DPI</v>
      </c>
      <c r="I1828" t="e">
        <f t="shared" ca="1" si="57"/>
        <v>#NAME?</v>
      </c>
    </row>
    <row r="1829" spans="1:9" x14ac:dyDescent="0.25">
      <c r="A1829" s="2" t="s">
        <v>3019</v>
      </c>
      <c r="B1829" s="2" t="s">
        <v>10</v>
      </c>
      <c r="C1829" s="3">
        <v>45050</v>
      </c>
      <c r="D1829" t="s">
        <v>3017</v>
      </c>
      <c r="E1829" s="2" t="s">
        <v>3020</v>
      </c>
      <c r="F1829" s="2" t="s">
        <v>12</v>
      </c>
      <c r="G1829" t="s">
        <v>2396</v>
      </c>
      <c r="H1829" t="str">
        <f t="shared" si="56"/>
        <v>https://videplast.com.br/consulta-imobilizado?id=32002704&amp;nome=IMPRESSOR%20TERMICO%20ZEBRA%20ZD220T%20203DPI</v>
      </c>
      <c r="I1829" t="e">
        <f t="shared" ca="1" si="57"/>
        <v>#NAME?</v>
      </c>
    </row>
    <row r="1830" spans="1:9" x14ac:dyDescent="0.25">
      <c r="A1830" s="2" t="s">
        <v>3021</v>
      </c>
      <c r="B1830" s="2" t="s">
        <v>10</v>
      </c>
      <c r="C1830" s="3">
        <v>45050</v>
      </c>
      <c r="D1830" t="s">
        <v>3017</v>
      </c>
      <c r="E1830" s="2" t="s">
        <v>3022</v>
      </c>
      <c r="F1830" s="2" t="s">
        <v>12</v>
      </c>
      <c r="G1830" t="s">
        <v>2396</v>
      </c>
      <c r="H1830" t="str">
        <f t="shared" si="56"/>
        <v>https://videplast.com.br/consulta-imobilizado?id=32002705&amp;nome=IMPRESSOR%20TERMICO%20ZEBRA%20ZD220T%20203DPI</v>
      </c>
      <c r="I1830" t="e">
        <f t="shared" ca="1" si="57"/>
        <v>#NAME?</v>
      </c>
    </row>
    <row r="1831" spans="1:9" x14ac:dyDescent="0.25">
      <c r="A1831" s="2" t="s">
        <v>3023</v>
      </c>
      <c r="B1831" s="2" t="s">
        <v>10</v>
      </c>
      <c r="C1831" s="3">
        <v>45112</v>
      </c>
      <c r="D1831" t="s">
        <v>3024</v>
      </c>
      <c r="E1831" s="2" t="s">
        <v>12</v>
      </c>
      <c r="F1831" s="2" t="s">
        <v>3025</v>
      </c>
      <c r="G1831" t="s">
        <v>2396</v>
      </c>
      <c r="H1831" t="str">
        <f t="shared" si="56"/>
        <v>https://videplast.com.br/consulta-imobilizado?id=32002756&amp;nome=MONITOR%20DELL%20P2222H%2021.5"</v>
      </c>
      <c r="I1831" t="e">
        <f t="shared" ca="1" si="57"/>
        <v>#NAME?</v>
      </c>
    </row>
    <row r="1832" spans="1:9" x14ac:dyDescent="0.25">
      <c r="A1832" s="2" t="s">
        <v>3026</v>
      </c>
      <c r="B1832" s="2" t="s">
        <v>10</v>
      </c>
      <c r="C1832" s="3">
        <v>45191</v>
      </c>
      <c r="D1832" t="s">
        <v>577</v>
      </c>
      <c r="E1832" s="2" t="s">
        <v>12</v>
      </c>
      <c r="F1832" s="2" t="s">
        <v>3027</v>
      </c>
      <c r="G1832" t="s">
        <v>2396</v>
      </c>
      <c r="H1832" t="str">
        <f t="shared" si="56"/>
        <v>https://videplast.com.br/consulta-imobilizado?id=32002785&amp;nome=NOTEBOOK%20DELL%2014%20i3%204GB%20HD%20SSD256GB%20WINDOWS%2010%20PRO</v>
      </c>
      <c r="I1832" t="e">
        <f t="shared" ca="1" si="57"/>
        <v>#NAME?</v>
      </c>
    </row>
    <row r="1833" spans="1:9" x14ac:dyDescent="0.25">
      <c r="A1833" s="2" t="s">
        <v>3026</v>
      </c>
      <c r="B1833" s="2" t="s">
        <v>26</v>
      </c>
      <c r="C1833" s="3">
        <v>45243</v>
      </c>
      <c r="D1833" t="s">
        <v>579</v>
      </c>
      <c r="E1833" s="2" t="s">
        <v>12</v>
      </c>
      <c r="F1833" s="2" t="s">
        <v>12</v>
      </c>
      <c r="G1833" t="s">
        <v>2396</v>
      </c>
      <c r="H1833" t="str">
        <f t="shared" si="56"/>
        <v>https://videplast.com.br/consulta-imobilizado?id=32002785&amp;nome=SUPORTE%20TECNICO%20EM%20INFORMATICA</v>
      </c>
      <c r="I1833" t="e">
        <f t="shared" ca="1" si="57"/>
        <v>#NAME?</v>
      </c>
    </row>
    <row r="1834" spans="1:9" x14ac:dyDescent="0.25">
      <c r="A1834" s="2" t="s">
        <v>3028</v>
      </c>
      <c r="B1834" s="2" t="s">
        <v>10</v>
      </c>
      <c r="C1834" s="3">
        <v>45435</v>
      </c>
      <c r="D1834" t="s">
        <v>3029</v>
      </c>
      <c r="E1834" s="2" t="s">
        <v>12</v>
      </c>
      <c r="F1834" s="2" t="s">
        <v>12</v>
      </c>
      <c r="G1834" t="s">
        <v>2396</v>
      </c>
      <c r="H1834" t="str">
        <f t="shared" si="56"/>
        <v>https://videplast.com.br/consulta-imobilizado?id=32002962&amp;nome=SWITCH%20UNIFI%20ENTERPRISE%2048%20POE%20SKU%20USW-E</v>
      </c>
      <c r="I1834" t="e">
        <f t="shared" ca="1" si="57"/>
        <v>#NAME?</v>
      </c>
    </row>
    <row r="1835" spans="1:9" x14ac:dyDescent="0.25">
      <c r="A1835" s="2" t="s">
        <v>3030</v>
      </c>
      <c r="B1835" s="2" t="s">
        <v>10</v>
      </c>
      <c r="C1835" s="3">
        <v>45499</v>
      </c>
      <c r="D1835" t="s">
        <v>2341</v>
      </c>
      <c r="E1835" s="2" t="s">
        <v>12</v>
      </c>
      <c r="F1835" s="2" t="s">
        <v>3031</v>
      </c>
      <c r="G1835" t="s">
        <v>2396</v>
      </c>
      <c r="H1835" t="str">
        <f t="shared" si="56"/>
        <v>https://videplast.com.br/consulta-imobilizado?id=32003019&amp;nome=MONITOR%20DELL%2021.5"%20P2222H</v>
      </c>
      <c r="I1835" t="e">
        <f t="shared" ca="1" si="57"/>
        <v>#NAME?</v>
      </c>
    </row>
    <row r="1836" spans="1:9" x14ac:dyDescent="0.25">
      <c r="A1836" s="2" t="s">
        <v>3032</v>
      </c>
      <c r="B1836" s="2" t="s">
        <v>10</v>
      </c>
      <c r="C1836" s="3">
        <v>45506</v>
      </c>
      <c r="D1836" t="s">
        <v>3033</v>
      </c>
      <c r="E1836" s="2" t="s">
        <v>12</v>
      </c>
      <c r="F1836" s="2" t="s">
        <v>12</v>
      </c>
      <c r="G1836" t="s">
        <v>2396</v>
      </c>
      <c r="H1836" t="str">
        <f t="shared" si="56"/>
        <v>https://videplast.com.br/consulta-imobilizado?id=32003063&amp;nome=MONITOR%2015.6%20LCD%20SAMSUNG%20B1630N%20WIDE</v>
      </c>
      <c r="I1836" t="e">
        <f t="shared" ca="1" si="57"/>
        <v>#NAME?</v>
      </c>
    </row>
    <row r="1837" spans="1:9" x14ac:dyDescent="0.25">
      <c r="A1837" s="2" t="s">
        <v>3034</v>
      </c>
      <c r="B1837" s="2" t="s">
        <v>10</v>
      </c>
      <c r="C1837" s="3">
        <v>45583</v>
      </c>
      <c r="D1837" t="s">
        <v>2384</v>
      </c>
      <c r="E1837" s="2" t="s">
        <v>2385</v>
      </c>
      <c r="F1837" s="2" t="s">
        <v>12</v>
      </c>
      <c r="G1837" t="s">
        <v>2396</v>
      </c>
      <c r="H1837" t="str">
        <f t="shared" si="56"/>
        <v>https://videplast.com.br/consulta-imobilizado?id=32003123&amp;nome=TV%20SAMSUNG%20BUSINESS%20SMART%204K%2065"</v>
      </c>
      <c r="I1837" t="e">
        <f t="shared" ca="1" si="57"/>
        <v>#NAME?</v>
      </c>
    </row>
    <row r="1838" spans="1:9" x14ac:dyDescent="0.25">
      <c r="A1838" s="2" t="s">
        <v>3035</v>
      </c>
      <c r="B1838" s="2" t="s">
        <v>10</v>
      </c>
      <c r="C1838" s="3">
        <v>45623</v>
      </c>
      <c r="D1838" t="s">
        <v>550</v>
      </c>
      <c r="E1838" s="2" t="s">
        <v>12</v>
      </c>
      <c r="F1838" s="2" t="s">
        <v>3036</v>
      </c>
      <c r="G1838" t="s">
        <v>2396</v>
      </c>
      <c r="H1838" t="str">
        <f t="shared" si="56"/>
        <v>https://videplast.com.br/consulta-imobilizado?id=32003140&amp;nome=MONITOR%20DELL%2021.5"%20P2219H</v>
      </c>
      <c r="I1838" t="e">
        <f t="shared" ca="1" si="57"/>
        <v>#NAME?</v>
      </c>
    </row>
    <row r="1839" spans="1:9" x14ac:dyDescent="0.25">
      <c r="A1839" s="2" t="s">
        <v>3037</v>
      </c>
      <c r="B1839" s="2" t="s">
        <v>10</v>
      </c>
      <c r="C1839" s="3">
        <v>45443</v>
      </c>
      <c r="D1839" t="s">
        <v>3038</v>
      </c>
      <c r="E1839" s="2" t="s">
        <v>12</v>
      </c>
      <c r="F1839" s="2" t="s">
        <v>12</v>
      </c>
      <c r="G1839" t="s">
        <v>2396</v>
      </c>
      <c r="H1839" t="str">
        <f t="shared" si="56"/>
        <v>https://videplast.com.br/consulta-imobilizado?id=40000355&amp;nome=LAPIDAÇÃO%20PISO%20ACABAMENTO%203.596,52M2</v>
      </c>
      <c r="I1839" t="e">
        <f t="shared" ca="1" si="57"/>
        <v>#NAME?</v>
      </c>
    </row>
    <row r="1840" spans="1:9" x14ac:dyDescent="0.25">
      <c r="A1840" s="2" t="s">
        <v>3039</v>
      </c>
      <c r="B1840" s="2" t="s">
        <v>10</v>
      </c>
      <c r="C1840" s="3">
        <v>40390</v>
      </c>
      <c r="D1840" t="s">
        <v>3040</v>
      </c>
      <c r="E1840" s="2" t="s">
        <v>3041</v>
      </c>
      <c r="F1840" s="2" t="s">
        <v>3042</v>
      </c>
      <c r="G1840" t="s">
        <v>3043</v>
      </c>
      <c r="H1840" t="str">
        <f t="shared" si="56"/>
        <v>https://videplast.com.br/consulta-imobilizado?id=20000043&amp;nome=MAQUINA%20CORTADEIRA%20REBOB%20PERMACO%20ROBUSTA%20Nº%20309</v>
      </c>
      <c r="I1840" t="e">
        <f t="shared" ca="1" si="57"/>
        <v>#NAME?</v>
      </c>
    </row>
    <row r="1841" spans="1:9" x14ac:dyDescent="0.25">
      <c r="A1841" s="2" t="s">
        <v>3044</v>
      </c>
      <c r="B1841" s="2" t="s">
        <v>10</v>
      </c>
      <c r="C1841" s="3">
        <v>41608</v>
      </c>
      <c r="D1841" t="s">
        <v>3045</v>
      </c>
      <c r="E1841" s="2" t="s">
        <v>3046</v>
      </c>
      <c r="F1841" s="2" t="s">
        <v>12</v>
      </c>
      <c r="G1841" t="s">
        <v>3043</v>
      </c>
      <c r="H1841" t="str">
        <f t="shared" si="56"/>
        <v>https://videplast.com.br/consulta-imobilizado?id=20000065&amp;nome=MAQUINA%20PICOTADEIRA</v>
      </c>
      <c r="I1841" t="e">
        <f t="shared" ca="1" si="57"/>
        <v>#NAME?</v>
      </c>
    </row>
    <row r="1842" spans="1:9" x14ac:dyDescent="0.25">
      <c r="A1842" s="2" t="s">
        <v>3047</v>
      </c>
      <c r="B1842" s="2" t="s">
        <v>10</v>
      </c>
      <c r="C1842" s="3">
        <v>41851</v>
      </c>
      <c r="D1842" t="s">
        <v>3048</v>
      </c>
      <c r="E1842" s="2" t="s">
        <v>3049</v>
      </c>
      <c r="F1842" s="2" t="s">
        <v>3050</v>
      </c>
      <c r="G1842" t="s">
        <v>3043</v>
      </c>
      <c r="H1842" t="str">
        <f t="shared" si="56"/>
        <v>https://videplast.com.br/consulta-imobilizado?id=20000073&amp;nome=MAQUINA%20CORTADEIRA%20REBOB%20STANDART%201400%20UTZ%20Nº%20311</v>
      </c>
      <c r="I1842" t="e">
        <f t="shared" ca="1" si="57"/>
        <v>#NAME?</v>
      </c>
    </row>
    <row r="1843" spans="1:9" x14ac:dyDescent="0.25">
      <c r="A1843" s="2" t="s">
        <v>3051</v>
      </c>
      <c r="B1843" s="2" t="s">
        <v>10</v>
      </c>
      <c r="C1843" s="3">
        <v>44183</v>
      </c>
      <c r="D1843" t="s">
        <v>3052</v>
      </c>
      <c r="E1843" s="2" t="s">
        <v>3053</v>
      </c>
      <c r="F1843" s="2" t="s">
        <v>3054</v>
      </c>
      <c r="G1843" t="s">
        <v>3043</v>
      </c>
      <c r="H1843" t="str">
        <f t="shared" si="56"/>
        <v>https://videplast.com.br/consulta-imobilizado?id=20000590&amp;nome=MAQUINA%20REBOBINADEIRA%20JAGUAR%20FULL%201400MM%20Nº%20312</v>
      </c>
      <c r="I1843" t="e">
        <f t="shared" ca="1" si="57"/>
        <v>#NAME?</v>
      </c>
    </row>
    <row r="1844" spans="1:9" x14ac:dyDescent="0.25">
      <c r="A1844" s="2" t="s">
        <v>3051</v>
      </c>
      <c r="B1844" s="2" t="s">
        <v>26</v>
      </c>
      <c r="C1844" s="3">
        <v>44183</v>
      </c>
      <c r="D1844" t="s">
        <v>3055</v>
      </c>
      <c r="E1844" s="2" t="s">
        <v>3053</v>
      </c>
      <c r="F1844" s="2" t="s">
        <v>12</v>
      </c>
      <c r="G1844" t="s">
        <v>3043</v>
      </c>
      <c r="H1844" t="str">
        <f t="shared" si="56"/>
        <v>https://videplast.com.br/consulta-imobilizado?id=20000590&amp;nome=INSTALAÇÃO%20MAQUINA%20REFILADEIRA%20MEGA%20STELL%20FULL%20AUT</v>
      </c>
      <c r="I1844" t="e">
        <f t="shared" ca="1" si="57"/>
        <v>#NAME?</v>
      </c>
    </row>
    <row r="1845" spans="1:9" x14ac:dyDescent="0.25">
      <c r="A1845" s="2" t="s">
        <v>3051</v>
      </c>
      <c r="B1845" s="2" t="s">
        <v>21</v>
      </c>
      <c r="C1845" s="3">
        <v>45393</v>
      </c>
      <c r="D1845" t="s">
        <v>3056</v>
      </c>
      <c r="E1845" s="2" t="s">
        <v>12</v>
      </c>
      <c r="F1845" s="2" t="s">
        <v>12</v>
      </c>
      <c r="G1845" t="s">
        <v>3043</v>
      </c>
      <c r="H1845" t="str">
        <f t="shared" si="56"/>
        <v>https://videplast.com.br/consulta-imobilizado?id=20000590&amp;nome=RETROFIT%20MAQUINA%20REBOBINADEIRA%20JAGUAR</v>
      </c>
      <c r="I1845" t="e">
        <f t="shared" ca="1" si="57"/>
        <v>#NAME?</v>
      </c>
    </row>
    <row r="1846" spans="1:9" x14ac:dyDescent="0.25">
      <c r="A1846" s="2" t="s">
        <v>3057</v>
      </c>
      <c r="B1846" s="2" t="s">
        <v>10</v>
      </c>
      <c r="C1846" s="3">
        <v>45015</v>
      </c>
      <c r="D1846" t="s">
        <v>3058</v>
      </c>
      <c r="E1846" s="2" t="s">
        <v>3059</v>
      </c>
      <c r="F1846" s="2" t="s">
        <v>3060</v>
      </c>
      <c r="G1846" t="s">
        <v>3043</v>
      </c>
      <c r="H1846" t="str">
        <f t="shared" si="56"/>
        <v>https://videplast.com.br/consulta-imobilizado?id=20000683&amp;nome=MAQ.%20REFILADEIRA%20MEGA%20STEEL%20JAGUAR%20FULL%201400MM%20AUT</v>
      </c>
      <c r="I1846" t="e">
        <f t="shared" ca="1" si="57"/>
        <v>#NAME?</v>
      </c>
    </row>
    <row r="1847" spans="1:9" x14ac:dyDescent="0.25">
      <c r="A1847" s="2" t="s">
        <v>3057</v>
      </c>
      <c r="B1847" s="2" t="s">
        <v>26</v>
      </c>
      <c r="C1847" s="3">
        <v>45015</v>
      </c>
      <c r="D1847" t="s">
        <v>3061</v>
      </c>
      <c r="E1847" s="2" t="s">
        <v>12</v>
      </c>
      <c r="F1847" s="2" t="s">
        <v>12</v>
      </c>
      <c r="G1847" t="s">
        <v>3043</v>
      </c>
      <c r="H1847" t="str">
        <f t="shared" si="56"/>
        <v>https://videplast.com.br/consulta-imobilizado?id=20000683&amp;nome=FRETE%20MAQ.%20REFILADEIRA</v>
      </c>
      <c r="I1847" t="e">
        <f t="shared" ca="1" si="57"/>
        <v>#NAME?</v>
      </c>
    </row>
    <row r="1848" spans="1:9" x14ac:dyDescent="0.25">
      <c r="A1848" s="2" t="s">
        <v>3057</v>
      </c>
      <c r="B1848" s="2" t="s">
        <v>21</v>
      </c>
      <c r="C1848" s="3">
        <v>45050</v>
      </c>
      <c r="D1848" t="s">
        <v>2515</v>
      </c>
      <c r="E1848" s="2" t="s">
        <v>12</v>
      </c>
      <c r="F1848" s="2" t="s">
        <v>12</v>
      </c>
      <c r="G1848" t="s">
        <v>3043</v>
      </c>
      <c r="H1848" t="str">
        <f t="shared" si="56"/>
        <v>https://videplast.com.br/consulta-imobilizado?id=20000683&amp;nome=PECAS%20PARA%20INSTALACAO</v>
      </c>
      <c r="I1848" t="e">
        <f t="shared" ca="1" si="57"/>
        <v>#NAME?</v>
      </c>
    </row>
    <row r="1849" spans="1:9" x14ac:dyDescent="0.25">
      <c r="A1849" s="2" t="s">
        <v>3062</v>
      </c>
      <c r="B1849" s="2" t="s">
        <v>10</v>
      </c>
      <c r="C1849" s="3">
        <v>45520</v>
      </c>
      <c r="D1849" t="s">
        <v>3063</v>
      </c>
      <c r="E1849" s="2" t="s">
        <v>3064</v>
      </c>
      <c r="F1849" s="2" t="s">
        <v>3065</v>
      </c>
      <c r="G1849" t="s">
        <v>3043</v>
      </c>
      <c r="H1849" t="str">
        <f t="shared" si="56"/>
        <v>https://videplast.com.br/consulta-imobilizado?id=20000740&amp;nome=MAQ.%20REBOBINADEIRA%20JAGUAR%20FULL%20AUTOMATICA%201400MM</v>
      </c>
      <c r="I1849" t="e">
        <f t="shared" ca="1" si="57"/>
        <v>#NAME?</v>
      </c>
    </row>
    <row r="1850" spans="1:9" x14ac:dyDescent="0.25">
      <c r="A1850" s="2" t="s">
        <v>3062</v>
      </c>
      <c r="B1850" s="2" t="s">
        <v>26</v>
      </c>
      <c r="C1850" s="3">
        <v>45523</v>
      </c>
      <c r="D1850" t="s">
        <v>3066</v>
      </c>
      <c r="E1850" s="2" t="s">
        <v>12</v>
      </c>
      <c r="F1850" s="2" t="s">
        <v>12</v>
      </c>
      <c r="G1850" t="s">
        <v>3043</v>
      </c>
      <c r="H1850" t="str">
        <f t="shared" si="56"/>
        <v>https://videplast.com.br/consulta-imobilizado?id=20000740&amp;nome=FRETE%20MAQ.%20REBOBINADEIRA%20JAGUAR%20FULL</v>
      </c>
      <c r="I1850" t="e">
        <f t="shared" ca="1" si="57"/>
        <v>#NAME?</v>
      </c>
    </row>
    <row r="1851" spans="1:9" x14ac:dyDescent="0.25">
      <c r="A1851" s="2" t="s">
        <v>3062</v>
      </c>
      <c r="B1851" s="2" t="s">
        <v>21</v>
      </c>
      <c r="C1851" s="3">
        <v>45575</v>
      </c>
      <c r="D1851" t="s">
        <v>3067</v>
      </c>
      <c r="E1851" s="2" t="s">
        <v>12</v>
      </c>
      <c r="F1851" s="2" t="s">
        <v>12</v>
      </c>
      <c r="G1851" t="s">
        <v>3043</v>
      </c>
      <c r="H1851" t="str">
        <f t="shared" si="56"/>
        <v>https://videplast.com.br/consulta-imobilizado?id=20000740&amp;nome=DESPESAS%20COM%20INSTALACAO%20REBOBINADEIRA%20JAGUAR</v>
      </c>
      <c r="I1851" t="e">
        <f t="shared" ca="1" si="57"/>
        <v>#NAME?</v>
      </c>
    </row>
    <row r="1852" spans="1:9" x14ac:dyDescent="0.25">
      <c r="A1852" s="2" t="s">
        <v>3068</v>
      </c>
      <c r="B1852" s="2" t="s">
        <v>10</v>
      </c>
      <c r="C1852" s="3">
        <v>41121</v>
      </c>
      <c r="D1852" t="s">
        <v>3069</v>
      </c>
      <c r="E1852" s="2" t="s">
        <v>12</v>
      </c>
      <c r="F1852" s="2" t="s">
        <v>3070</v>
      </c>
      <c r="G1852" t="s">
        <v>3043</v>
      </c>
      <c r="H1852" t="str">
        <f t="shared" si="56"/>
        <v>https://videplast.com.br/consulta-imobilizado?id=21000328&amp;nome=BALANCA%20DE%20PISO%20100KG%20X%2010G%20X%20600X600%20MM</v>
      </c>
      <c r="I1852" t="e">
        <f t="shared" ca="1" si="57"/>
        <v>#NAME?</v>
      </c>
    </row>
    <row r="1853" spans="1:9" x14ac:dyDescent="0.25">
      <c r="A1853" s="2" t="s">
        <v>3071</v>
      </c>
      <c r="B1853" s="2" t="s">
        <v>10</v>
      </c>
      <c r="C1853" s="3">
        <v>41182</v>
      </c>
      <c r="D1853" t="s">
        <v>3072</v>
      </c>
      <c r="E1853" s="2" t="s">
        <v>12</v>
      </c>
      <c r="F1853" s="2" t="s">
        <v>12</v>
      </c>
      <c r="G1853" t="s">
        <v>3043</v>
      </c>
      <c r="H1853" t="str">
        <f t="shared" si="56"/>
        <v>https://videplast.com.br/consulta-imobilizado?id=21000335&amp;nome=3%20FONTES%20DE%20ALIMENTACAO%20DE%20SAIDA%20UNICA%2024V%20P/FIX.</v>
      </c>
      <c r="I1853" t="e">
        <f t="shared" ca="1" si="57"/>
        <v>#NAME?</v>
      </c>
    </row>
    <row r="1854" spans="1:9" x14ac:dyDescent="0.25">
      <c r="A1854" s="2" t="s">
        <v>3071</v>
      </c>
      <c r="B1854" s="2" t="s">
        <v>26</v>
      </c>
      <c r="C1854" s="3">
        <v>41182</v>
      </c>
      <c r="D1854" t="s">
        <v>3073</v>
      </c>
      <c r="E1854" s="2" t="s">
        <v>12</v>
      </c>
      <c r="F1854" s="2" t="s">
        <v>12</v>
      </c>
      <c r="G1854" t="s">
        <v>3043</v>
      </c>
      <c r="H1854" t="str">
        <f t="shared" si="56"/>
        <v>https://videplast.com.br/consulta-imobilizado?id=21000335&amp;nome=5%20MODULOS%20DIGITAIS%20DE%20ENTRADA%20OPTOISOLADA%20COM%2014</v>
      </c>
      <c r="I1854" t="e">
        <f t="shared" ca="1" si="57"/>
        <v>#NAME?</v>
      </c>
    </row>
    <row r="1855" spans="1:9" x14ac:dyDescent="0.25">
      <c r="A1855" s="2" t="s">
        <v>3071</v>
      </c>
      <c r="B1855" s="2" t="s">
        <v>21</v>
      </c>
      <c r="C1855" s="3">
        <v>41182</v>
      </c>
      <c r="D1855" t="s">
        <v>3074</v>
      </c>
      <c r="E1855" s="2" t="s">
        <v>12</v>
      </c>
      <c r="F1855" s="2" t="s">
        <v>12</v>
      </c>
      <c r="G1855" t="s">
        <v>3043</v>
      </c>
      <c r="H1855" t="str">
        <f t="shared" si="56"/>
        <v>https://videplast.com.br/consulta-imobilizado?id=21000335&amp;nome=4%20MODULOS%20DE%20%20DE%20DADOS,%20MEDIDOR%20DE%20FREQ%20DE%203</v>
      </c>
      <c r="I1855" t="e">
        <f t="shared" ca="1" si="57"/>
        <v>#NAME?</v>
      </c>
    </row>
    <row r="1856" spans="1:9" x14ac:dyDescent="0.25">
      <c r="A1856" s="2" t="s">
        <v>3075</v>
      </c>
      <c r="B1856" s="2" t="s">
        <v>10</v>
      </c>
      <c r="C1856" s="3">
        <v>41333</v>
      </c>
      <c r="D1856" t="s">
        <v>3076</v>
      </c>
      <c r="E1856" s="2" t="s">
        <v>12</v>
      </c>
      <c r="F1856" s="2" t="s">
        <v>12</v>
      </c>
      <c r="G1856" t="s">
        <v>3043</v>
      </c>
      <c r="H1856" t="str">
        <f t="shared" si="56"/>
        <v>https://videplast.com.br/consulta-imobilizado?id=21000349&amp;nome=SERVO%20ATUADOR%20%20EM1-C26ST-125MM</v>
      </c>
      <c r="I1856" t="e">
        <f t="shared" ca="1" si="57"/>
        <v>#NAME?</v>
      </c>
    </row>
    <row r="1857" spans="1:9" x14ac:dyDescent="0.25">
      <c r="A1857" s="2" t="s">
        <v>2707</v>
      </c>
      <c r="B1857" s="2" t="s">
        <v>10</v>
      </c>
      <c r="C1857" s="3">
        <v>41547</v>
      </c>
      <c r="D1857" t="s">
        <v>2710</v>
      </c>
      <c r="E1857" s="2" t="s">
        <v>3077</v>
      </c>
      <c r="F1857" s="2" t="s">
        <v>12</v>
      </c>
      <c r="G1857" t="s">
        <v>3043</v>
      </c>
      <c r="H1857" t="str">
        <f t="shared" si="56"/>
        <v>https://videplast.com.br/consulta-imobilizado?id=21000359&amp;nome=IMPRESSORA%20ZEBRA%20GC420%20203DPI%20COM%20PEEL%20OFF</v>
      </c>
      <c r="I1857" t="e">
        <f t="shared" ca="1" si="57"/>
        <v>#NAME?</v>
      </c>
    </row>
    <row r="1858" spans="1:9" x14ac:dyDescent="0.25">
      <c r="A1858" s="2" t="s">
        <v>3078</v>
      </c>
      <c r="B1858" s="2" t="s">
        <v>10</v>
      </c>
      <c r="C1858" s="3">
        <v>41790</v>
      </c>
      <c r="D1858" t="s">
        <v>3079</v>
      </c>
      <c r="E1858" s="2" t="s">
        <v>12</v>
      </c>
      <c r="F1858" s="2" t="s">
        <v>12</v>
      </c>
      <c r="G1858" t="s">
        <v>3043</v>
      </c>
      <c r="H1858" t="str">
        <f t="shared" ref="H1858:H1921" si="58" xml:space="preserve"> "https://videplast.com.br/consulta-imobilizado?id=" &amp; A1858 &amp; "&amp;nome=" &amp; SUBSTITUTE(D1858, " ", "%20")</f>
        <v>https://videplast.com.br/consulta-imobilizado?id=21000409&amp;nome=EQUIPAMENTO%20TRATAMENTO%20CORONA%20ESTAÇAO%20EAP%201600X8</v>
      </c>
      <c r="I1858" t="e">
        <f t="shared" ref="I1858:I1921" ca="1" si="59">_xlfn.IMAGE("https://chart.googleapis.com/chart?chs=150x150&amp;cht=qr&amp;chl=" &amp; H1858)</f>
        <v>#NAME?</v>
      </c>
    </row>
    <row r="1859" spans="1:9" x14ac:dyDescent="0.25">
      <c r="A1859" s="2" t="s">
        <v>3080</v>
      </c>
      <c r="B1859" s="2" t="s">
        <v>10</v>
      </c>
      <c r="C1859" s="3">
        <v>39428</v>
      </c>
      <c r="D1859" t="s">
        <v>3081</v>
      </c>
      <c r="E1859" s="2" t="s">
        <v>12</v>
      </c>
      <c r="F1859" s="2" t="s">
        <v>12</v>
      </c>
      <c r="G1859" t="s">
        <v>3043</v>
      </c>
      <c r="H1859" t="str">
        <f t="shared" si="58"/>
        <v>https://videplast.com.br/consulta-imobilizado?id=21000511&amp;nome=CARRO%20HIDRAULICO%20LINDE%20M%2025%20C/%20RODAS%20DE%20NYLON</v>
      </c>
      <c r="I1859" t="e">
        <f t="shared" ca="1" si="59"/>
        <v>#NAME?</v>
      </c>
    </row>
    <row r="1860" spans="1:9" x14ac:dyDescent="0.25">
      <c r="A1860" s="2" t="s">
        <v>3080</v>
      </c>
      <c r="B1860" s="2" t="s">
        <v>26</v>
      </c>
      <c r="C1860" s="3">
        <v>45506</v>
      </c>
      <c r="D1860" t="s">
        <v>3082</v>
      </c>
      <c r="E1860" s="2" t="s">
        <v>12</v>
      </c>
      <c r="F1860" s="2" t="s">
        <v>12</v>
      </c>
      <c r="G1860" t="s">
        <v>3043</v>
      </c>
      <c r="H1860" t="str">
        <f t="shared" si="58"/>
        <v>https://videplast.com.br/consulta-imobilizado?id=21000511&amp;nome=FRETE%20P/CARRO%20HIDRAULICO%20LINDE</v>
      </c>
      <c r="I1860" t="e">
        <f t="shared" ca="1" si="59"/>
        <v>#NAME?</v>
      </c>
    </row>
    <row r="1861" spans="1:9" x14ac:dyDescent="0.25">
      <c r="A1861" s="2" t="s">
        <v>3083</v>
      </c>
      <c r="B1861" s="2" t="s">
        <v>10</v>
      </c>
      <c r="C1861" s="3">
        <v>39429</v>
      </c>
      <c r="D1861" t="s">
        <v>3084</v>
      </c>
      <c r="E1861" s="2" t="s">
        <v>12</v>
      </c>
      <c r="F1861" s="2" t="s">
        <v>12</v>
      </c>
      <c r="G1861" t="s">
        <v>3043</v>
      </c>
      <c r="H1861" t="str">
        <f t="shared" si="58"/>
        <v>https://videplast.com.br/consulta-imobilizado?id=21000513&amp;nome=EMPILHADEIRA%20HIDRAULICA%20MANUAL%20LM510</v>
      </c>
      <c r="I1861" t="e">
        <f t="shared" ca="1" si="59"/>
        <v>#NAME?</v>
      </c>
    </row>
    <row r="1862" spans="1:9" x14ac:dyDescent="0.25">
      <c r="A1862" s="2" t="s">
        <v>3085</v>
      </c>
      <c r="B1862" s="2" t="s">
        <v>10</v>
      </c>
      <c r="C1862" s="3">
        <v>39898</v>
      </c>
      <c r="D1862" t="s">
        <v>3086</v>
      </c>
      <c r="E1862" s="2" t="s">
        <v>12</v>
      </c>
      <c r="F1862" s="2" t="s">
        <v>12</v>
      </c>
      <c r="G1862" t="s">
        <v>3043</v>
      </c>
      <c r="H1862" t="str">
        <f t="shared" si="58"/>
        <v>https://videplast.com.br/consulta-imobilizado?id=21000593&amp;nome=1%20TUBO,1%20CORPO,2%20CONECTOR,4%20MT%20MANGUEIRA%20TEFLON,2</v>
      </c>
      <c r="I1862" t="e">
        <f t="shared" ca="1" si="59"/>
        <v>#NAME?</v>
      </c>
    </row>
    <row r="1863" spans="1:9" x14ac:dyDescent="0.25">
      <c r="A1863" s="2" t="s">
        <v>3087</v>
      </c>
      <c r="B1863" s="2" t="s">
        <v>10</v>
      </c>
      <c r="C1863" s="3">
        <v>39888</v>
      </c>
      <c r="D1863" t="s">
        <v>3088</v>
      </c>
      <c r="E1863" s="2" t="s">
        <v>12</v>
      </c>
      <c r="F1863" s="2" t="s">
        <v>12</v>
      </c>
      <c r="G1863" t="s">
        <v>3043</v>
      </c>
      <c r="H1863" t="str">
        <f t="shared" si="58"/>
        <v>https://videplast.com.br/consulta-imobilizado?id=21000594&amp;nome=EMPILHADEIRA%20HIDRULICA%20MANUAL%20LM%20510</v>
      </c>
      <c r="I1863" t="e">
        <f t="shared" ca="1" si="59"/>
        <v>#NAME?</v>
      </c>
    </row>
    <row r="1864" spans="1:9" x14ac:dyDescent="0.25">
      <c r="A1864" s="2" t="s">
        <v>3089</v>
      </c>
      <c r="B1864" s="2" t="s">
        <v>10</v>
      </c>
      <c r="C1864" s="3">
        <v>39879</v>
      </c>
      <c r="D1864" t="s">
        <v>3090</v>
      </c>
      <c r="E1864" s="2" t="s">
        <v>12</v>
      </c>
      <c r="F1864" s="2" t="s">
        <v>12</v>
      </c>
      <c r="G1864" t="s">
        <v>3043</v>
      </c>
      <c r="H1864" t="str">
        <f t="shared" si="58"/>
        <v>https://videplast.com.br/consulta-imobilizado?id=21000595&amp;nome=EIXO%20PNEUMATICO%20EPP5R%2074X1225X1385%20MM</v>
      </c>
      <c r="I1864" t="e">
        <f t="shared" ca="1" si="59"/>
        <v>#NAME?</v>
      </c>
    </row>
    <row r="1865" spans="1:9" x14ac:dyDescent="0.25">
      <c r="A1865" s="2" t="s">
        <v>3089</v>
      </c>
      <c r="B1865" s="2" t="s">
        <v>26</v>
      </c>
      <c r="C1865" s="3">
        <v>39879</v>
      </c>
      <c r="D1865" t="s">
        <v>3091</v>
      </c>
      <c r="E1865" s="2" t="s">
        <v>12</v>
      </c>
      <c r="F1865" s="2" t="s">
        <v>12</v>
      </c>
      <c r="G1865" t="s">
        <v>3043</v>
      </c>
      <c r="H1865" t="str">
        <f t="shared" si="58"/>
        <v>https://videplast.com.br/consulta-imobilizado?id=21000595&amp;nome=FRETE%20TRANSPORTE%20EIXO%20PNEUMATICO%20EPP5R</v>
      </c>
      <c r="I1865" t="e">
        <f t="shared" ca="1" si="59"/>
        <v>#NAME?</v>
      </c>
    </row>
    <row r="1866" spans="1:9" x14ac:dyDescent="0.25">
      <c r="A1866" s="2" t="s">
        <v>3092</v>
      </c>
      <c r="B1866" s="2" t="s">
        <v>10</v>
      </c>
      <c r="C1866" s="3">
        <v>39916</v>
      </c>
      <c r="D1866" t="s">
        <v>3093</v>
      </c>
      <c r="E1866" s="2" t="s">
        <v>12</v>
      </c>
      <c r="F1866" s="2" t="s">
        <v>12</v>
      </c>
      <c r="G1866" t="s">
        <v>3043</v>
      </c>
      <c r="H1866" t="str">
        <f t="shared" si="58"/>
        <v>https://videplast.com.br/consulta-imobilizado?id=21000597&amp;nome=EIXO%20PNEUMATICO%20EPP5R</v>
      </c>
      <c r="I1866" t="e">
        <f t="shared" ca="1" si="59"/>
        <v>#NAME?</v>
      </c>
    </row>
    <row r="1867" spans="1:9" x14ac:dyDescent="0.25">
      <c r="A1867" s="2" t="s">
        <v>3092</v>
      </c>
      <c r="B1867" s="2" t="s">
        <v>26</v>
      </c>
      <c r="C1867" s="3">
        <v>39916</v>
      </c>
      <c r="D1867" t="s">
        <v>3091</v>
      </c>
      <c r="E1867" s="2" t="s">
        <v>12</v>
      </c>
      <c r="F1867" s="2" t="s">
        <v>12</v>
      </c>
      <c r="G1867" t="s">
        <v>3043</v>
      </c>
      <c r="H1867" t="str">
        <f t="shared" si="58"/>
        <v>https://videplast.com.br/consulta-imobilizado?id=21000597&amp;nome=FRETE%20TRANSPORTE%20EIXO%20PNEUMATICO%20EPP5R</v>
      </c>
      <c r="I1867" t="e">
        <f t="shared" ca="1" si="59"/>
        <v>#NAME?</v>
      </c>
    </row>
    <row r="1868" spans="1:9" x14ac:dyDescent="0.25">
      <c r="A1868" s="2" t="s">
        <v>3094</v>
      </c>
      <c r="B1868" s="2" t="s">
        <v>10</v>
      </c>
      <c r="C1868" s="3">
        <v>40329</v>
      </c>
      <c r="D1868" t="s">
        <v>3095</v>
      </c>
      <c r="E1868" s="2" t="s">
        <v>12</v>
      </c>
      <c r="F1868" s="2" t="s">
        <v>12</v>
      </c>
      <c r="G1868" t="s">
        <v>3043</v>
      </c>
      <c r="H1868" t="str">
        <f t="shared" si="58"/>
        <v>https://videplast.com.br/consulta-imobilizado?id=21000623&amp;nome=EIXO%20PNEUMATICO%20150X1225X1385%20MM</v>
      </c>
      <c r="I1868" t="e">
        <f t="shared" ca="1" si="59"/>
        <v>#NAME?</v>
      </c>
    </row>
    <row r="1869" spans="1:9" x14ac:dyDescent="0.25">
      <c r="A1869" s="2" t="s">
        <v>3096</v>
      </c>
      <c r="B1869" s="2" t="s">
        <v>10</v>
      </c>
      <c r="C1869" s="3">
        <v>40574</v>
      </c>
      <c r="D1869" t="s">
        <v>3097</v>
      </c>
      <c r="E1869" s="2" t="s">
        <v>12</v>
      </c>
      <c r="F1869" s="2" t="s">
        <v>12</v>
      </c>
      <c r="G1869" t="s">
        <v>3043</v>
      </c>
      <c r="H1869" t="str">
        <f t="shared" si="58"/>
        <v>https://videplast.com.br/consulta-imobilizado?id=21000652&amp;nome=62%20KG%20DE%20CHAPA%20INOX%20304%201,20%20X%201250%20X%20200%20P/O</v>
      </c>
      <c r="I1869" t="e">
        <f t="shared" ca="1" si="59"/>
        <v>#NAME?</v>
      </c>
    </row>
    <row r="1870" spans="1:9" x14ac:dyDescent="0.25">
      <c r="A1870" s="2" t="s">
        <v>3098</v>
      </c>
      <c r="B1870" s="2" t="s">
        <v>10</v>
      </c>
      <c r="C1870" s="3">
        <v>40602</v>
      </c>
      <c r="D1870" t="s">
        <v>3099</v>
      </c>
      <c r="E1870" s="2" t="s">
        <v>12</v>
      </c>
      <c r="F1870" s="2" t="s">
        <v>12</v>
      </c>
      <c r="G1870" t="s">
        <v>3043</v>
      </c>
      <c r="H1870" t="str">
        <f t="shared" si="58"/>
        <v>https://videplast.com.br/consulta-imobilizado?id=21000657&amp;nome=600%20IMA%20CILINDRO%20TIPO%20RETMA%20DE%20NDFEB%2012,7X6,35</v>
      </c>
      <c r="I1870" t="e">
        <f t="shared" ca="1" si="59"/>
        <v>#NAME?</v>
      </c>
    </row>
    <row r="1871" spans="1:9" x14ac:dyDescent="0.25">
      <c r="A1871" s="2" t="s">
        <v>3098</v>
      </c>
      <c r="B1871" s="2" t="s">
        <v>26</v>
      </c>
      <c r="C1871" s="3">
        <v>40602</v>
      </c>
      <c r="D1871" t="s">
        <v>3100</v>
      </c>
      <c r="E1871" s="2" t="s">
        <v>12</v>
      </c>
      <c r="F1871" s="2" t="s">
        <v>12</v>
      </c>
      <c r="G1871" t="s">
        <v>3043</v>
      </c>
      <c r="H1871" t="str">
        <f t="shared" si="58"/>
        <v>https://videplast.com.br/consulta-imobilizado?id=21000657&amp;nome=600%20IMA%20RETMA%20DE%20NDFEB%2025X5%20MM,%20P/O%20SETOR%20DE</v>
      </c>
      <c r="I1871" t="e">
        <f t="shared" ca="1" si="59"/>
        <v>#NAME?</v>
      </c>
    </row>
    <row r="1872" spans="1:9" x14ac:dyDescent="0.25">
      <c r="A1872" s="2" t="s">
        <v>3101</v>
      </c>
      <c r="B1872" s="2" t="s">
        <v>10</v>
      </c>
      <c r="C1872" s="3">
        <v>44072</v>
      </c>
      <c r="D1872" t="s">
        <v>2803</v>
      </c>
      <c r="E1872" s="2" t="s">
        <v>12</v>
      </c>
      <c r="F1872" s="2" t="s">
        <v>12</v>
      </c>
      <c r="G1872" t="s">
        <v>3043</v>
      </c>
      <c r="H1872" t="str">
        <f t="shared" si="58"/>
        <v>https://videplast.com.br/consulta-imobilizado?id=21005657&amp;nome=CARRO%20HIDRAULICO%20EMP%20CATARINENSE%203000KG</v>
      </c>
      <c r="I1872" t="e">
        <f t="shared" ca="1" si="59"/>
        <v>#NAME?</v>
      </c>
    </row>
    <row r="1873" spans="1:9" x14ac:dyDescent="0.25">
      <c r="A1873" s="2" t="s">
        <v>3102</v>
      </c>
      <c r="B1873" s="2" t="s">
        <v>10</v>
      </c>
      <c r="C1873" s="3">
        <v>44188</v>
      </c>
      <c r="D1873" t="s">
        <v>3103</v>
      </c>
      <c r="E1873" s="2" t="s">
        <v>12</v>
      </c>
      <c r="F1873" s="2" t="s">
        <v>12</v>
      </c>
      <c r="G1873" t="s">
        <v>3043</v>
      </c>
      <c r="H1873" t="str">
        <f t="shared" si="58"/>
        <v>https://videplast.com.br/consulta-imobilizado?id=21005842&amp;nome=RECUPERADORA%20REFILES%20SHANGHAI%20MOD%20JDFS%2060</v>
      </c>
      <c r="I1873" t="e">
        <f t="shared" ca="1" si="59"/>
        <v>#NAME?</v>
      </c>
    </row>
    <row r="1874" spans="1:9" x14ac:dyDescent="0.25">
      <c r="A1874" s="2" t="s">
        <v>3104</v>
      </c>
      <c r="B1874" s="2" t="s">
        <v>10</v>
      </c>
      <c r="C1874" s="3">
        <v>44188</v>
      </c>
      <c r="D1874" t="s">
        <v>3103</v>
      </c>
      <c r="E1874" s="2" t="s">
        <v>12</v>
      </c>
      <c r="F1874" s="2" t="s">
        <v>12</v>
      </c>
      <c r="G1874" t="s">
        <v>3043</v>
      </c>
      <c r="H1874" t="str">
        <f t="shared" si="58"/>
        <v>https://videplast.com.br/consulta-imobilizado?id=21005843&amp;nome=RECUPERADORA%20REFILES%20SHANGHAI%20MOD%20JDFS%2060</v>
      </c>
      <c r="I1874" t="e">
        <f t="shared" ca="1" si="59"/>
        <v>#NAME?</v>
      </c>
    </row>
    <row r="1875" spans="1:9" x14ac:dyDescent="0.25">
      <c r="A1875" s="2" t="s">
        <v>3105</v>
      </c>
      <c r="B1875" s="2" t="s">
        <v>10</v>
      </c>
      <c r="C1875" s="3">
        <v>45477</v>
      </c>
      <c r="D1875" t="s">
        <v>3106</v>
      </c>
      <c r="E1875" s="2" t="s">
        <v>12</v>
      </c>
      <c r="F1875" s="2" t="s">
        <v>12</v>
      </c>
      <c r="G1875" t="s">
        <v>3043</v>
      </c>
      <c r="H1875" t="str">
        <f t="shared" si="58"/>
        <v>https://videplast.com.br/consulta-imobilizado?id=21006543&amp;nome=MODULO%20PICOTADOR%20AG%20TEC%201200</v>
      </c>
      <c r="I1875" t="e">
        <f t="shared" ca="1" si="59"/>
        <v>#NAME?</v>
      </c>
    </row>
    <row r="1876" spans="1:9" x14ac:dyDescent="0.25">
      <c r="A1876" s="2" t="s">
        <v>3107</v>
      </c>
      <c r="B1876" s="2" t="s">
        <v>10</v>
      </c>
      <c r="C1876" s="3">
        <v>45516</v>
      </c>
      <c r="D1876" t="s">
        <v>3095</v>
      </c>
      <c r="E1876" s="2" t="s">
        <v>12</v>
      </c>
      <c r="F1876" s="2" t="s">
        <v>12</v>
      </c>
      <c r="G1876" t="s">
        <v>3043</v>
      </c>
      <c r="H1876" t="str">
        <f t="shared" si="58"/>
        <v>https://videplast.com.br/consulta-imobilizado?id=21006615&amp;nome=EIXO%20PNEUMATICO%20150X1225X1385%20MM</v>
      </c>
      <c r="I1876" t="e">
        <f t="shared" ca="1" si="59"/>
        <v>#NAME?</v>
      </c>
    </row>
    <row r="1877" spans="1:9" x14ac:dyDescent="0.25">
      <c r="A1877" s="2" t="s">
        <v>3108</v>
      </c>
      <c r="B1877" s="2" t="s">
        <v>10</v>
      </c>
      <c r="C1877" s="3">
        <v>45516</v>
      </c>
      <c r="D1877" t="s">
        <v>3084</v>
      </c>
      <c r="E1877" s="2" t="s">
        <v>12</v>
      </c>
      <c r="F1877" s="2" t="s">
        <v>12</v>
      </c>
      <c r="G1877" t="s">
        <v>3043</v>
      </c>
      <c r="H1877" t="str">
        <f t="shared" si="58"/>
        <v>https://videplast.com.br/consulta-imobilizado?id=21006616&amp;nome=EMPILHADEIRA%20HIDRAULICA%20MANUAL%20LM510</v>
      </c>
      <c r="I1877" t="e">
        <f t="shared" ca="1" si="59"/>
        <v>#NAME?</v>
      </c>
    </row>
    <row r="1878" spans="1:9" x14ac:dyDescent="0.25">
      <c r="A1878" s="2" t="s">
        <v>3109</v>
      </c>
      <c r="B1878" s="2" t="s">
        <v>10</v>
      </c>
      <c r="C1878" s="3">
        <v>45435</v>
      </c>
      <c r="D1878" t="s">
        <v>3110</v>
      </c>
      <c r="E1878" s="2" t="s">
        <v>12</v>
      </c>
      <c r="F1878" s="2" t="s">
        <v>3111</v>
      </c>
      <c r="G1878" t="s">
        <v>3043</v>
      </c>
      <c r="H1878" t="str">
        <f t="shared" si="58"/>
        <v>https://videplast.com.br/consulta-imobilizado?id=30004017&amp;nome=CLIMATIZADOR%20ROTOPLAST%20ROTO%2046%20PORTATIL%20220V</v>
      </c>
      <c r="I1878" t="e">
        <f t="shared" ca="1" si="59"/>
        <v>#NAME?</v>
      </c>
    </row>
    <row r="1879" spans="1:9" x14ac:dyDescent="0.25">
      <c r="A1879" s="2" t="s">
        <v>3112</v>
      </c>
      <c r="B1879" s="2" t="s">
        <v>10</v>
      </c>
      <c r="C1879" s="3">
        <v>45435</v>
      </c>
      <c r="D1879" t="s">
        <v>3110</v>
      </c>
      <c r="E1879" s="2" t="s">
        <v>12</v>
      </c>
      <c r="F1879" s="2" t="s">
        <v>3113</v>
      </c>
      <c r="G1879" t="s">
        <v>3043</v>
      </c>
      <c r="H1879" t="str">
        <f t="shared" si="58"/>
        <v>https://videplast.com.br/consulta-imobilizado?id=30004018&amp;nome=CLIMATIZADOR%20ROTOPLAST%20ROTO%2046%20PORTATIL%20220V</v>
      </c>
      <c r="I1879" t="e">
        <f t="shared" ca="1" si="59"/>
        <v>#NAME?</v>
      </c>
    </row>
    <row r="1880" spans="1:9" x14ac:dyDescent="0.25">
      <c r="A1880" s="2" t="s">
        <v>3114</v>
      </c>
      <c r="B1880" s="2" t="s">
        <v>10</v>
      </c>
      <c r="C1880" s="3">
        <v>45596</v>
      </c>
      <c r="D1880" t="s">
        <v>3115</v>
      </c>
      <c r="E1880" s="2" t="s">
        <v>12</v>
      </c>
      <c r="F1880" s="2" t="s">
        <v>3116</v>
      </c>
      <c r="G1880" t="s">
        <v>3043</v>
      </c>
      <c r="H1880" t="str">
        <f t="shared" si="58"/>
        <v>https://videplast.com.br/consulta-imobilizado?id=30004419&amp;nome=BEBEDOURO%20INDUSTRIAL%20ACQUA%20GELATA%20PRE200E%20ACO%20INOX</v>
      </c>
      <c r="I1880" t="e">
        <f t="shared" ca="1" si="59"/>
        <v>#NAME?</v>
      </c>
    </row>
    <row r="1881" spans="1:9" x14ac:dyDescent="0.25">
      <c r="A1881" s="2" t="s">
        <v>3117</v>
      </c>
      <c r="B1881" s="2" t="s">
        <v>10</v>
      </c>
      <c r="C1881" s="3">
        <v>42200</v>
      </c>
      <c r="D1881" t="s">
        <v>3118</v>
      </c>
      <c r="E1881" s="2" t="s">
        <v>12</v>
      </c>
      <c r="F1881" s="2" t="s">
        <v>12</v>
      </c>
      <c r="G1881" t="s">
        <v>3043</v>
      </c>
      <c r="H1881" t="str">
        <f t="shared" si="58"/>
        <v>https://videplast.com.br/consulta-imobilizado?id=32000864&amp;nome=MONITOR%2018.5%20LED%20SAMSUMG</v>
      </c>
      <c r="I1881" t="e">
        <f t="shared" ca="1" si="59"/>
        <v>#NAME?</v>
      </c>
    </row>
    <row r="1882" spans="1:9" x14ac:dyDescent="0.25">
      <c r="A1882" s="2" t="s">
        <v>3119</v>
      </c>
      <c r="B1882" s="2" t="s">
        <v>10</v>
      </c>
      <c r="C1882" s="3">
        <v>42200</v>
      </c>
      <c r="D1882" t="s">
        <v>3118</v>
      </c>
      <c r="E1882" s="2" t="s">
        <v>12</v>
      </c>
      <c r="F1882" s="2" t="s">
        <v>12</v>
      </c>
      <c r="G1882" t="s">
        <v>3043</v>
      </c>
      <c r="H1882" t="str">
        <f t="shared" si="58"/>
        <v>https://videplast.com.br/consulta-imobilizado?id=32000865&amp;nome=MONITOR%2018.5%20LED%20SAMSUMG</v>
      </c>
      <c r="I1882" t="e">
        <f t="shared" ca="1" si="59"/>
        <v>#NAME?</v>
      </c>
    </row>
    <row r="1883" spans="1:9" x14ac:dyDescent="0.25">
      <c r="A1883" s="2" t="s">
        <v>3120</v>
      </c>
      <c r="B1883" s="2" t="s">
        <v>10</v>
      </c>
      <c r="C1883" s="3">
        <v>42200</v>
      </c>
      <c r="D1883" t="s">
        <v>3118</v>
      </c>
      <c r="E1883" s="2" t="s">
        <v>12</v>
      </c>
      <c r="F1883" s="2" t="s">
        <v>12</v>
      </c>
      <c r="G1883" t="s">
        <v>3043</v>
      </c>
      <c r="H1883" t="str">
        <f t="shared" si="58"/>
        <v>https://videplast.com.br/consulta-imobilizado?id=32000866&amp;nome=MONITOR%2018.5%20LED%20SAMSUMG</v>
      </c>
      <c r="I1883" t="e">
        <f t="shared" ca="1" si="59"/>
        <v>#NAME?</v>
      </c>
    </row>
    <row r="1884" spans="1:9" x14ac:dyDescent="0.25">
      <c r="A1884" s="2" t="s">
        <v>3121</v>
      </c>
      <c r="B1884" s="2" t="s">
        <v>10</v>
      </c>
      <c r="C1884" s="3">
        <v>42200</v>
      </c>
      <c r="D1884" t="s">
        <v>3118</v>
      </c>
      <c r="E1884" s="2" t="s">
        <v>12</v>
      </c>
      <c r="F1884" s="2" t="s">
        <v>12</v>
      </c>
      <c r="G1884" t="s">
        <v>3043</v>
      </c>
      <c r="H1884" t="str">
        <f t="shared" si="58"/>
        <v>https://videplast.com.br/consulta-imobilizado?id=32000867&amp;nome=MONITOR%2018.5%20LED%20SAMSUMG</v>
      </c>
      <c r="I1884" t="e">
        <f t="shared" ca="1" si="59"/>
        <v>#NAME?</v>
      </c>
    </row>
    <row r="1885" spans="1:9" x14ac:dyDescent="0.25">
      <c r="A1885" s="2" t="s">
        <v>3122</v>
      </c>
      <c r="B1885" s="2" t="s">
        <v>10</v>
      </c>
      <c r="C1885" s="3">
        <v>43097</v>
      </c>
      <c r="D1885" t="s">
        <v>2275</v>
      </c>
      <c r="E1885" s="2" t="s">
        <v>12</v>
      </c>
      <c r="F1885" s="2" t="s">
        <v>12</v>
      </c>
      <c r="G1885" t="s">
        <v>3043</v>
      </c>
      <c r="H1885" s="5" t="str">
        <f t="shared" si="58"/>
        <v>https://videplast.com.br/consulta-imobilizado?id=32001052&amp;nome=COMPUTADOR%20DELL%20THIN%20CLIENT%20WYSE%20DELL%203010%20T10</v>
      </c>
      <c r="I1885" t="e">
        <f t="shared" ca="1" si="59"/>
        <v>#NAME?</v>
      </c>
    </row>
    <row r="1886" spans="1:9" x14ac:dyDescent="0.25">
      <c r="A1886" s="2" t="s">
        <v>3123</v>
      </c>
      <c r="B1886" s="2" t="s">
        <v>10</v>
      </c>
      <c r="C1886" s="3">
        <v>44117</v>
      </c>
      <c r="D1886" t="s">
        <v>2958</v>
      </c>
      <c r="E1886" s="2" t="s">
        <v>12</v>
      </c>
      <c r="F1886" s="2" t="s">
        <v>3124</v>
      </c>
      <c r="G1886" t="s">
        <v>3043</v>
      </c>
      <c r="H1886" t="str">
        <f t="shared" si="58"/>
        <v>https://videplast.com.br/consulta-imobilizado?id=32001990&amp;nome=THINPC%20SUPERA%20SPMJ18TPSSD%20WINDOWS%2010%20IOT</v>
      </c>
      <c r="I1886" t="e">
        <f t="shared" ca="1" si="59"/>
        <v>#NAME?</v>
      </c>
    </row>
    <row r="1887" spans="1:9" x14ac:dyDescent="0.25">
      <c r="A1887" s="2" t="s">
        <v>3125</v>
      </c>
      <c r="B1887" s="2" t="s">
        <v>10</v>
      </c>
      <c r="C1887" s="3">
        <v>44195</v>
      </c>
      <c r="D1887" t="s">
        <v>2958</v>
      </c>
      <c r="E1887" s="2" t="s">
        <v>12</v>
      </c>
      <c r="F1887" s="2" t="s">
        <v>3126</v>
      </c>
      <c r="G1887" t="s">
        <v>3043</v>
      </c>
      <c r="H1887" t="str">
        <f t="shared" si="58"/>
        <v>https://videplast.com.br/consulta-imobilizado?id=32002026&amp;nome=THINPC%20SUPERA%20SPMJ18TPSSD%20WINDOWS%2010%20IOT</v>
      </c>
      <c r="I1887" t="e">
        <f t="shared" ca="1" si="59"/>
        <v>#NAME?</v>
      </c>
    </row>
    <row r="1888" spans="1:9" x14ac:dyDescent="0.25">
      <c r="A1888" s="2" t="s">
        <v>3127</v>
      </c>
      <c r="B1888" s="2" t="s">
        <v>10</v>
      </c>
      <c r="C1888" s="3">
        <v>44195</v>
      </c>
      <c r="D1888" t="s">
        <v>2958</v>
      </c>
      <c r="E1888" s="2" t="s">
        <v>12</v>
      </c>
      <c r="F1888" s="2" t="s">
        <v>3128</v>
      </c>
      <c r="G1888" t="s">
        <v>3043</v>
      </c>
      <c r="H1888" t="str">
        <f t="shared" si="58"/>
        <v>https://videplast.com.br/consulta-imobilizado?id=32002027&amp;nome=THINPC%20SUPERA%20SPMJ18TPSSD%20WINDOWS%2010%20IOT</v>
      </c>
      <c r="I1888" t="e">
        <f t="shared" ca="1" si="59"/>
        <v>#NAME?</v>
      </c>
    </row>
    <row r="1889" spans="1:9" x14ac:dyDescent="0.25">
      <c r="A1889" s="2" t="s">
        <v>3129</v>
      </c>
      <c r="B1889" s="2" t="s">
        <v>10</v>
      </c>
      <c r="C1889" s="3">
        <v>44194</v>
      </c>
      <c r="D1889" t="s">
        <v>3130</v>
      </c>
      <c r="E1889" s="2" t="s">
        <v>12</v>
      </c>
      <c r="F1889" s="2" t="s">
        <v>12</v>
      </c>
      <c r="G1889" t="s">
        <v>3043</v>
      </c>
      <c r="H1889" t="str">
        <f t="shared" si="58"/>
        <v>https://videplast.com.br/consulta-imobilizado?id=32002028&amp;nome=MONITOR%20PCTOP%2019"%20LED%20VGA%20C/CABO%20HDMI</v>
      </c>
      <c r="I1889" t="e">
        <f t="shared" ca="1" si="59"/>
        <v>#NAME?</v>
      </c>
    </row>
    <row r="1890" spans="1:9" x14ac:dyDescent="0.25">
      <c r="A1890" s="2" t="s">
        <v>3131</v>
      </c>
      <c r="B1890" s="2" t="s">
        <v>10</v>
      </c>
      <c r="C1890" s="3">
        <v>44194</v>
      </c>
      <c r="D1890" t="s">
        <v>3130</v>
      </c>
      <c r="E1890" s="2" t="s">
        <v>12</v>
      </c>
      <c r="F1890" s="2" t="s">
        <v>12</v>
      </c>
      <c r="G1890" t="s">
        <v>3043</v>
      </c>
      <c r="H1890" t="str">
        <f t="shared" si="58"/>
        <v>https://videplast.com.br/consulta-imobilizado?id=32002029&amp;nome=MONITOR%20PCTOP%2019"%20LED%20VGA%20C/CABO%20HDMI</v>
      </c>
      <c r="I1890" t="e">
        <f t="shared" ca="1" si="59"/>
        <v>#NAME?</v>
      </c>
    </row>
    <row r="1891" spans="1:9" x14ac:dyDescent="0.25">
      <c r="A1891" s="2" t="s">
        <v>3132</v>
      </c>
      <c r="B1891" s="2" t="s">
        <v>10</v>
      </c>
      <c r="C1891" s="3">
        <v>44377</v>
      </c>
      <c r="D1891" t="s">
        <v>3133</v>
      </c>
      <c r="E1891" s="2" t="s">
        <v>12</v>
      </c>
      <c r="F1891" s="2" t="s">
        <v>3134</v>
      </c>
      <c r="G1891" t="s">
        <v>3043</v>
      </c>
      <c r="H1891" t="str">
        <f t="shared" si="58"/>
        <v>https://videplast.com.br/consulta-imobilizado?id=32002187&amp;nome=THINPC%20SUPERA%20B2728%20IZEI%20TINY%20WINDOWS%2010%20IOT</v>
      </c>
      <c r="I1891" t="e">
        <f t="shared" ca="1" si="59"/>
        <v>#NAME?</v>
      </c>
    </row>
    <row r="1892" spans="1:9" x14ac:dyDescent="0.25">
      <c r="A1892" s="2" t="s">
        <v>3135</v>
      </c>
      <c r="B1892" s="2" t="s">
        <v>10</v>
      </c>
      <c r="C1892" s="3">
        <v>44377</v>
      </c>
      <c r="D1892" t="s">
        <v>3133</v>
      </c>
      <c r="E1892" s="2" t="s">
        <v>12</v>
      </c>
      <c r="F1892" s="2" t="s">
        <v>3136</v>
      </c>
      <c r="G1892" t="s">
        <v>3043</v>
      </c>
      <c r="H1892" t="str">
        <f t="shared" si="58"/>
        <v>https://videplast.com.br/consulta-imobilizado?id=32002188&amp;nome=THINPC%20SUPERA%20B2728%20IZEI%20TINY%20WINDOWS%2010%20IOT</v>
      </c>
      <c r="I1892" t="e">
        <f t="shared" ca="1" si="59"/>
        <v>#NAME?</v>
      </c>
    </row>
    <row r="1893" spans="1:9" x14ac:dyDescent="0.25">
      <c r="A1893" s="2" t="s">
        <v>3137</v>
      </c>
      <c r="B1893" s="2" t="s">
        <v>10</v>
      </c>
      <c r="C1893" s="3">
        <v>44377</v>
      </c>
      <c r="D1893" t="s">
        <v>3133</v>
      </c>
      <c r="E1893" s="2" t="s">
        <v>12</v>
      </c>
      <c r="F1893" s="2" t="s">
        <v>3138</v>
      </c>
      <c r="G1893" t="s">
        <v>3043</v>
      </c>
      <c r="H1893" t="str">
        <f t="shared" si="58"/>
        <v>https://videplast.com.br/consulta-imobilizado?id=32002189&amp;nome=THINPC%20SUPERA%20B2728%20IZEI%20TINY%20WINDOWS%2010%20IOT</v>
      </c>
      <c r="I1893" t="e">
        <f t="shared" ca="1" si="59"/>
        <v>#NAME?</v>
      </c>
    </row>
    <row r="1894" spans="1:9" x14ac:dyDescent="0.25">
      <c r="A1894" s="2" t="s">
        <v>3139</v>
      </c>
      <c r="B1894" s="2" t="s">
        <v>10</v>
      </c>
      <c r="C1894" s="3">
        <v>44400</v>
      </c>
      <c r="D1894" t="s">
        <v>3133</v>
      </c>
      <c r="E1894" s="2" t="s">
        <v>12</v>
      </c>
      <c r="F1894" s="2" t="s">
        <v>3140</v>
      </c>
      <c r="G1894" t="s">
        <v>3043</v>
      </c>
      <c r="H1894" t="str">
        <f t="shared" si="58"/>
        <v>https://videplast.com.br/consulta-imobilizado?id=32002200&amp;nome=THINPC%20SUPERA%20B2728%20IZEI%20TINY%20WINDOWS%2010%20IOT</v>
      </c>
      <c r="I1894" t="e">
        <f t="shared" ca="1" si="59"/>
        <v>#NAME?</v>
      </c>
    </row>
    <row r="1895" spans="1:9" x14ac:dyDescent="0.25">
      <c r="A1895" s="2" t="s">
        <v>3141</v>
      </c>
      <c r="B1895" s="2" t="s">
        <v>10</v>
      </c>
      <c r="C1895" s="3">
        <v>45050</v>
      </c>
      <c r="D1895" t="s">
        <v>3003</v>
      </c>
      <c r="E1895" s="2" t="s">
        <v>12</v>
      </c>
      <c r="F1895" s="2" t="s">
        <v>3142</v>
      </c>
      <c r="G1895" t="s">
        <v>3043</v>
      </c>
      <c r="H1895" t="str">
        <f t="shared" si="58"/>
        <v>https://videplast.com.br/consulta-imobilizado?id=32002672&amp;nome=MONITOR%20DELL%20LED%2020"%20E2222HS</v>
      </c>
      <c r="I1895" t="e">
        <f t="shared" ca="1" si="59"/>
        <v>#NAME?</v>
      </c>
    </row>
    <row r="1896" spans="1:9" x14ac:dyDescent="0.25">
      <c r="A1896" s="2" t="s">
        <v>3143</v>
      </c>
      <c r="B1896" s="2" t="s">
        <v>10</v>
      </c>
      <c r="C1896" s="3">
        <v>45061</v>
      </c>
      <c r="D1896" t="s">
        <v>547</v>
      </c>
      <c r="E1896" s="2" t="s">
        <v>12</v>
      </c>
      <c r="F1896" s="2" t="s">
        <v>3144</v>
      </c>
      <c r="G1896" t="s">
        <v>3043</v>
      </c>
      <c r="H1896" t="str">
        <f t="shared" si="58"/>
        <v>https://videplast.com.br/consulta-imobilizado?id=32002676&amp;nome=THINPC%20SUPERA%20B2316%20IZEI%20TINY%20WINDOWS%2010%20IOT</v>
      </c>
      <c r="I1896" t="e">
        <f t="shared" ca="1" si="59"/>
        <v>#NAME?</v>
      </c>
    </row>
    <row r="1897" spans="1:9" x14ac:dyDescent="0.25">
      <c r="A1897" s="2" t="s">
        <v>3145</v>
      </c>
      <c r="B1897" s="2" t="s">
        <v>10</v>
      </c>
      <c r="C1897" s="3">
        <v>45050</v>
      </c>
      <c r="D1897" t="s">
        <v>3017</v>
      </c>
      <c r="E1897" s="2" t="s">
        <v>3146</v>
      </c>
      <c r="F1897" s="2" t="s">
        <v>12</v>
      </c>
      <c r="G1897" t="s">
        <v>3043</v>
      </c>
      <c r="H1897" t="str">
        <f t="shared" si="58"/>
        <v>https://videplast.com.br/consulta-imobilizado?id=32002702&amp;nome=IMPRESSOR%20TERMICO%20ZEBRA%20ZD220T%20203DPI</v>
      </c>
      <c r="I1897" t="e">
        <f t="shared" ca="1" si="59"/>
        <v>#NAME?</v>
      </c>
    </row>
    <row r="1898" spans="1:9" x14ac:dyDescent="0.25">
      <c r="A1898" s="2" t="s">
        <v>3147</v>
      </c>
      <c r="B1898" s="2" t="s">
        <v>10</v>
      </c>
      <c r="C1898" s="3">
        <v>41206</v>
      </c>
      <c r="D1898" t="s">
        <v>3148</v>
      </c>
      <c r="E1898" s="2" t="s">
        <v>12</v>
      </c>
      <c r="F1898" s="2" t="s">
        <v>12</v>
      </c>
      <c r="G1898" t="s">
        <v>3043</v>
      </c>
      <c r="H1898" t="str">
        <f t="shared" si="58"/>
        <v>https://videplast.com.br/consulta-imobilizado?id=21004784&amp;nome=EIXO%20EXPANSIVO%206%20POLEGADAS%20CONTINUAS%20EM%20BORRACHA</v>
      </c>
      <c r="I1898" t="e">
        <f t="shared" ca="1" si="59"/>
        <v>#NAME?</v>
      </c>
    </row>
    <row r="1899" spans="1:9" x14ac:dyDescent="0.25">
      <c r="A1899" s="2" t="s">
        <v>3149</v>
      </c>
      <c r="B1899" s="2" t="s">
        <v>10</v>
      </c>
      <c r="C1899" s="3">
        <v>44182</v>
      </c>
      <c r="D1899" t="s">
        <v>3150</v>
      </c>
      <c r="E1899" s="2" t="s">
        <v>12</v>
      </c>
      <c r="F1899" s="2" t="s">
        <v>12</v>
      </c>
      <c r="G1899" t="s">
        <v>3043</v>
      </c>
      <c r="H1899" t="str">
        <f t="shared" si="58"/>
        <v>https://videplast.com.br/consulta-imobilizado?id=21005812&amp;nome=UNIDADE%20DE%20MICROPERFURAÇÃO%20A%20QUENTE/FRIO</v>
      </c>
      <c r="I1899" t="e">
        <f t="shared" ca="1" si="59"/>
        <v>#NAME?</v>
      </c>
    </row>
    <row r="1900" spans="1:9" x14ac:dyDescent="0.25">
      <c r="A1900" s="2" t="s">
        <v>3151</v>
      </c>
      <c r="B1900" s="2" t="s">
        <v>10</v>
      </c>
      <c r="C1900" s="3">
        <v>45535</v>
      </c>
      <c r="D1900" t="s">
        <v>2393</v>
      </c>
      <c r="E1900" s="2" t="s">
        <v>12</v>
      </c>
      <c r="F1900" s="2" t="s">
        <v>12</v>
      </c>
      <c r="G1900" t="s">
        <v>3043</v>
      </c>
      <c r="H1900" t="str">
        <f t="shared" si="58"/>
        <v>https://videplast.com.br/consulta-imobilizado?id=40000374&amp;nome=IMPLANTACAO%20SISTEMA%20CONTROLE%20ESTATISTICO</v>
      </c>
      <c r="I1900" t="e">
        <f t="shared" ca="1" si="59"/>
        <v>#NAME?</v>
      </c>
    </row>
    <row r="1901" spans="1:9" x14ac:dyDescent="0.25">
      <c r="A1901" s="2" t="s">
        <v>3152</v>
      </c>
      <c r="B1901" s="2" t="s">
        <v>10</v>
      </c>
      <c r="C1901" s="3">
        <v>41912</v>
      </c>
      <c r="D1901" t="s">
        <v>3153</v>
      </c>
      <c r="E1901" s="2" t="s">
        <v>3154</v>
      </c>
      <c r="F1901" s="2" t="s">
        <v>3155</v>
      </c>
      <c r="G1901" t="s">
        <v>3156</v>
      </c>
      <c r="H1901" t="str">
        <f t="shared" si="58"/>
        <v>https://videplast.com.br/consulta-imobilizado?id=20000075&amp;nome=LAMINADORA%20COMEXI%20NEXUS%20ONE%20PLUS%20EVO%20Nº%20402</v>
      </c>
      <c r="I1901" t="e">
        <f t="shared" ca="1" si="59"/>
        <v>#NAME?</v>
      </c>
    </row>
    <row r="1902" spans="1:9" x14ac:dyDescent="0.25">
      <c r="A1902" s="2" t="s">
        <v>3152</v>
      </c>
      <c r="B1902" s="2" t="s">
        <v>26</v>
      </c>
      <c r="C1902" s="3">
        <v>41912</v>
      </c>
      <c r="D1902" t="s">
        <v>3157</v>
      </c>
      <c r="E1902" s="2" t="s">
        <v>12</v>
      </c>
      <c r="F1902" s="2" t="s">
        <v>12</v>
      </c>
      <c r="G1902" t="s">
        <v>3156</v>
      </c>
      <c r="H1902" t="str">
        <f t="shared" si="58"/>
        <v>https://videplast.com.br/consulta-imobilizado?id=20000075&amp;nome=FRETE%20TRANSPORTE%20LAMINADORA</v>
      </c>
      <c r="I1902" t="e">
        <f t="shared" ca="1" si="59"/>
        <v>#NAME?</v>
      </c>
    </row>
    <row r="1903" spans="1:9" x14ac:dyDescent="0.25">
      <c r="A1903" s="2" t="s">
        <v>3152</v>
      </c>
      <c r="B1903" s="2" t="s">
        <v>21</v>
      </c>
      <c r="C1903" s="3">
        <v>45506</v>
      </c>
      <c r="D1903" t="s">
        <v>3158</v>
      </c>
      <c r="E1903" s="2" t="s">
        <v>3154</v>
      </c>
      <c r="F1903" s="2" t="s">
        <v>12</v>
      </c>
      <c r="G1903" t="s">
        <v>3156</v>
      </c>
      <c r="H1903" t="str">
        <f t="shared" si="58"/>
        <v>https://videplast.com.br/consulta-imobilizado?id=20000075&amp;nome=MATERIAIS%20PARA%20MONTAGEM%20DA%20LAMINADORA</v>
      </c>
      <c r="I1903" t="e">
        <f t="shared" ca="1" si="59"/>
        <v>#NAME?</v>
      </c>
    </row>
    <row r="1904" spans="1:9" x14ac:dyDescent="0.25">
      <c r="A1904" s="2" t="s">
        <v>3152</v>
      </c>
      <c r="B1904" s="2" t="s">
        <v>29</v>
      </c>
      <c r="C1904" s="3">
        <v>45506</v>
      </c>
      <c r="D1904" t="s">
        <v>3159</v>
      </c>
      <c r="E1904" s="2" t="s">
        <v>3154</v>
      </c>
      <c r="F1904" s="2" t="s">
        <v>12</v>
      </c>
      <c r="G1904" t="s">
        <v>3156</v>
      </c>
      <c r="H1904" t="str">
        <f t="shared" si="58"/>
        <v>https://videplast.com.br/consulta-imobilizado?id=20000075&amp;nome=MAO%20DE%20OBRA%20SERVICO%20ELETRICO%20INSTALACAO%20LAMINADORA</v>
      </c>
      <c r="I1904" t="e">
        <f t="shared" ca="1" si="59"/>
        <v>#NAME?</v>
      </c>
    </row>
    <row r="1905" spans="1:9" x14ac:dyDescent="0.25">
      <c r="A1905" s="2" t="s">
        <v>3160</v>
      </c>
      <c r="B1905" s="2" t="s">
        <v>10</v>
      </c>
      <c r="C1905" s="3">
        <v>39259</v>
      </c>
      <c r="D1905" t="s">
        <v>3161</v>
      </c>
      <c r="E1905" s="2" t="s">
        <v>12</v>
      </c>
      <c r="F1905" s="2" t="s">
        <v>12</v>
      </c>
      <c r="G1905" t="s">
        <v>3156</v>
      </c>
      <c r="H1905" t="str">
        <f t="shared" si="58"/>
        <v>https://videplast.com.br/consulta-imobilizado?id=21000490&amp;nome=DE%201%20VIGA%20U%204%20LAMINADA%201%20%20ALMA%206%20MTS%20P/O%20SETOR%20DE</v>
      </c>
      <c r="I1905" t="e">
        <f t="shared" ca="1" si="59"/>
        <v>#NAME?</v>
      </c>
    </row>
    <row r="1906" spans="1:9" x14ac:dyDescent="0.25">
      <c r="A1906" s="2" t="s">
        <v>3162</v>
      </c>
      <c r="B1906" s="2" t="s">
        <v>10</v>
      </c>
      <c r="C1906" s="3">
        <v>45350</v>
      </c>
      <c r="D1906" t="s">
        <v>1002</v>
      </c>
      <c r="E1906" s="2" t="s">
        <v>12</v>
      </c>
      <c r="F1906" s="2" t="s">
        <v>3163</v>
      </c>
      <c r="G1906" t="s">
        <v>3156</v>
      </c>
      <c r="H1906" t="str">
        <f t="shared" si="58"/>
        <v>https://videplast.com.br/consulta-imobilizado?id=21006447&amp;nome=BALANCA%20TRENTIN%20BT-0011%201000KG%20PLATAFORMA%201,2x1,2M</v>
      </c>
      <c r="I1906" t="e">
        <f t="shared" ca="1" si="59"/>
        <v>#NAME?</v>
      </c>
    </row>
    <row r="1907" spans="1:9" x14ac:dyDescent="0.25">
      <c r="A1907" s="2" t="s">
        <v>1047</v>
      </c>
      <c r="B1907" s="2" t="s">
        <v>26</v>
      </c>
      <c r="C1907" s="3">
        <v>45506</v>
      </c>
      <c r="D1907" t="s">
        <v>3164</v>
      </c>
      <c r="E1907" s="2" t="s">
        <v>12</v>
      </c>
      <c r="F1907" s="2" t="s">
        <v>12</v>
      </c>
      <c r="G1907" t="s">
        <v>3156</v>
      </c>
      <c r="H1907" t="str">
        <f t="shared" si="58"/>
        <v>https://videplast.com.br/consulta-imobilizado?id=22000029&amp;nome=FRETE%20P/CAMISA%20LAMIFLEX</v>
      </c>
      <c r="I1907" t="e">
        <f t="shared" ca="1" si="59"/>
        <v>#NAME?</v>
      </c>
    </row>
    <row r="1908" spans="1:9" x14ac:dyDescent="0.25">
      <c r="A1908" s="2" t="s">
        <v>3165</v>
      </c>
      <c r="B1908" s="2" t="s">
        <v>10</v>
      </c>
      <c r="C1908" s="3">
        <v>43770</v>
      </c>
      <c r="D1908" t="s">
        <v>3166</v>
      </c>
      <c r="E1908" s="2" t="s">
        <v>12</v>
      </c>
      <c r="F1908" s="2" t="s">
        <v>3167</v>
      </c>
      <c r="G1908" t="s">
        <v>3156</v>
      </c>
      <c r="H1908" t="str">
        <f t="shared" si="58"/>
        <v>https://videplast.com.br/consulta-imobilizado?id=22000073&amp;nome=CAMISA%20P/%20LAMINAÇÃO%20EM%20POLYCOAT%2078G%20SLEEVE</v>
      </c>
      <c r="I1908" t="e">
        <f t="shared" ca="1" si="59"/>
        <v>#NAME?</v>
      </c>
    </row>
    <row r="1909" spans="1:9" x14ac:dyDescent="0.25">
      <c r="A1909" s="2" t="s">
        <v>3168</v>
      </c>
      <c r="B1909" s="2" t="s">
        <v>10</v>
      </c>
      <c r="C1909" s="3">
        <v>43770</v>
      </c>
      <c r="D1909" t="s">
        <v>3169</v>
      </c>
      <c r="E1909" s="2" t="s">
        <v>12</v>
      </c>
      <c r="F1909" s="2" t="s">
        <v>12</v>
      </c>
      <c r="G1909" t="s">
        <v>3156</v>
      </c>
      <c r="H1909" t="str">
        <f t="shared" si="58"/>
        <v>https://videplast.com.br/consulta-imobilizado?id=22002271&amp;nome=CAMISA%20DE%20LAMINAÇÃO</v>
      </c>
      <c r="I1909" t="e">
        <f t="shared" ca="1" si="59"/>
        <v>#NAME?</v>
      </c>
    </row>
    <row r="1910" spans="1:9" x14ac:dyDescent="0.25">
      <c r="A1910" s="2" t="s">
        <v>3170</v>
      </c>
      <c r="B1910" s="2" t="s">
        <v>10</v>
      </c>
      <c r="C1910" s="3">
        <v>43770</v>
      </c>
      <c r="D1910" t="s">
        <v>3169</v>
      </c>
      <c r="E1910" s="2" t="s">
        <v>12</v>
      </c>
      <c r="F1910" s="2" t="s">
        <v>12</v>
      </c>
      <c r="G1910" t="s">
        <v>3156</v>
      </c>
      <c r="H1910" t="str">
        <f t="shared" si="58"/>
        <v>https://videplast.com.br/consulta-imobilizado?id=22002272&amp;nome=CAMISA%20DE%20LAMINAÇÃO</v>
      </c>
      <c r="I1910" t="e">
        <f t="shared" ca="1" si="59"/>
        <v>#NAME?</v>
      </c>
    </row>
    <row r="1911" spans="1:9" x14ac:dyDescent="0.25">
      <c r="A1911" s="2" t="s">
        <v>3171</v>
      </c>
      <c r="B1911" s="2" t="s">
        <v>10</v>
      </c>
      <c r="C1911" s="3">
        <v>43770</v>
      </c>
      <c r="D1911" t="s">
        <v>3169</v>
      </c>
      <c r="E1911" s="2" t="s">
        <v>12</v>
      </c>
      <c r="F1911" s="2" t="s">
        <v>12</v>
      </c>
      <c r="G1911" t="s">
        <v>3156</v>
      </c>
      <c r="H1911" t="str">
        <f t="shared" si="58"/>
        <v>https://videplast.com.br/consulta-imobilizado?id=22002273&amp;nome=CAMISA%20DE%20LAMINAÇÃO</v>
      </c>
      <c r="I1911" t="e">
        <f t="shared" ca="1" si="59"/>
        <v>#NAME?</v>
      </c>
    </row>
    <row r="1912" spans="1:9" x14ac:dyDescent="0.25">
      <c r="A1912" s="2" t="s">
        <v>3172</v>
      </c>
      <c r="B1912" s="2" t="s">
        <v>10</v>
      </c>
      <c r="C1912" s="3">
        <v>43770</v>
      </c>
      <c r="D1912" t="s">
        <v>3169</v>
      </c>
      <c r="E1912" s="2" t="s">
        <v>12</v>
      </c>
      <c r="F1912" s="2" t="s">
        <v>12</v>
      </c>
      <c r="G1912" t="s">
        <v>3156</v>
      </c>
      <c r="H1912" t="str">
        <f t="shared" si="58"/>
        <v>https://videplast.com.br/consulta-imobilizado?id=22002274&amp;nome=CAMISA%20DE%20LAMINAÇÃO</v>
      </c>
      <c r="I1912" t="e">
        <f t="shared" ca="1" si="59"/>
        <v>#NAME?</v>
      </c>
    </row>
    <row r="1913" spans="1:9" x14ac:dyDescent="0.25">
      <c r="A1913" s="2" t="s">
        <v>3173</v>
      </c>
      <c r="B1913" s="2" t="s">
        <v>10</v>
      </c>
      <c r="C1913" s="3">
        <v>43770</v>
      </c>
      <c r="D1913" t="s">
        <v>3169</v>
      </c>
      <c r="E1913" s="2" t="s">
        <v>12</v>
      </c>
      <c r="F1913" s="2" t="s">
        <v>12</v>
      </c>
      <c r="G1913" t="s">
        <v>3156</v>
      </c>
      <c r="H1913" t="str">
        <f t="shared" si="58"/>
        <v>https://videplast.com.br/consulta-imobilizado?id=22002275&amp;nome=CAMISA%20DE%20LAMINAÇÃO</v>
      </c>
      <c r="I1913" t="e">
        <f t="shared" ca="1" si="59"/>
        <v>#NAME?</v>
      </c>
    </row>
    <row r="1914" spans="1:9" x14ac:dyDescent="0.25">
      <c r="A1914" s="2" t="s">
        <v>3174</v>
      </c>
      <c r="B1914" s="2" t="s">
        <v>10</v>
      </c>
      <c r="C1914" s="3">
        <v>43770</v>
      </c>
      <c r="D1914" t="s">
        <v>3169</v>
      </c>
      <c r="E1914" s="2" t="s">
        <v>12</v>
      </c>
      <c r="F1914" s="2" t="s">
        <v>12</v>
      </c>
      <c r="G1914" t="s">
        <v>3156</v>
      </c>
      <c r="H1914" t="str">
        <f t="shared" si="58"/>
        <v>https://videplast.com.br/consulta-imobilizado?id=22002276&amp;nome=CAMISA%20DE%20LAMINAÇÃO</v>
      </c>
      <c r="I1914" t="e">
        <f t="shared" ca="1" si="59"/>
        <v>#NAME?</v>
      </c>
    </row>
    <row r="1915" spans="1:9" x14ac:dyDescent="0.25">
      <c r="A1915" s="2" t="s">
        <v>3175</v>
      </c>
      <c r="B1915" s="2" t="s">
        <v>10</v>
      </c>
      <c r="C1915" s="3">
        <v>43770</v>
      </c>
      <c r="D1915" t="s">
        <v>3169</v>
      </c>
      <c r="E1915" s="2" t="s">
        <v>12</v>
      </c>
      <c r="F1915" s="2" t="s">
        <v>12</v>
      </c>
      <c r="G1915" t="s">
        <v>3156</v>
      </c>
      <c r="H1915" t="str">
        <f t="shared" si="58"/>
        <v>https://videplast.com.br/consulta-imobilizado?id=22002277&amp;nome=CAMISA%20DE%20LAMINAÇÃO</v>
      </c>
      <c r="I1915" t="e">
        <f t="shared" ca="1" si="59"/>
        <v>#NAME?</v>
      </c>
    </row>
    <row r="1916" spans="1:9" x14ac:dyDescent="0.25">
      <c r="A1916" s="2" t="s">
        <v>3176</v>
      </c>
      <c r="B1916" s="2" t="s">
        <v>10</v>
      </c>
      <c r="C1916" s="3">
        <v>43770</v>
      </c>
      <c r="D1916" t="s">
        <v>3169</v>
      </c>
      <c r="E1916" s="2" t="s">
        <v>12</v>
      </c>
      <c r="F1916" s="2" t="s">
        <v>12</v>
      </c>
      <c r="G1916" t="s">
        <v>3156</v>
      </c>
      <c r="H1916" t="str">
        <f t="shared" si="58"/>
        <v>https://videplast.com.br/consulta-imobilizado?id=22002278&amp;nome=CAMISA%20DE%20LAMINAÇÃO</v>
      </c>
      <c r="I1916" t="e">
        <f t="shared" ca="1" si="59"/>
        <v>#NAME?</v>
      </c>
    </row>
    <row r="1917" spans="1:9" x14ac:dyDescent="0.25">
      <c r="A1917" s="2" t="s">
        <v>3177</v>
      </c>
      <c r="B1917" s="2" t="s">
        <v>10</v>
      </c>
      <c r="C1917" s="3">
        <v>43770</v>
      </c>
      <c r="D1917" t="s">
        <v>3169</v>
      </c>
      <c r="E1917" s="2" t="s">
        <v>12</v>
      </c>
      <c r="F1917" s="2" t="s">
        <v>12</v>
      </c>
      <c r="G1917" t="s">
        <v>3156</v>
      </c>
      <c r="H1917" t="str">
        <f t="shared" si="58"/>
        <v>https://videplast.com.br/consulta-imobilizado?id=22002279&amp;nome=CAMISA%20DE%20LAMINAÇÃO</v>
      </c>
      <c r="I1917" t="e">
        <f t="shared" ca="1" si="59"/>
        <v>#NAME?</v>
      </c>
    </row>
    <row r="1918" spans="1:9" x14ac:dyDescent="0.25">
      <c r="A1918" s="2" t="s">
        <v>3178</v>
      </c>
      <c r="B1918" s="2" t="s">
        <v>10</v>
      </c>
      <c r="C1918" s="3">
        <v>43770</v>
      </c>
      <c r="D1918" t="s">
        <v>3179</v>
      </c>
      <c r="E1918" s="2" t="s">
        <v>12</v>
      </c>
      <c r="F1918" s="2" t="s">
        <v>12</v>
      </c>
      <c r="G1918" t="s">
        <v>3156</v>
      </c>
      <c r="H1918" t="str">
        <f t="shared" si="58"/>
        <v>https://videplast.com.br/consulta-imobilizado?id=22002453&amp;nome=CILINDRO%20CONTRA%20PRESSAO%20P/O%20SETOR%20DE%20LAMINACAO</v>
      </c>
      <c r="I1918" t="e">
        <f t="shared" ca="1" si="59"/>
        <v>#NAME?</v>
      </c>
    </row>
    <row r="1919" spans="1:9" x14ac:dyDescent="0.25">
      <c r="A1919" s="2" t="s">
        <v>3178</v>
      </c>
      <c r="B1919" s="2" t="s">
        <v>26</v>
      </c>
      <c r="C1919" s="3">
        <v>45506</v>
      </c>
      <c r="D1919" t="s">
        <v>3180</v>
      </c>
      <c r="E1919" s="2" t="s">
        <v>12</v>
      </c>
      <c r="F1919" s="2" t="s">
        <v>12</v>
      </c>
      <c r="G1919" t="s">
        <v>3156</v>
      </c>
      <c r="H1919" t="str">
        <f t="shared" si="58"/>
        <v>https://videplast.com.br/consulta-imobilizado?id=22002453&amp;nome=FRETE%20TRANSPORTE%20DE%20CILINDRO%20CONTRA%20PRESSAO</v>
      </c>
      <c r="I1919" t="e">
        <f t="shared" ca="1" si="59"/>
        <v>#NAME?</v>
      </c>
    </row>
    <row r="1920" spans="1:9" x14ac:dyDescent="0.25">
      <c r="A1920" s="2" t="s">
        <v>3181</v>
      </c>
      <c r="B1920" s="2" t="s">
        <v>10</v>
      </c>
      <c r="C1920" s="3">
        <v>43770</v>
      </c>
      <c r="D1920" t="s">
        <v>1214</v>
      </c>
      <c r="E1920" s="2" t="s">
        <v>12</v>
      </c>
      <c r="F1920" s="2" t="s">
        <v>12</v>
      </c>
      <c r="G1920" t="s">
        <v>3156</v>
      </c>
      <c r="H1920" t="str">
        <f t="shared" si="58"/>
        <v>https://videplast.com.br/consulta-imobilizado?id=22002585&amp;nome=CAMISA%20LAMIFLEX</v>
      </c>
      <c r="I1920" t="e">
        <f t="shared" ca="1" si="59"/>
        <v>#NAME?</v>
      </c>
    </row>
    <row r="1921" spans="1:9" x14ac:dyDescent="0.25">
      <c r="A1921" s="2" t="s">
        <v>3182</v>
      </c>
      <c r="B1921" s="2" t="s">
        <v>10</v>
      </c>
      <c r="C1921" s="3">
        <v>43770</v>
      </c>
      <c r="D1921" t="s">
        <v>1214</v>
      </c>
      <c r="E1921" s="2" t="s">
        <v>12</v>
      </c>
      <c r="F1921" s="2" t="s">
        <v>12</v>
      </c>
      <c r="G1921" t="s">
        <v>3156</v>
      </c>
      <c r="H1921" t="str">
        <f t="shared" si="58"/>
        <v>https://videplast.com.br/consulta-imobilizado?id=22002614&amp;nome=CAMISA%20LAMIFLEX</v>
      </c>
      <c r="I1921" t="e">
        <f t="shared" ca="1" si="59"/>
        <v>#NAME?</v>
      </c>
    </row>
    <row r="1922" spans="1:9" x14ac:dyDescent="0.25">
      <c r="A1922" s="2" t="s">
        <v>3183</v>
      </c>
      <c r="B1922" s="2" t="s">
        <v>10</v>
      </c>
      <c r="C1922" s="3">
        <v>43770</v>
      </c>
      <c r="D1922" t="s">
        <v>3184</v>
      </c>
      <c r="E1922" s="2" t="s">
        <v>12</v>
      </c>
      <c r="F1922" s="2" t="s">
        <v>12</v>
      </c>
      <c r="G1922" t="s">
        <v>3156</v>
      </c>
      <c r="H1922" t="str">
        <f t="shared" ref="H1922:H1985" si="60" xml:space="preserve"> "https://videplast.com.br/consulta-imobilizado?id=" &amp; A1922 &amp; "&amp;nome=" &amp; SUBSTITUTE(D1922, " ", "%20")</f>
        <v>https://videplast.com.br/consulta-imobilizado?id=22002622&amp;nome=CAMISA%20LAMIFLEX%20P/%20MAQ.FLEXOTECH%20FINAL%20145%20MM</v>
      </c>
      <c r="I1922" t="e">
        <f t="shared" ref="I1922:I1985" ca="1" si="61">_xlfn.IMAGE("https://chart.googleapis.com/chart?chs=150x150&amp;cht=qr&amp;chl=" &amp; H1922)</f>
        <v>#NAME?</v>
      </c>
    </row>
    <row r="1923" spans="1:9" x14ac:dyDescent="0.25">
      <c r="A1923" s="2" t="s">
        <v>3183</v>
      </c>
      <c r="B1923" s="2" t="s">
        <v>26</v>
      </c>
      <c r="C1923" s="3">
        <v>45506</v>
      </c>
      <c r="D1923" t="s">
        <v>3185</v>
      </c>
      <c r="E1923" s="2" t="s">
        <v>12</v>
      </c>
      <c r="F1923" s="2" t="s">
        <v>12</v>
      </c>
      <c r="G1923" t="s">
        <v>3156</v>
      </c>
      <c r="H1923" t="str">
        <f t="shared" si="60"/>
        <v>https://videplast.com.br/consulta-imobilizado?id=22002622&amp;nome=FRETE%20TRANSPORTE%20DE%202%20CAMISA%20LAMIFLEX</v>
      </c>
      <c r="I1923" t="e">
        <f t="shared" ca="1" si="61"/>
        <v>#NAME?</v>
      </c>
    </row>
    <row r="1924" spans="1:9" x14ac:dyDescent="0.25">
      <c r="A1924" s="2" t="s">
        <v>3186</v>
      </c>
      <c r="B1924" s="2" t="s">
        <v>10</v>
      </c>
      <c r="C1924" s="3">
        <v>43770</v>
      </c>
      <c r="D1924" t="s">
        <v>3187</v>
      </c>
      <c r="E1924" s="2" t="s">
        <v>12</v>
      </c>
      <c r="F1924" s="2" t="s">
        <v>12</v>
      </c>
      <c r="G1924" t="s">
        <v>3156</v>
      </c>
      <c r="H1924" t="str">
        <f t="shared" si="60"/>
        <v>https://videplast.com.br/consulta-imobilizado?id=22002675&amp;nome=CILINDRO%20DOSADOR%20MAQ%201400</v>
      </c>
      <c r="I1924" t="e">
        <f t="shared" ca="1" si="61"/>
        <v>#NAME?</v>
      </c>
    </row>
    <row r="1925" spans="1:9" x14ac:dyDescent="0.25">
      <c r="A1925" s="2" t="s">
        <v>3186</v>
      </c>
      <c r="B1925" s="2" t="s">
        <v>26</v>
      </c>
      <c r="C1925" s="3">
        <v>45506</v>
      </c>
      <c r="D1925" t="s">
        <v>3188</v>
      </c>
      <c r="E1925" s="2" t="s">
        <v>12</v>
      </c>
      <c r="F1925" s="2" t="s">
        <v>12</v>
      </c>
      <c r="G1925" t="s">
        <v>3156</v>
      </c>
      <c r="H1925" t="str">
        <f t="shared" si="60"/>
        <v>https://videplast.com.br/consulta-imobilizado?id=22002675&amp;nome=FRETE%20TRANSPORTE%20CILINDRO</v>
      </c>
      <c r="I1925" t="e">
        <f t="shared" ca="1" si="61"/>
        <v>#NAME?</v>
      </c>
    </row>
    <row r="1926" spans="1:9" x14ac:dyDescent="0.25">
      <c r="A1926" s="2" t="s">
        <v>3189</v>
      </c>
      <c r="B1926" s="2" t="s">
        <v>10</v>
      </c>
      <c r="C1926" s="3">
        <v>43770</v>
      </c>
      <c r="D1926" t="s">
        <v>1214</v>
      </c>
      <c r="E1926" s="2" t="s">
        <v>12</v>
      </c>
      <c r="F1926" s="2" t="s">
        <v>12</v>
      </c>
      <c r="G1926" t="s">
        <v>3156</v>
      </c>
      <c r="H1926" t="str">
        <f t="shared" si="60"/>
        <v>https://videplast.com.br/consulta-imobilizado?id=22002830&amp;nome=CAMISA%20LAMIFLEX</v>
      </c>
      <c r="I1926" t="e">
        <f t="shared" ca="1" si="61"/>
        <v>#NAME?</v>
      </c>
    </row>
    <row r="1927" spans="1:9" x14ac:dyDescent="0.25">
      <c r="A1927" s="2" t="s">
        <v>3190</v>
      </c>
      <c r="B1927" s="2" t="s">
        <v>10</v>
      </c>
      <c r="C1927" s="3">
        <v>43770</v>
      </c>
      <c r="D1927" t="s">
        <v>3191</v>
      </c>
      <c r="E1927" s="2" t="s">
        <v>12</v>
      </c>
      <c r="F1927" s="2" t="s">
        <v>12</v>
      </c>
      <c r="G1927" t="s">
        <v>3156</v>
      </c>
      <c r="H1927" t="str">
        <f t="shared" si="60"/>
        <v>https://videplast.com.br/consulta-imobilizado?id=22003047&amp;nome=10%20CAMISAS%20SPEEDWELL%20POLYCOT%2062G%2080SH%20140X165X1315</v>
      </c>
      <c r="I1927" t="e">
        <f t="shared" ca="1" si="61"/>
        <v>#NAME?</v>
      </c>
    </row>
    <row r="1928" spans="1:9" x14ac:dyDescent="0.25">
      <c r="A1928" s="2" t="s">
        <v>3192</v>
      </c>
      <c r="B1928" s="2" t="s">
        <v>10</v>
      </c>
      <c r="C1928" s="3">
        <v>45499</v>
      </c>
      <c r="D1928" t="s">
        <v>3193</v>
      </c>
      <c r="E1928" s="2" t="s">
        <v>12</v>
      </c>
      <c r="F1928" s="2" t="s">
        <v>3194</v>
      </c>
      <c r="G1928" t="s">
        <v>3156</v>
      </c>
      <c r="H1928" t="str">
        <f t="shared" si="60"/>
        <v>https://videplast.com.br/consulta-imobilizado?id=22004749&amp;nome=CAMISA%20DE%20LAMINACAO%20165X137,06X137,39X1315X14X0,68</v>
      </c>
      <c r="I1928" t="e">
        <f t="shared" ca="1" si="61"/>
        <v>#NAME?</v>
      </c>
    </row>
    <row r="1929" spans="1:9" x14ac:dyDescent="0.25">
      <c r="A1929" s="2" t="s">
        <v>3195</v>
      </c>
      <c r="B1929" s="2" t="s">
        <v>10</v>
      </c>
      <c r="C1929" s="3">
        <v>45513</v>
      </c>
      <c r="D1929" t="s">
        <v>3193</v>
      </c>
      <c r="E1929" s="2" t="s">
        <v>12</v>
      </c>
      <c r="F1929" s="2" t="s">
        <v>3196</v>
      </c>
      <c r="G1929" t="s">
        <v>3156</v>
      </c>
      <c r="H1929" t="str">
        <f t="shared" si="60"/>
        <v>https://videplast.com.br/consulta-imobilizado?id=22004894&amp;nome=CAMISA%20DE%20LAMINACAO%20165X137,06X137,39X1315X14X0,68</v>
      </c>
      <c r="I1929" t="e">
        <f t="shared" ca="1" si="61"/>
        <v>#NAME?</v>
      </c>
    </row>
    <row r="1930" spans="1:9" x14ac:dyDescent="0.25">
      <c r="A1930" s="2" t="s">
        <v>3197</v>
      </c>
      <c r="B1930" s="2" t="s">
        <v>10</v>
      </c>
      <c r="C1930" s="3">
        <v>45516</v>
      </c>
      <c r="D1930" t="s">
        <v>1214</v>
      </c>
      <c r="E1930" s="2" t="s">
        <v>12</v>
      </c>
      <c r="F1930" s="2" t="s">
        <v>12</v>
      </c>
      <c r="G1930" t="s">
        <v>3156</v>
      </c>
      <c r="H1930" t="str">
        <f t="shared" si="60"/>
        <v>https://videplast.com.br/consulta-imobilizado?id=22004899&amp;nome=CAMISA%20LAMIFLEX</v>
      </c>
      <c r="I1930" t="e">
        <f t="shared" ca="1" si="61"/>
        <v>#NAME?</v>
      </c>
    </row>
    <row r="1931" spans="1:9" x14ac:dyDescent="0.25">
      <c r="A1931" s="2" t="s">
        <v>3198</v>
      </c>
      <c r="B1931" s="2" t="s">
        <v>10</v>
      </c>
      <c r="C1931" s="3">
        <v>45516</v>
      </c>
      <c r="D1931" t="s">
        <v>1214</v>
      </c>
      <c r="E1931" s="2" t="s">
        <v>12</v>
      </c>
      <c r="F1931" s="2" t="s">
        <v>12</v>
      </c>
      <c r="G1931" t="s">
        <v>3156</v>
      </c>
      <c r="H1931" t="str">
        <f t="shared" si="60"/>
        <v>https://videplast.com.br/consulta-imobilizado?id=22004900&amp;nome=CAMISA%20LAMIFLEX</v>
      </c>
      <c r="I1931" t="e">
        <f t="shared" ca="1" si="61"/>
        <v>#NAME?</v>
      </c>
    </row>
    <row r="1932" spans="1:9" x14ac:dyDescent="0.25">
      <c r="A1932" s="2" t="s">
        <v>3199</v>
      </c>
      <c r="B1932" s="2" t="s">
        <v>10</v>
      </c>
      <c r="C1932" s="3">
        <v>45516</v>
      </c>
      <c r="D1932" t="s">
        <v>3184</v>
      </c>
      <c r="E1932" s="2" t="s">
        <v>12</v>
      </c>
      <c r="F1932" s="2" t="s">
        <v>12</v>
      </c>
      <c r="G1932" t="s">
        <v>3156</v>
      </c>
      <c r="H1932" t="str">
        <f t="shared" si="60"/>
        <v>https://videplast.com.br/consulta-imobilizado?id=22004902&amp;nome=CAMISA%20LAMIFLEX%20P/%20MAQ.FLEXOTECH%20FINAL%20145%20MM</v>
      </c>
      <c r="I1932" t="e">
        <f t="shared" ca="1" si="61"/>
        <v>#NAME?</v>
      </c>
    </row>
    <row r="1933" spans="1:9" x14ac:dyDescent="0.25">
      <c r="A1933" s="2" t="s">
        <v>3200</v>
      </c>
      <c r="B1933" s="2" t="s">
        <v>10</v>
      </c>
      <c r="C1933" s="3">
        <v>45576</v>
      </c>
      <c r="D1933" t="s">
        <v>3201</v>
      </c>
      <c r="E1933" s="2" t="s">
        <v>12</v>
      </c>
      <c r="F1933" s="2" t="s">
        <v>3202</v>
      </c>
      <c r="G1933" t="s">
        <v>3156</v>
      </c>
      <c r="H1933" t="str">
        <f t="shared" si="60"/>
        <v>https://videplast.com.br/consulta-imobilizado?id=22005136&amp;nome=CAMISA%20DE%20LAMINACAO%20137,062X137,39MM</v>
      </c>
      <c r="I1933" t="e">
        <f t="shared" ca="1" si="61"/>
        <v>#NAME?</v>
      </c>
    </row>
    <row r="1934" spans="1:9" x14ac:dyDescent="0.25">
      <c r="A1934" s="2" t="s">
        <v>3200</v>
      </c>
      <c r="B1934" s="2" t="s">
        <v>26</v>
      </c>
      <c r="C1934" s="3">
        <v>45576</v>
      </c>
      <c r="D1934" t="s">
        <v>3203</v>
      </c>
      <c r="E1934" s="2" t="s">
        <v>12</v>
      </c>
      <c r="F1934" s="2" t="s">
        <v>12</v>
      </c>
      <c r="G1934" t="s">
        <v>3156</v>
      </c>
      <c r="H1934" t="str">
        <f t="shared" si="60"/>
        <v>https://videplast.com.br/consulta-imobilizado?id=22005136&amp;nome=FRETE%20CAMISA%20DE%20LAMINACAO</v>
      </c>
      <c r="I1934" t="e">
        <f t="shared" ca="1" si="61"/>
        <v>#NAME?</v>
      </c>
    </row>
    <row r="1935" spans="1:9" x14ac:dyDescent="0.25">
      <c r="A1935" s="2" t="s">
        <v>3204</v>
      </c>
      <c r="B1935" s="2" t="s">
        <v>10</v>
      </c>
      <c r="C1935" s="3">
        <v>45576</v>
      </c>
      <c r="D1935" t="s">
        <v>3201</v>
      </c>
      <c r="E1935" s="2" t="s">
        <v>12</v>
      </c>
      <c r="F1935" s="2" t="s">
        <v>3205</v>
      </c>
      <c r="G1935" t="s">
        <v>3156</v>
      </c>
      <c r="H1935" t="str">
        <f t="shared" si="60"/>
        <v>https://videplast.com.br/consulta-imobilizado?id=22005137&amp;nome=CAMISA%20DE%20LAMINACAO%20137,062X137,39MM</v>
      </c>
      <c r="I1935" t="e">
        <f t="shared" ca="1" si="61"/>
        <v>#NAME?</v>
      </c>
    </row>
    <row r="1936" spans="1:9" x14ac:dyDescent="0.25">
      <c r="A1936" s="2" t="s">
        <v>3206</v>
      </c>
      <c r="B1936" s="2" t="s">
        <v>10</v>
      </c>
      <c r="C1936" s="3">
        <v>40298</v>
      </c>
      <c r="D1936" t="s">
        <v>3207</v>
      </c>
      <c r="E1936" s="2" t="s">
        <v>12</v>
      </c>
      <c r="F1936" s="2" t="s">
        <v>12</v>
      </c>
      <c r="G1936" t="s">
        <v>3156</v>
      </c>
      <c r="H1936" t="str">
        <f t="shared" si="60"/>
        <v>https://videplast.com.br/consulta-imobilizado?id=30000232&amp;nome=REFRIGERADOR%20CONSUL%20280L</v>
      </c>
      <c r="I1936" t="e">
        <f t="shared" ca="1" si="61"/>
        <v>#NAME?</v>
      </c>
    </row>
    <row r="1937" spans="1:9" x14ac:dyDescent="0.25">
      <c r="A1937" s="2" t="s">
        <v>3208</v>
      </c>
      <c r="B1937" s="2" t="s">
        <v>10</v>
      </c>
      <c r="C1937" s="3">
        <v>42200</v>
      </c>
      <c r="D1937" t="s">
        <v>3118</v>
      </c>
      <c r="E1937" s="2" t="s">
        <v>12</v>
      </c>
      <c r="F1937" s="2" t="s">
        <v>12</v>
      </c>
      <c r="G1937" t="s">
        <v>3156</v>
      </c>
      <c r="H1937" t="str">
        <f t="shared" si="60"/>
        <v>https://videplast.com.br/consulta-imobilizado?id=32000868&amp;nome=MONITOR%2018.5%20LED%20SAMSUMG</v>
      </c>
      <c r="I1937" t="e">
        <f t="shared" ca="1" si="61"/>
        <v>#NAME?</v>
      </c>
    </row>
    <row r="1938" spans="1:9" x14ac:dyDescent="0.25">
      <c r="A1938" s="2" t="s">
        <v>19</v>
      </c>
      <c r="B1938" s="2" t="s">
        <v>26</v>
      </c>
      <c r="C1938" s="3">
        <v>43684</v>
      </c>
      <c r="D1938" t="s">
        <v>3209</v>
      </c>
      <c r="E1938" s="2" t="s">
        <v>12</v>
      </c>
      <c r="F1938" s="2" t="s">
        <v>12</v>
      </c>
      <c r="G1938" t="s">
        <v>3210</v>
      </c>
      <c r="H1938" t="str">
        <f t="shared" si="60"/>
        <v>https://videplast.com.br/consulta-imobilizado?id=11000158&amp;nome=AMPLIAÇÃO%20BARRACÃO%20P/%20APARAS%2011000027</v>
      </c>
      <c r="I1938" t="e">
        <f t="shared" ca="1" si="61"/>
        <v>#NAME?</v>
      </c>
    </row>
    <row r="1939" spans="1:9" x14ac:dyDescent="0.25">
      <c r="A1939" s="2" t="s">
        <v>3211</v>
      </c>
      <c r="B1939" s="2" t="s">
        <v>10</v>
      </c>
      <c r="C1939" s="3">
        <v>41213</v>
      </c>
      <c r="D1939" t="s">
        <v>3212</v>
      </c>
      <c r="E1939" s="2" t="s">
        <v>12</v>
      </c>
      <c r="F1939" s="2" t="s">
        <v>12</v>
      </c>
      <c r="G1939" t="s">
        <v>3210</v>
      </c>
      <c r="H1939" t="str">
        <f t="shared" si="60"/>
        <v>https://videplast.com.br/consulta-imobilizado?id=21000340&amp;nome=CASTANHA%20EXP.%20PNEUMATICA%20CORPO%20ALUMINIO%20FUND.%206</v>
      </c>
      <c r="I1939" t="e">
        <f t="shared" ca="1" si="61"/>
        <v>#NAME?</v>
      </c>
    </row>
    <row r="1940" spans="1:9" x14ac:dyDescent="0.25">
      <c r="A1940" s="2" t="s">
        <v>3211</v>
      </c>
      <c r="B1940" s="2" t="s">
        <v>26</v>
      </c>
      <c r="C1940" s="3">
        <v>41213</v>
      </c>
      <c r="D1940" t="s">
        <v>3213</v>
      </c>
      <c r="E1940" s="2" t="s">
        <v>12</v>
      </c>
      <c r="F1940" s="2" t="s">
        <v>12</v>
      </c>
      <c r="G1940" t="s">
        <v>3210</v>
      </c>
      <c r="H1940" t="str">
        <f t="shared" si="60"/>
        <v>https://videplast.com.br/consulta-imobilizado?id=21000340&amp;nome=CASTANHA%20EXP.%20PNEUMATICA%20CORPO%20EM%20ALUMINIO%20GARRA</v>
      </c>
      <c r="I1940" t="e">
        <f t="shared" ca="1" si="61"/>
        <v>#NAME?</v>
      </c>
    </row>
    <row r="1941" spans="1:9" x14ac:dyDescent="0.25">
      <c r="A1941" s="2" t="s">
        <v>3214</v>
      </c>
      <c r="B1941" s="2" t="s">
        <v>10</v>
      </c>
      <c r="C1941" s="3">
        <v>44187</v>
      </c>
      <c r="D1941" t="s">
        <v>3215</v>
      </c>
      <c r="E1941" s="2" t="s">
        <v>12</v>
      </c>
      <c r="F1941" s="2" t="s">
        <v>12</v>
      </c>
      <c r="G1941" t="s">
        <v>3210</v>
      </c>
      <c r="H1941" t="str">
        <f t="shared" si="60"/>
        <v>https://videplast.com.br/consulta-imobilizado?id=21005679&amp;nome=EQUIPAMENTO%20PARA%20CORTAR%20TUBETES%20MOD%20DRA-P1500</v>
      </c>
      <c r="I1941" t="e">
        <f t="shared" ca="1" si="61"/>
        <v>#NAME?</v>
      </c>
    </row>
    <row r="1942" spans="1:9" x14ac:dyDescent="0.25">
      <c r="A1942" s="2" t="s">
        <v>3216</v>
      </c>
      <c r="B1942" s="2" t="s">
        <v>10</v>
      </c>
      <c r="C1942" s="3">
        <v>44182</v>
      </c>
      <c r="D1942" t="s">
        <v>3217</v>
      </c>
      <c r="E1942" s="2" t="s">
        <v>12</v>
      </c>
      <c r="F1942" s="2" t="s">
        <v>12</v>
      </c>
      <c r="G1942" t="s">
        <v>3210</v>
      </c>
      <c r="H1942" t="str">
        <f t="shared" si="60"/>
        <v>https://videplast.com.br/consulta-imobilizado?id=21005798&amp;nome=220%20MTS%20DE%20CABO%20REI,%2030%20PC%20DE%20TERMINAL,%2010%20BR</v>
      </c>
      <c r="I1942" t="e">
        <f t="shared" ca="1" si="61"/>
        <v>#NAME?</v>
      </c>
    </row>
    <row r="1943" spans="1:9" x14ac:dyDescent="0.25">
      <c r="A1943" s="2" t="s">
        <v>3216</v>
      </c>
      <c r="B1943" s="2" t="s">
        <v>26</v>
      </c>
      <c r="C1943" s="3">
        <v>44182</v>
      </c>
      <c r="D1943" t="s">
        <v>3218</v>
      </c>
      <c r="E1943" s="2" t="s">
        <v>12</v>
      </c>
      <c r="F1943" s="2" t="s">
        <v>12</v>
      </c>
      <c r="G1943" t="s">
        <v>3210</v>
      </c>
      <c r="H1943" t="str">
        <f t="shared" si="60"/>
        <v>https://videplast.com.br/consulta-imobilizado?id=21005798&amp;nome=DETECTOR%20DE%20METAIS%20DB%20100%20DIGITAL%20800X250%20P/O</v>
      </c>
      <c r="I1943" t="e">
        <f t="shared" ca="1" si="61"/>
        <v>#NAME?</v>
      </c>
    </row>
    <row r="1944" spans="1:9" x14ac:dyDescent="0.25">
      <c r="A1944" s="2" t="s">
        <v>3216</v>
      </c>
      <c r="B1944" s="2" t="s">
        <v>21</v>
      </c>
      <c r="C1944" s="3">
        <v>44182</v>
      </c>
      <c r="D1944" t="s">
        <v>3219</v>
      </c>
      <c r="E1944" s="2" t="s">
        <v>12</v>
      </c>
      <c r="F1944" s="2" t="s">
        <v>12</v>
      </c>
      <c r="G1944" t="s">
        <v>3210</v>
      </c>
      <c r="H1944" t="str">
        <f t="shared" si="60"/>
        <v>https://videplast.com.br/consulta-imobilizado?id=21005798&amp;nome=DE%20SERVICO%20EM%20MOTOR%20ELETRICO%20185%20KW%204P%20380V%20P/O</v>
      </c>
      <c r="I1944" t="e">
        <f t="shared" ca="1" si="61"/>
        <v>#NAME?</v>
      </c>
    </row>
    <row r="1945" spans="1:9" x14ac:dyDescent="0.25">
      <c r="A1945" s="2" t="s">
        <v>3220</v>
      </c>
      <c r="B1945" s="2" t="s">
        <v>10</v>
      </c>
      <c r="C1945" s="3">
        <v>44182</v>
      </c>
      <c r="D1945" t="s">
        <v>3221</v>
      </c>
      <c r="E1945" s="2" t="s">
        <v>12</v>
      </c>
      <c r="F1945" s="2" t="s">
        <v>12</v>
      </c>
      <c r="G1945" t="s">
        <v>3210</v>
      </c>
      <c r="H1945" t="str">
        <f t="shared" si="60"/>
        <v>https://videplast.com.br/consulta-imobilizado?id=21005799&amp;nome=CORTADOR%20SERRALHEIRO%20CS100</v>
      </c>
      <c r="I1945" t="e">
        <f t="shared" ca="1" si="61"/>
        <v>#NAME?</v>
      </c>
    </row>
    <row r="1946" spans="1:9" x14ac:dyDescent="0.25">
      <c r="A1946" s="2" t="s">
        <v>3222</v>
      </c>
      <c r="B1946" s="2" t="s">
        <v>10</v>
      </c>
      <c r="C1946" s="3">
        <v>45569</v>
      </c>
      <c r="D1946" t="s">
        <v>3223</v>
      </c>
      <c r="E1946" s="2" t="s">
        <v>12</v>
      </c>
      <c r="F1946" s="2" t="s">
        <v>3224</v>
      </c>
      <c r="G1946" t="s">
        <v>3210</v>
      </c>
      <c r="H1946" t="str">
        <f t="shared" si="60"/>
        <v>https://videplast.com.br/consulta-imobilizado?id=21006825&amp;nome=PALETEIRA%20MANUAL%20CATARINENSE%20PWH25-II%202500KG</v>
      </c>
      <c r="I1946" t="e">
        <f t="shared" ca="1" si="61"/>
        <v>#NAME?</v>
      </c>
    </row>
    <row r="1947" spans="1:9" x14ac:dyDescent="0.25">
      <c r="A1947" s="2" t="s">
        <v>3222</v>
      </c>
      <c r="B1947" s="2" t="s">
        <v>26</v>
      </c>
      <c r="C1947" s="3">
        <v>45569</v>
      </c>
      <c r="D1947" t="s">
        <v>3225</v>
      </c>
      <c r="E1947" s="2" t="s">
        <v>12</v>
      </c>
      <c r="F1947" s="2" t="s">
        <v>12</v>
      </c>
      <c r="G1947" t="s">
        <v>3210</v>
      </c>
      <c r="H1947" t="str">
        <f t="shared" si="60"/>
        <v>https://videplast.com.br/consulta-imobilizado?id=21006825&amp;nome=FRETE%20PALETEIRA%20MANUAL%20CATARINENSE</v>
      </c>
      <c r="I1947" t="e">
        <f t="shared" ca="1" si="61"/>
        <v>#NAME?</v>
      </c>
    </row>
    <row r="1948" spans="1:9" x14ac:dyDescent="0.25">
      <c r="A1948" s="2" t="s">
        <v>3226</v>
      </c>
      <c r="B1948" s="2" t="s">
        <v>10</v>
      </c>
      <c r="C1948" s="3">
        <v>43159</v>
      </c>
      <c r="D1948" t="s">
        <v>3227</v>
      </c>
      <c r="E1948" s="2" t="s">
        <v>12</v>
      </c>
      <c r="F1948" s="2" t="s">
        <v>12</v>
      </c>
      <c r="G1948" t="s">
        <v>3210</v>
      </c>
      <c r="H1948" t="str">
        <f t="shared" si="60"/>
        <v>https://videplast.com.br/consulta-imobilizado?id=30001673&amp;nome=VENTILADOR%20DE%20PAREDE%20VENEZA%20PLUS%2070CM%20SOLASTER</v>
      </c>
      <c r="I1948" t="e">
        <f t="shared" ca="1" si="61"/>
        <v>#NAME?</v>
      </c>
    </row>
    <row r="1949" spans="1:9" x14ac:dyDescent="0.25">
      <c r="A1949" s="2" t="s">
        <v>3228</v>
      </c>
      <c r="B1949" s="2" t="s">
        <v>10</v>
      </c>
      <c r="C1949" s="3">
        <v>44950</v>
      </c>
      <c r="D1949" t="s">
        <v>3229</v>
      </c>
      <c r="E1949" s="2" t="s">
        <v>12</v>
      </c>
      <c r="F1949" s="2" t="s">
        <v>12</v>
      </c>
      <c r="G1949" t="s">
        <v>3210</v>
      </c>
      <c r="H1949" t="str">
        <f t="shared" si="60"/>
        <v>https://videplast.com.br/consulta-imobilizado?id=30003784&amp;nome=ROCADEIRA%20GAS.%2051,6CC%20TOYAMA%20TBC52X%20GII</v>
      </c>
      <c r="I1949" t="e">
        <f t="shared" ca="1" si="61"/>
        <v>#NAME?</v>
      </c>
    </row>
    <row r="1950" spans="1:9" x14ac:dyDescent="0.25">
      <c r="A1950" s="2" t="s">
        <v>3230</v>
      </c>
      <c r="B1950" s="2" t="s">
        <v>10</v>
      </c>
      <c r="C1950" s="3">
        <v>45057</v>
      </c>
      <c r="D1950" t="s">
        <v>3231</v>
      </c>
      <c r="E1950" s="2" t="s">
        <v>12</v>
      </c>
      <c r="F1950" s="2" t="s">
        <v>3232</v>
      </c>
      <c r="G1950" t="s">
        <v>3210</v>
      </c>
      <c r="H1950" t="str">
        <f t="shared" si="60"/>
        <v>https://videplast.com.br/consulta-imobilizado?id=31000267&amp;nome=TRANSPALETEIRA%20ELETRICA%20STILL%20NACIONAL%20EGU%2020%20C</v>
      </c>
      <c r="I1950" t="e">
        <f t="shared" ca="1" si="61"/>
        <v>#NAME?</v>
      </c>
    </row>
    <row r="1951" spans="1:9" x14ac:dyDescent="0.25">
      <c r="A1951" s="2" t="s">
        <v>3233</v>
      </c>
      <c r="B1951" s="2" t="s">
        <v>10</v>
      </c>
      <c r="C1951" s="3">
        <v>45040</v>
      </c>
      <c r="D1951" t="s">
        <v>2348</v>
      </c>
      <c r="E1951" s="2" t="s">
        <v>12</v>
      </c>
      <c r="F1951" s="2" t="s">
        <v>3234</v>
      </c>
      <c r="G1951" t="s">
        <v>3210</v>
      </c>
      <c r="H1951" t="str">
        <f t="shared" si="60"/>
        <v>https://videplast.com.br/consulta-imobilizado?id=32002634&amp;nome=NOBREAK%20APC%20SRV%201KVA%20S/%20EXPANSAO%20SRV1KRI%20230V</v>
      </c>
      <c r="I1951" t="e">
        <f t="shared" ca="1" si="61"/>
        <v>#NAME?</v>
      </c>
    </row>
    <row r="1952" spans="1:9" x14ac:dyDescent="0.25">
      <c r="A1952" s="2" t="s">
        <v>3235</v>
      </c>
      <c r="B1952" s="2" t="s">
        <v>10</v>
      </c>
      <c r="C1952" s="3">
        <v>40816</v>
      </c>
      <c r="D1952" t="s">
        <v>3236</v>
      </c>
      <c r="E1952" s="2" t="s">
        <v>12</v>
      </c>
      <c r="F1952" s="2" t="s">
        <v>12</v>
      </c>
      <c r="G1952" t="s">
        <v>3237</v>
      </c>
      <c r="H1952" t="str">
        <f t="shared" si="60"/>
        <v>https://videplast.com.br/consulta-imobilizado?id=11000105&amp;nome=SERVIÇO%20MÃO%20DE%20OBRA%20P/%20AMPLIAÇÃO%20PISO%20MAQ.%20AMONIA</v>
      </c>
      <c r="I1952" t="e">
        <f t="shared" ca="1" si="61"/>
        <v>#NAME?</v>
      </c>
    </row>
    <row r="1953" spans="1:9" x14ac:dyDescent="0.25">
      <c r="A1953" s="2" t="s">
        <v>3238</v>
      </c>
      <c r="B1953" s="2" t="s">
        <v>10</v>
      </c>
      <c r="C1953" s="3">
        <v>41364</v>
      </c>
      <c r="D1953" t="s">
        <v>3239</v>
      </c>
      <c r="E1953" s="2" t="s">
        <v>3240</v>
      </c>
      <c r="F1953" s="2" t="s">
        <v>3241</v>
      </c>
      <c r="G1953" t="s">
        <v>3237</v>
      </c>
      <c r="H1953" t="str">
        <f t="shared" si="60"/>
        <v>https://videplast.com.br/consulta-imobilizado?id=21000352&amp;nome=COMPRESSOR%20AR%20ESTAC.%20ATLAS%20COPCO%20GA90%20VSD%20FF%20125CV</v>
      </c>
      <c r="I1953" t="e">
        <f t="shared" ca="1" si="61"/>
        <v>#NAME?</v>
      </c>
    </row>
    <row r="1954" spans="1:9" x14ac:dyDescent="0.25">
      <c r="A1954" s="2" t="s">
        <v>3242</v>
      </c>
      <c r="B1954" s="2" t="s">
        <v>10</v>
      </c>
      <c r="C1954" s="3">
        <v>41759</v>
      </c>
      <c r="D1954" t="s">
        <v>3243</v>
      </c>
      <c r="E1954" s="2" t="s">
        <v>12</v>
      </c>
      <c r="F1954" s="2" t="s">
        <v>12</v>
      </c>
      <c r="G1954" t="s">
        <v>3237</v>
      </c>
      <c r="H1954" t="str">
        <f t="shared" si="60"/>
        <v>https://videplast.com.br/consulta-imobilizado?id=21000374&amp;nome=BOMBA%20BC-23R%202%20TRIFASICO%2015CV%2060HZ</v>
      </c>
      <c r="I1954" t="e">
        <f t="shared" ca="1" si="61"/>
        <v>#NAME?</v>
      </c>
    </row>
    <row r="1955" spans="1:9" x14ac:dyDescent="0.25">
      <c r="A1955" s="2" t="s">
        <v>3242</v>
      </c>
      <c r="B1955" s="2" t="s">
        <v>26</v>
      </c>
      <c r="C1955" s="3">
        <v>41759</v>
      </c>
      <c r="D1955" t="s">
        <v>3243</v>
      </c>
      <c r="E1955" s="2" t="s">
        <v>12</v>
      </c>
      <c r="F1955" s="2" t="s">
        <v>12</v>
      </c>
      <c r="G1955" t="s">
        <v>3237</v>
      </c>
      <c r="H1955" t="str">
        <f t="shared" si="60"/>
        <v>https://videplast.com.br/consulta-imobilizado?id=21000374&amp;nome=BOMBA%20BC-23R%202%20TRIFASICO%2015CV%2060HZ</v>
      </c>
      <c r="I1955" t="e">
        <f t="shared" ca="1" si="61"/>
        <v>#NAME?</v>
      </c>
    </row>
    <row r="1956" spans="1:9" x14ac:dyDescent="0.25">
      <c r="A1956" s="2" t="s">
        <v>3244</v>
      </c>
      <c r="B1956" s="2" t="s">
        <v>10</v>
      </c>
      <c r="C1956" s="3">
        <v>39210</v>
      </c>
      <c r="D1956" t="s">
        <v>3245</v>
      </c>
      <c r="E1956" s="2" t="s">
        <v>12</v>
      </c>
      <c r="F1956" s="2" t="s">
        <v>12</v>
      </c>
      <c r="G1956" t="s">
        <v>3237</v>
      </c>
      <c r="H1956" t="str">
        <f t="shared" si="60"/>
        <v>https://videplast.com.br/consulta-imobilizado?id=21000475&amp;nome=DE%2060%20MT%20DE%20CABOS%20MULTIF%200,6/1KV%20%20PP%204%20X%202,5%20MM</v>
      </c>
      <c r="I1956" t="e">
        <f t="shared" ca="1" si="61"/>
        <v>#NAME?</v>
      </c>
    </row>
    <row r="1957" spans="1:9" x14ac:dyDescent="0.25">
      <c r="A1957" s="2" t="s">
        <v>3244</v>
      </c>
      <c r="B1957" s="2" t="s">
        <v>26</v>
      </c>
      <c r="C1957" s="3">
        <v>39210</v>
      </c>
      <c r="D1957" t="s">
        <v>3246</v>
      </c>
      <c r="E1957" s="2" t="s">
        <v>12</v>
      </c>
      <c r="F1957" s="2" t="s">
        <v>12</v>
      </c>
      <c r="G1957" t="s">
        <v>3237</v>
      </c>
      <c r="H1957" t="str">
        <f t="shared" si="60"/>
        <v>https://videplast.com.br/consulta-imobilizado?id=21000475&amp;nome=DE%20150%20MT%20DE%20CABOS%20MULTIF%200,6/1KV%204X16MM</v>
      </c>
      <c r="I1957" t="e">
        <f t="shared" ca="1" si="61"/>
        <v>#NAME?</v>
      </c>
    </row>
    <row r="1958" spans="1:9" x14ac:dyDescent="0.25">
      <c r="A1958" s="2" t="s">
        <v>3247</v>
      </c>
      <c r="B1958" s="2" t="s">
        <v>10</v>
      </c>
      <c r="C1958" s="3">
        <v>40085</v>
      </c>
      <c r="D1958" t="s">
        <v>3248</v>
      </c>
      <c r="E1958" s="2" t="s">
        <v>12</v>
      </c>
      <c r="F1958" s="2" t="s">
        <v>12</v>
      </c>
      <c r="G1958" t="s">
        <v>3237</v>
      </c>
      <c r="H1958" t="str">
        <f t="shared" si="60"/>
        <v>https://videplast.com.br/consulta-imobilizado?id=21000606&amp;nome=SECADOR%20DE%20AR%20POR%20REFRIGERACAO%20ATLAS%20COPCO</v>
      </c>
      <c r="I1958" t="e">
        <f t="shared" ca="1" si="61"/>
        <v>#NAME?</v>
      </c>
    </row>
    <row r="1959" spans="1:9" x14ac:dyDescent="0.25">
      <c r="A1959" s="2" t="s">
        <v>3247</v>
      </c>
      <c r="B1959" s="2" t="s">
        <v>21</v>
      </c>
      <c r="C1959" s="3">
        <v>40137</v>
      </c>
      <c r="D1959" t="s">
        <v>3249</v>
      </c>
      <c r="E1959" s="2" t="s">
        <v>12</v>
      </c>
      <c r="F1959" s="2" t="s">
        <v>12</v>
      </c>
      <c r="G1959" t="s">
        <v>3237</v>
      </c>
      <c r="H1959" t="str">
        <f t="shared" si="60"/>
        <v>https://videplast.com.br/consulta-imobilizado?id=21000606&amp;nome=FRETE%20TRANSPORTE%20COMPRESSOR%20PARAFUSO</v>
      </c>
      <c r="I1959" t="e">
        <f t="shared" ca="1" si="61"/>
        <v>#NAME?</v>
      </c>
    </row>
    <row r="1960" spans="1:9" x14ac:dyDescent="0.25">
      <c r="A1960" s="2" t="s">
        <v>3247</v>
      </c>
      <c r="B1960" s="2" t="s">
        <v>29</v>
      </c>
      <c r="C1960" s="3">
        <v>40137</v>
      </c>
      <c r="D1960" t="s">
        <v>3250</v>
      </c>
      <c r="E1960" s="2" t="s">
        <v>12</v>
      </c>
      <c r="F1960" s="2" t="s">
        <v>12</v>
      </c>
      <c r="G1960" t="s">
        <v>3237</v>
      </c>
      <c r="H1960" t="str">
        <f t="shared" si="60"/>
        <v>https://videplast.com.br/consulta-imobilizado?id=21000606&amp;nome=PARAFUSOS,%20TUBO%20E%20254%20KG%20DE%20PERFIL</v>
      </c>
      <c r="I1960" t="e">
        <f t="shared" ca="1" si="61"/>
        <v>#NAME?</v>
      </c>
    </row>
    <row r="1961" spans="1:9" x14ac:dyDescent="0.25">
      <c r="A1961" s="2" t="s">
        <v>3247</v>
      </c>
      <c r="B1961" s="2" t="s">
        <v>31</v>
      </c>
      <c r="C1961" s="3">
        <v>40137</v>
      </c>
      <c r="D1961" t="s">
        <v>3251</v>
      </c>
      <c r="E1961" s="2" t="s">
        <v>12</v>
      </c>
      <c r="F1961" s="2" t="s">
        <v>12</v>
      </c>
      <c r="G1961" t="s">
        <v>3237</v>
      </c>
      <c r="H1961" t="str">
        <f t="shared" si="60"/>
        <v>https://videplast.com.br/consulta-imobilizado?id=21000606&amp;nome=FRETE%20TRANSPORTE%20DE%20TELHA</v>
      </c>
      <c r="I1961" t="e">
        <f t="shared" ca="1" si="61"/>
        <v>#NAME?</v>
      </c>
    </row>
    <row r="1962" spans="1:9" x14ac:dyDescent="0.25">
      <c r="A1962" s="2" t="s">
        <v>3247</v>
      </c>
      <c r="B1962" s="2" t="s">
        <v>33</v>
      </c>
      <c r="C1962" s="3">
        <v>40137</v>
      </c>
      <c r="D1962" t="s">
        <v>3252</v>
      </c>
      <c r="E1962" s="2" t="s">
        <v>12</v>
      </c>
      <c r="F1962" s="2" t="s">
        <v>12</v>
      </c>
      <c r="G1962" t="s">
        <v>3237</v>
      </c>
      <c r="H1962" t="str">
        <f t="shared" si="60"/>
        <v>https://videplast.com.br/consulta-imobilizado?id=21000606&amp;nome=TELHA%20P/%20O%20SETOR%20DE%20COMPRESSOR</v>
      </c>
      <c r="I1962" t="e">
        <f t="shared" ca="1" si="61"/>
        <v>#NAME?</v>
      </c>
    </row>
    <row r="1963" spans="1:9" x14ac:dyDescent="0.25">
      <c r="A1963" s="2" t="s">
        <v>3247</v>
      </c>
      <c r="B1963" s="2" t="s">
        <v>35</v>
      </c>
      <c r="C1963" s="3">
        <v>40128</v>
      </c>
      <c r="D1963" t="s">
        <v>3253</v>
      </c>
      <c r="E1963" s="2" t="s">
        <v>12</v>
      </c>
      <c r="F1963" s="2" t="s">
        <v>12</v>
      </c>
      <c r="G1963" t="s">
        <v>3237</v>
      </c>
      <c r="H1963" t="str">
        <f t="shared" si="60"/>
        <v>https://videplast.com.br/consulta-imobilizado?id=21000606&amp;nome=NIPEL,%20LUVAS%20E%20BUCHAS</v>
      </c>
      <c r="I1963" t="e">
        <f t="shared" ca="1" si="61"/>
        <v>#NAME?</v>
      </c>
    </row>
    <row r="1964" spans="1:9" x14ac:dyDescent="0.25">
      <c r="A1964" s="2" t="s">
        <v>3247</v>
      </c>
      <c r="B1964" s="2" t="s">
        <v>37</v>
      </c>
      <c r="C1964" s="3">
        <v>40128</v>
      </c>
      <c r="D1964" t="s">
        <v>3254</v>
      </c>
      <c r="E1964" s="2" t="s">
        <v>12</v>
      </c>
      <c r="F1964" s="2" t="s">
        <v>12</v>
      </c>
      <c r="G1964" t="s">
        <v>3237</v>
      </c>
      <c r="H1964" t="str">
        <f t="shared" si="60"/>
        <v>https://videplast.com.br/consulta-imobilizado?id=21000606&amp;nome=CABO%20E%20DISJUNTOR</v>
      </c>
      <c r="I1964" t="e">
        <f t="shared" ca="1" si="61"/>
        <v>#NAME?</v>
      </c>
    </row>
    <row r="1965" spans="1:9" x14ac:dyDescent="0.25">
      <c r="A1965" s="2" t="s">
        <v>3247</v>
      </c>
      <c r="B1965" s="2" t="s">
        <v>39</v>
      </c>
      <c r="C1965" s="3">
        <v>40128</v>
      </c>
      <c r="D1965" t="s">
        <v>3255</v>
      </c>
      <c r="E1965" s="2" t="s">
        <v>12</v>
      </c>
      <c r="F1965" s="2" t="s">
        <v>12</v>
      </c>
      <c r="G1965" t="s">
        <v>3237</v>
      </c>
      <c r="H1965" t="str">
        <f t="shared" si="60"/>
        <v>https://videplast.com.br/consulta-imobilizado?id=21000606&amp;nome=DISJUNTOR%20TRIPOLAR%20P/O%20SETOR%20DE%20COMPRESSOR</v>
      </c>
      <c r="I1965" t="e">
        <f t="shared" ca="1" si="61"/>
        <v>#NAME?</v>
      </c>
    </row>
    <row r="1966" spans="1:9" x14ac:dyDescent="0.25">
      <c r="A1966" s="2" t="s">
        <v>3247</v>
      </c>
      <c r="B1966" s="2" t="s">
        <v>126</v>
      </c>
      <c r="C1966" s="3">
        <v>40128</v>
      </c>
      <c r="D1966" t="s">
        <v>3256</v>
      </c>
      <c r="E1966" s="2" t="s">
        <v>12</v>
      </c>
      <c r="F1966" s="2" t="s">
        <v>12</v>
      </c>
      <c r="G1966" t="s">
        <v>3237</v>
      </c>
      <c r="H1966" t="str">
        <f t="shared" si="60"/>
        <v>https://videplast.com.br/consulta-imobilizado?id=21000606&amp;nome=TUBO%20DE%20ACO%20CARBONO%20E%20UNIAO%20GALVANIZADA</v>
      </c>
      <c r="I1966" t="e">
        <f t="shared" ca="1" si="61"/>
        <v>#NAME?</v>
      </c>
    </row>
    <row r="1967" spans="1:9" x14ac:dyDescent="0.25">
      <c r="A1967" s="2" t="s">
        <v>3247</v>
      </c>
      <c r="B1967" s="2" t="s">
        <v>127</v>
      </c>
      <c r="C1967" s="3">
        <v>40128</v>
      </c>
      <c r="D1967" t="s">
        <v>3257</v>
      </c>
      <c r="E1967" s="2" t="s">
        <v>12</v>
      </c>
      <c r="F1967" s="2" t="s">
        <v>12</v>
      </c>
      <c r="G1967" t="s">
        <v>3237</v>
      </c>
      <c r="H1967" t="str">
        <f t="shared" si="60"/>
        <v>https://videplast.com.br/consulta-imobilizado?id=21000606&amp;nome=FRETE%20P/TRANSPORTE%20DE%20TERMINAL</v>
      </c>
      <c r="I1967" t="e">
        <f t="shared" ca="1" si="61"/>
        <v>#NAME?</v>
      </c>
    </row>
    <row r="1968" spans="1:9" x14ac:dyDescent="0.25">
      <c r="A1968" s="2" t="s">
        <v>3247</v>
      </c>
      <c r="B1968" s="2" t="s">
        <v>128</v>
      </c>
      <c r="C1968" s="3">
        <v>40128</v>
      </c>
      <c r="D1968" t="s">
        <v>3258</v>
      </c>
      <c r="E1968" s="2" t="s">
        <v>12</v>
      </c>
      <c r="F1968" s="2" t="s">
        <v>12</v>
      </c>
      <c r="G1968" t="s">
        <v>3237</v>
      </c>
      <c r="H1968" t="str">
        <f t="shared" si="60"/>
        <v>https://videplast.com.br/consulta-imobilizado?id=21000606&amp;nome=TERMINAIS%20TUBULARES%20E%20180M%20DE%20CABO</v>
      </c>
      <c r="I1968" t="e">
        <f t="shared" ca="1" si="61"/>
        <v>#NAME?</v>
      </c>
    </row>
    <row r="1969" spans="1:9" x14ac:dyDescent="0.25">
      <c r="A1969" s="2" t="s">
        <v>3247</v>
      </c>
      <c r="B1969" s="2" t="s">
        <v>623</v>
      </c>
      <c r="C1969" s="3">
        <v>40543</v>
      </c>
      <c r="D1969" t="s">
        <v>3259</v>
      </c>
      <c r="E1969" s="2" t="s">
        <v>12</v>
      </c>
      <c r="F1969" s="2" t="s">
        <v>12</v>
      </c>
      <c r="G1969" t="s">
        <v>3237</v>
      </c>
      <c r="H1969" t="str">
        <f t="shared" si="60"/>
        <v>https://videplast.com.br/consulta-imobilizado?id=21000606&amp;nome=KIT%20FILTRO%20DE%20AR,%20SEPARADOR%20DE%20AR%20E%20OUTROS</v>
      </c>
      <c r="I1969" t="e">
        <f t="shared" ca="1" si="61"/>
        <v>#NAME?</v>
      </c>
    </row>
    <row r="1970" spans="1:9" x14ac:dyDescent="0.25">
      <c r="A1970" s="2" t="s">
        <v>3260</v>
      </c>
      <c r="B1970" s="2" t="s">
        <v>10</v>
      </c>
      <c r="C1970" s="3">
        <v>40298</v>
      </c>
      <c r="D1970" t="s">
        <v>3261</v>
      </c>
      <c r="E1970" s="2" t="s">
        <v>12</v>
      </c>
      <c r="F1970" s="2" t="s">
        <v>12</v>
      </c>
      <c r="G1970" t="s">
        <v>3237</v>
      </c>
      <c r="H1970" t="str">
        <f t="shared" si="60"/>
        <v>https://videplast.com.br/consulta-imobilizado?id=21000617&amp;nome=BALANCA%20ELETRONICA%20TOLEDO%20PRIX-III%2030KGS%20S/RS</v>
      </c>
      <c r="I1970" t="e">
        <f t="shared" ca="1" si="61"/>
        <v>#NAME?</v>
      </c>
    </row>
    <row r="1971" spans="1:9" x14ac:dyDescent="0.25">
      <c r="A1971" s="2" t="s">
        <v>3262</v>
      </c>
      <c r="B1971" s="2" t="s">
        <v>10</v>
      </c>
      <c r="C1971" s="3">
        <v>42268</v>
      </c>
      <c r="D1971" t="s">
        <v>3263</v>
      </c>
      <c r="E1971" s="2" t="s">
        <v>12</v>
      </c>
      <c r="F1971" s="2" t="s">
        <v>12</v>
      </c>
      <c r="G1971" t="s">
        <v>3237</v>
      </c>
      <c r="H1971" t="str">
        <f t="shared" si="60"/>
        <v>https://videplast.com.br/consulta-imobilizado?id=21002551&amp;nome=SECADOR%20AR%20COMPRIMIDO%20FX16%20380V%203PH60%20ATLAS%20COPCO</v>
      </c>
      <c r="I1971" t="e">
        <f t="shared" ca="1" si="61"/>
        <v>#NAME?</v>
      </c>
    </row>
    <row r="1972" spans="1:9" x14ac:dyDescent="0.25">
      <c r="A1972" s="2" t="s">
        <v>3264</v>
      </c>
      <c r="B1972" s="2" t="s">
        <v>10</v>
      </c>
      <c r="C1972" s="3">
        <v>43374</v>
      </c>
      <c r="D1972" t="s">
        <v>3265</v>
      </c>
      <c r="E1972" s="2" t="s">
        <v>12</v>
      </c>
      <c r="F1972" s="2" t="s">
        <v>12</v>
      </c>
      <c r="G1972" t="s">
        <v>3237</v>
      </c>
      <c r="H1972" t="str">
        <f t="shared" si="60"/>
        <v>https://videplast.com.br/consulta-imobilizado?id=21004088&amp;nome=CENTRAL%20BOMB%20SKID%204X4POL%20MOTOR%2012,5CV</v>
      </c>
      <c r="I1972" t="e">
        <f t="shared" ca="1" si="61"/>
        <v>#NAME?</v>
      </c>
    </row>
    <row r="1973" spans="1:9" x14ac:dyDescent="0.25">
      <c r="A1973" s="2" t="s">
        <v>3266</v>
      </c>
      <c r="B1973" s="2" t="s">
        <v>10</v>
      </c>
      <c r="C1973" s="3">
        <v>43374</v>
      </c>
      <c r="D1973" t="s">
        <v>3267</v>
      </c>
      <c r="E1973" s="2" t="s">
        <v>12</v>
      </c>
      <c r="F1973" s="2" t="s">
        <v>12</v>
      </c>
      <c r="G1973" t="s">
        <v>3237</v>
      </c>
      <c r="H1973" t="str">
        <f t="shared" si="60"/>
        <v>https://videplast.com.br/consulta-imobilizado?id=21004089&amp;nome=CENTRAL%20BOMB%20SKID%204X4POL%20MOTOR%2015CV</v>
      </c>
      <c r="I1973" t="e">
        <f t="shared" ca="1" si="61"/>
        <v>#NAME?</v>
      </c>
    </row>
    <row r="1974" spans="1:9" x14ac:dyDescent="0.25">
      <c r="A1974" s="2" t="s">
        <v>3268</v>
      </c>
      <c r="B1974" s="2" t="s">
        <v>10</v>
      </c>
      <c r="C1974" s="3">
        <v>45449</v>
      </c>
      <c r="D1974" t="s">
        <v>3269</v>
      </c>
      <c r="E1974" s="2" t="s">
        <v>3270</v>
      </c>
      <c r="F1974" s="2" t="s">
        <v>3271</v>
      </c>
      <c r="G1974" t="s">
        <v>3237</v>
      </c>
      <c r="H1974" t="str">
        <f t="shared" si="60"/>
        <v>https://videplast.com.br/consulta-imobilizado?id=21006448&amp;nome=COMPRESSOR%20DE%20AR%20GA90VSD%20AFF%20ATLAS%20COPCO%20MKVG</v>
      </c>
      <c r="I1974" t="e">
        <f t="shared" ca="1" si="61"/>
        <v>#NAME?</v>
      </c>
    </row>
    <row r="1975" spans="1:9" x14ac:dyDescent="0.25">
      <c r="A1975" s="2" t="s">
        <v>3268</v>
      </c>
      <c r="B1975" s="2" t="s">
        <v>26</v>
      </c>
      <c r="C1975" s="3">
        <v>45617</v>
      </c>
      <c r="D1975" t="s">
        <v>3272</v>
      </c>
      <c r="E1975" s="2" t="s">
        <v>12</v>
      </c>
      <c r="F1975" s="2" t="s">
        <v>12</v>
      </c>
      <c r="G1975" t="s">
        <v>3237</v>
      </c>
      <c r="H1975" t="str">
        <f t="shared" si="60"/>
        <v>https://videplast.com.br/consulta-imobilizado?id=21006448&amp;nome=ADEQUACAO%20E%20INSTALACAO%20COMPRESSOR%20AR</v>
      </c>
      <c r="I1975" t="e">
        <f t="shared" ca="1" si="61"/>
        <v>#NAME?</v>
      </c>
    </row>
    <row r="1976" spans="1:9" x14ac:dyDescent="0.25">
      <c r="A1976" s="2" t="s">
        <v>3273</v>
      </c>
      <c r="B1976" s="2" t="s">
        <v>10</v>
      </c>
      <c r="C1976" s="3">
        <v>45523</v>
      </c>
      <c r="D1976" t="s">
        <v>3274</v>
      </c>
      <c r="E1976" s="2" t="s">
        <v>12</v>
      </c>
      <c r="F1976" s="2" t="s">
        <v>3275</v>
      </c>
      <c r="G1976" t="s">
        <v>3237</v>
      </c>
      <c r="H1976" t="str">
        <f t="shared" si="60"/>
        <v>https://videplast.com.br/consulta-imobilizado?id=21006522&amp;nome=TORRE%20DE%20RESFRIAMENTO%20HD%202507%20GRT%20I%2050M3/H</v>
      </c>
      <c r="I1976" t="e">
        <f t="shared" ca="1" si="61"/>
        <v>#NAME?</v>
      </c>
    </row>
    <row r="1977" spans="1:9" x14ac:dyDescent="0.25">
      <c r="A1977" s="2" t="s">
        <v>3273</v>
      </c>
      <c r="B1977" s="2" t="s">
        <v>26</v>
      </c>
      <c r="C1977" s="3">
        <v>45523</v>
      </c>
      <c r="D1977" t="s">
        <v>3276</v>
      </c>
      <c r="E1977" s="2" t="s">
        <v>12</v>
      </c>
      <c r="F1977" s="2" t="s">
        <v>12</v>
      </c>
      <c r="G1977" t="s">
        <v>3237</v>
      </c>
      <c r="H1977" t="str">
        <f t="shared" si="60"/>
        <v>https://videplast.com.br/consulta-imobilizado?id=21006522&amp;nome=FRETE%20TORRE%20DE%20RESFRIAMENTO</v>
      </c>
      <c r="I1977" t="e">
        <f t="shared" ca="1" si="61"/>
        <v>#NAME?</v>
      </c>
    </row>
    <row r="1978" spans="1:9" x14ac:dyDescent="0.25">
      <c r="A1978" s="2" t="s">
        <v>3277</v>
      </c>
      <c r="B1978" s="2" t="s">
        <v>10</v>
      </c>
      <c r="C1978" s="3">
        <v>41029</v>
      </c>
      <c r="D1978" t="s">
        <v>3278</v>
      </c>
      <c r="E1978" s="2" t="s">
        <v>12</v>
      </c>
      <c r="F1978" s="2" t="s">
        <v>12</v>
      </c>
      <c r="G1978" t="s">
        <v>3279</v>
      </c>
      <c r="H1978" t="str">
        <f t="shared" si="60"/>
        <v>https://videplast.com.br/consulta-imobilizado?id=21000322&amp;nome=FURADEIRA%20IND%20(1/2)%20IMPAC%20GSB%2016</v>
      </c>
      <c r="I1978" t="e">
        <f t="shared" ca="1" si="61"/>
        <v>#NAME?</v>
      </c>
    </row>
    <row r="1979" spans="1:9" x14ac:dyDescent="0.25">
      <c r="A1979" s="2" t="s">
        <v>3280</v>
      </c>
      <c r="B1979" s="2" t="s">
        <v>10</v>
      </c>
      <c r="C1979" s="3">
        <v>41121</v>
      </c>
      <c r="D1979" t="s">
        <v>3281</v>
      </c>
      <c r="E1979" s="2" t="s">
        <v>12</v>
      </c>
      <c r="F1979" s="2" t="s">
        <v>12</v>
      </c>
      <c r="G1979" t="s">
        <v>3279</v>
      </c>
      <c r="H1979" t="str">
        <f t="shared" si="60"/>
        <v>https://videplast.com.br/consulta-imobilizado?id=21000329&amp;nome=MAC%201020%2016CR%20BOMBA%20PROPULSORA%20P%20BALDE%2020%20KG</v>
      </c>
      <c r="I1979" t="e">
        <f t="shared" ca="1" si="61"/>
        <v>#NAME?</v>
      </c>
    </row>
    <row r="1980" spans="1:9" x14ac:dyDescent="0.25">
      <c r="A1980" s="2" t="s">
        <v>3282</v>
      </c>
      <c r="B1980" s="2" t="s">
        <v>10</v>
      </c>
      <c r="C1980" s="3">
        <v>41547</v>
      </c>
      <c r="D1980" t="s">
        <v>3283</v>
      </c>
      <c r="E1980" s="2" t="s">
        <v>3284</v>
      </c>
      <c r="F1980" s="2" t="s">
        <v>12</v>
      </c>
      <c r="G1980" t="s">
        <v>3279</v>
      </c>
      <c r="H1980" t="str">
        <f t="shared" si="60"/>
        <v>https://videplast.com.br/consulta-imobilizado?id=21000358&amp;nome=COMPARADOR%20DIAM.%20INT%2050-150</v>
      </c>
      <c r="I1980" t="e">
        <f t="shared" ca="1" si="61"/>
        <v>#NAME?</v>
      </c>
    </row>
    <row r="1981" spans="1:9" x14ac:dyDescent="0.25">
      <c r="A1981" s="2" t="s">
        <v>3282</v>
      </c>
      <c r="B1981" s="2" t="s">
        <v>26</v>
      </c>
      <c r="C1981" s="3">
        <v>41547</v>
      </c>
      <c r="D1981" t="s">
        <v>3285</v>
      </c>
      <c r="E1981" s="2" t="s">
        <v>3286</v>
      </c>
      <c r="F1981" s="2" t="s">
        <v>12</v>
      </c>
      <c r="G1981" t="s">
        <v>3279</v>
      </c>
      <c r="H1981" t="str">
        <f t="shared" si="60"/>
        <v>https://videplast.com.br/consulta-imobilizado?id=21000358&amp;nome=PAQUIMETRO%20300MM%2012"%200,02</v>
      </c>
      <c r="I1981" t="e">
        <f t="shared" ca="1" si="61"/>
        <v>#NAME?</v>
      </c>
    </row>
    <row r="1982" spans="1:9" x14ac:dyDescent="0.25">
      <c r="A1982" s="2" t="s">
        <v>3282</v>
      </c>
      <c r="B1982" s="2" t="s">
        <v>21</v>
      </c>
      <c r="C1982" s="3">
        <v>41547</v>
      </c>
      <c r="D1982" t="s">
        <v>3285</v>
      </c>
      <c r="E1982" s="2" t="s">
        <v>3287</v>
      </c>
      <c r="F1982" s="2" t="s">
        <v>12</v>
      </c>
      <c r="G1982" t="s">
        <v>3279</v>
      </c>
      <c r="H1982" t="str">
        <f t="shared" si="60"/>
        <v>https://videplast.com.br/consulta-imobilizado?id=21000358&amp;nome=PAQUIMETRO%20300MM%2012"%200,02</v>
      </c>
      <c r="I1982" t="e">
        <f t="shared" ca="1" si="61"/>
        <v>#NAME?</v>
      </c>
    </row>
    <row r="1983" spans="1:9" x14ac:dyDescent="0.25">
      <c r="A1983" s="2" t="s">
        <v>3288</v>
      </c>
      <c r="B1983" s="2" t="s">
        <v>10</v>
      </c>
      <c r="C1983" s="3">
        <v>41729</v>
      </c>
      <c r="D1983" t="s">
        <v>3289</v>
      </c>
      <c r="E1983" s="2" t="s">
        <v>3290</v>
      </c>
      <c r="F1983" s="2" t="s">
        <v>12</v>
      </c>
      <c r="G1983" t="s">
        <v>3279</v>
      </c>
      <c r="H1983" t="str">
        <f t="shared" si="60"/>
        <v>https://videplast.com.br/consulta-imobilizado?id=21000370&amp;nome=ANEMOMETRO%20DIGITAL%20IMPAC%20IP-720</v>
      </c>
      <c r="I1983" t="e">
        <f t="shared" ca="1" si="61"/>
        <v>#NAME?</v>
      </c>
    </row>
    <row r="1984" spans="1:9" x14ac:dyDescent="0.25">
      <c r="A1984" s="2" t="s">
        <v>3291</v>
      </c>
      <c r="B1984" s="2" t="s">
        <v>10</v>
      </c>
      <c r="C1984" s="3">
        <v>41790</v>
      </c>
      <c r="D1984" t="s">
        <v>3292</v>
      </c>
      <c r="E1984" s="2" t="s">
        <v>12</v>
      </c>
      <c r="F1984" s="2" t="s">
        <v>12</v>
      </c>
      <c r="G1984" t="s">
        <v>3279</v>
      </c>
      <c r="H1984" t="str">
        <f t="shared" si="60"/>
        <v>https://videplast.com.br/consulta-imobilizado?id=21000377&amp;nome=MACACO%20HIDRAULICO%20MOVEL%20TIPO%20UNHA</v>
      </c>
      <c r="I1984" t="e">
        <f t="shared" ca="1" si="61"/>
        <v>#NAME?</v>
      </c>
    </row>
    <row r="1985" spans="1:9" x14ac:dyDescent="0.25">
      <c r="A1985" s="2" t="s">
        <v>3293</v>
      </c>
      <c r="B1985" s="2" t="s">
        <v>10</v>
      </c>
      <c r="C1985" s="3">
        <v>41790</v>
      </c>
      <c r="D1985" t="s">
        <v>3294</v>
      </c>
      <c r="E1985" s="2" t="s">
        <v>3295</v>
      </c>
      <c r="F1985" s="2" t="s">
        <v>12</v>
      </c>
      <c r="G1985" t="s">
        <v>3279</v>
      </c>
      <c r="H1985" t="str">
        <f t="shared" si="60"/>
        <v>https://videplast.com.br/consulta-imobilizado?id=21000378&amp;nome=FURADEIRA%20BOSCH%201/2%20GSB%2020RE%202</v>
      </c>
      <c r="I1985" t="e">
        <f t="shared" ca="1" si="61"/>
        <v>#NAME?</v>
      </c>
    </row>
    <row r="1986" spans="1:9" x14ac:dyDescent="0.25">
      <c r="A1986" s="2" t="s">
        <v>3296</v>
      </c>
      <c r="B1986" s="2" t="s">
        <v>10</v>
      </c>
      <c r="C1986" s="3">
        <v>41790</v>
      </c>
      <c r="D1986" t="s">
        <v>3297</v>
      </c>
      <c r="E1986" s="2" t="s">
        <v>12</v>
      </c>
      <c r="F1986" s="2" t="s">
        <v>12</v>
      </c>
      <c r="G1986" t="s">
        <v>3279</v>
      </c>
      <c r="H1986" t="str">
        <f t="shared" ref="H1986:H2049" si="62" xml:space="preserve"> "https://videplast.com.br/consulta-imobilizado?id=" &amp; A1986 &amp; "&amp;nome=" &amp; SUBSTITUTE(D1986, " ", "%20")</f>
        <v>https://videplast.com.br/consulta-imobilizado?id=21000379&amp;nome=ESMERILHADEIRA%20ANG%207POL%20D28491-B2</v>
      </c>
      <c r="I1986" t="e">
        <f t="shared" ref="I1986:I2049" ca="1" si="63">_xlfn.IMAGE("https://chart.googleapis.com/chart?chs=150x150&amp;cht=qr&amp;chl=" &amp; H1986)</f>
        <v>#NAME?</v>
      </c>
    </row>
    <row r="1987" spans="1:9" x14ac:dyDescent="0.25">
      <c r="A1987" s="2" t="s">
        <v>3298</v>
      </c>
      <c r="B1987" s="2" t="s">
        <v>10</v>
      </c>
      <c r="C1987" s="3">
        <v>41820</v>
      </c>
      <c r="D1987" t="s">
        <v>3299</v>
      </c>
      <c r="E1987" s="2" t="s">
        <v>3300</v>
      </c>
      <c r="F1987" s="2" t="s">
        <v>12</v>
      </c>
      <c r="G1987" t="s">
        <v>3279</v>
      </c>
      <c r="H1987" t="str">
        <f t="shared" si="62"/>
        <v>https://videplast.com.br/consulta-imobilizado?id=21000383&amp;nome=ESMERILHADEIRA%207%20POLEGADAS</v>
      </c>
      <c r="I1987" t="e">
        <f t="shared" ca="1" si="63"/>
        <v>#NAME?</v>
      </c>
    </row>
    <row r="1988" spans="1:9" x14ac:dyDescent="0.25">
      <c r="A1988" s="2" t="s">
        <v>3301</v>
      </c>
      <c r="B1988" s="2" t="s">
        <v>10</v>
      </c>
      <c r="C1988" s="3">
        <v>38623</v>
      </c>
      <c r="D1988" t="s">
        <v>3302</v>
      </c>
      <c r="E1988" s="2" t="s">
        <v>12</v>
      </c>
      <c r="F1988" s="2" t="s">
        <v>12</v>
      </c>
      <c r="G1988" t="s">
        <v>3279</v>
      </c>
      <c r="H1988" t="str">
        <f t="shared" si="62"/>
        <v>https://videplast.com.br/consulta-imobilizado?id=21000422&amp;nome=GUINCHO%20HIDRAULICO</v>
      </c>
      <c r="I1988" t="e">
        <f t="shared" ca="1" si="63"/>
        <v>#NAME?</v>
      </c>
    </row>
    <row r="1989" spans="1:9" x14ac:dyDescent="0.25">
      <c r="A1989" s="2" t="s">
        <v>3303</v>
      </c>
      <c r="B1989" s="2" t="s">
        <v>10</v>
      </c>
      <c r="C1989" s="3">
        <v>38693</v>
      </c>
      <c r="D1989" t="s">
        <v>3304</v>
      </c>
      <c r="E1989" s="2" t="s">
        <v>12</v>
      </c>
      <c r="F1989" s="2" t="s">
        <v>12</v>
      </c>
      <c r="G1989" t="s">
        <v>3279</v>
      </c>
      <c r="H1989" t="str">
        <f t="shared" si="62"/>
        <v>https://videplast.com.br/consulta-imobilizado?id=21000428&amp;nome=CONJUNTO%20MIG%20316A%20SMASH16</v>
      </c>
      <c r="I1989" t="e">
        <f t="shared" ca="1" si="63"/>
        <v>#NAME?</v>
      </c>
    </row>
    <row r="1990" spans="1:9" x14ac:dyDescent="0.25">
      <c r="A1990" s="2" t="s">
        <v>3305</v>
      </c>
      <c r="B1990" s="2" t="s">
        <v>10</v>
      </c>
      <c r="C1990" s="3">
        <v>39599</v>
      </c>
      <c r="D1990" t="s">
        <v>3306</v>
      </c>
      <c r="E1990" s="2" t="s">
        <v>12</v>
      </c>
      <c r="F1990" s="2" t="s">
        <v>12</v>
      </c>
      <c r="G1990" t="s">
        <v>3279</v>
      </c>
      <c r="H1990" t="str">
        <f t="shared" si="62"/>
        <v>https://videplast.com.br/consulta-imobilizado?id=21000550&amp;nome=SERRA%20CIRCULAR%207%201/4%20DW352-B2</v>
      </c>
      <c r="I1990" t="e">
        <f t="shared" ca="1" si="63"/>
        <v>#NAME?</v>
      </c>
    </row>
    <row r="1991" spans="1:9" x14ac:dyDescent="0.25">
      <c r="A1991" s="2" t="s">
        <v>3307</v>
      </c>
      <c r="B1991" s="2" t="s">
        <v>10</v>
      </c>
      <c r="C1991" s="3">
        <v>39804</v>
      </c>
      <c r="D1991" t="s">
        <v>3308</v>
      </c>
      <c r="E1991" s="2" t="s">
        <v>12</v>
      </c>
      <c r="F1991" s="2" t="s">
        <v>12</v>
      </c>
      <c r="G1991" t="s">
        <v>3279</v>
      </c>
      <c r="H1991" t="str">
        <f t="shared" si="62"/>
        <v>https://videplast.com.br/consulta-imobilizado?id=21000586&amp;nome=FURADEIRA%20BOSCH%20INDUSTRIAL%20GSB20</v>
      </c>
      <c r="I1991" t="e">
        <f t="shared" ca="1" si="63"/>
        <v>#NAME?</v>
      </c>
    </row>
    <row r="1992" spans="1:9" x14ac:dyDescent="0.25">
      <c r="A1992" s="2" t="s">
        <v>3309</v>
      </c>
      <c r="B1992" s="2" t="s">
        <v>10</v>
      </c>
      <c r="C1992" s="3">
        <v>40101</v>
      </c>
      <c r="D1992" t="s">
        <v>3310</v>
      </c>
      <c r="E1992" s="2" t="s">
        <v>12</v>
      </c>
      <c r="F1992" s="2" t="s">
        <v>12</v>
      </c>
      <c r="G1992" t="s">
        <v>3279</v>
      </c>
      <c r="H1992" t="str">
        <f t="shared" si="62"/>
        <v>https://videplast.com.br/consulta-imobilizado?id=21000608&amp;nome=SERRA%20FITA%20MANROD%20MR%20101%20220%20V%2060HZ</v>
      </c>
      <c r="I1992" t="e">
        <f t="shared" ca="1" si="63"/>
        <v>#NAME?</v>
      </c>
    </row>
    <row r="1993" spans="1:9" x14ac:dyDescent="0.25">
      <c r="A1993" s="2" t="s">
        <v>3309</v>
      </c>
      <c r="B1993" s="2" t="s">
        <v>26</v>
      </c>
      <c r="C1993" s="3">
        <v>40101</v>
      </c>
      <c r="D1993" t="s">
        <v>3311</v>
      </c>
      <c r="E1993" s="2" t="s">
        <v>12</v>
      </c>
      <c r="F1993" s="2" t="s">
        <v>12</v>
      </c>
      <c r="G1993" t="s">
        <v>3279</v>
      </c>
      <c r="H1993" t="str">
        <f t="shared" si="62"/>
        <v>https://videplast.com.br/consulta-imobilizado?id=21000608&amp;nome=FRETE%20P/%20TRANSPORTE%20MAQ.SERRA%20FITA%20MANROD%20MR%20101</v>
      </c>
      <c r="I1993" t="e">
        <f t="shared" ca="1" si="63"/>
        <v>#NAME?</v>
      </c>
    </row>
    <row r="1994" spans="1:9" x14ac:dyDescent="0.25">
      <c r="A1994" s="2" t="s">
        <v>3312</v>
      </c>
      <c r="B1994" s="2" t="s">
        <v>10</v>
      </c>
      <c r="C1994" s="3">
        <v>40543</v>
      </c>
      <c r="D1994" t="s">
        <v>3313</v>
      </c>
      <c r="E1994" s="2" t="s">
        <v>12</v>
      </c>
      <c r="F1994" s="2" t="s">
        <v>12</v>
      </c>
      <c r="G1994" t="s">
        <v>3279</v>
      </c>
      <c r="H1994" t="str">
        <f t="shared" si="62"/>
        <v>https://videplast.com.br/consulta-imobilizado?id=21000651&amp;nome=ESMERILHADEIRA%20INDUSTRIAL%2072.100W%20GWS%2021-180%20BOSCH</v>
      </c>
      <c r="I1994" t="e">
        <f t="shared" ca="1" si="63"/>
        <v>#NAME?</v>
      </c>
    </row>
    <row r="1995" spans="1:9" x14ac:dyDescent="0.25">
      <c r="A1995" s="2" t="s">
        <v>3314</v>
      </c>
      <c r="B1995" s="2" t="s">
        <v>10</v>
      </c>
      <c r="C1995" s="3">
        <v>40999</v>
      </c>
      <c r="D1995" t="s">
        <v>3315</v>
      </c>
      <c r="E1995" s="2" t="s">
        <v>12</v>
      </c>
      <c r="F1995" s="2" t="s">
        <v>12</v>
      </c>
      <c r="G1995" t="s">
        <v>3279</v>
      </c>
      <c r="H1995" t="str">
        <f t="shared" si="62"/>
        <v>https://videplast.com.br/consulta-imobilizado?id=21000659&amp;nome=TORQUIMETRO%203/4%20ESTALO%2014%20A%2080%20KG%20MT-18717</v>
      </c>
      <c r="I1995" t="e">
        <f t="shared" ca="1" si="63"/>
        <v>#NAME?</v>
      </c>
    </row>
    <row r="1996" spans="1:9" x14ac:dyDescent="0.25">
      <c r="A1996" s="2" t="s">
        <v>3314</v>
      </c>
      <c r="B1996" s="2" t="s">
        <v>26</v>
      </c>
      <c r="C1996" s="3">
        <v>40999</v>
      </c>
      <c r="D1996" t="s">
        <v>3316</v>
      </c>
      <c r="E1996" s="2" t="s">
        <v>12</v>
      </c>
      <c r="F1996" s="2" t="s">
        <v>12</v>
      </c>
      <c r="G1996" t="s">
        <v>3279</v>
      </c>
      <c r="H1996" t="str">
        <f t="shared" si="62"/>
        <v>https://videplast.com.br/consulta-imobilizado?id=21000659&amp;nome=ESCADA%20FIBRA%2014%20DE%20GR%20X%204,40</v>
      </c>
      <c r="I1996" t="e">
        <f t="shared" ca="1" si="63"/>
        <v>#NAME?</v>
      </c>
    </row>
    <row r="1997" spans="1:9" x14ac:dyDescent="0.25">
      <c r="A1997" s="2" t="s">
        <v>3317</v>
      </c>
      <c r="B1997" s="2" t="s">
        <v>10</v>
      </c>
      <c r="C1997" s="3">
        <v>37898</v>
      </c>
      <c r="D1997" t="s">
        <v>3318</v>
      </c>
      <c r="E1997" s="2" t="s">
        <v>12</v>
      </c>
      <c r="F1997" s="2" t="s">
        <v>12</v>
      </c>
      <c r="G1997" t="s">
        <v>3279</v>
      </c>
      <c r="H1997" t="str">
        <f t="shared" si="62"/>
        <v>https://videplast.com.br/consulta-imobilizado?id=21000691&amp;nome=SERRA%20TIC%20TIC%201589</v>
      </c>
      <c r="I1997" t="e">
        <f t="shared" ca="1" si="63"/>
        <v>#NAME?</v>
      </c>
    </row>
    <row r="1998" spans="1:9" x14ac:dyDescent="0.25">
      <c r="A1998" s="2" t="s">
        <v>3319</v>
      </c>
      <c r="B1998" s="2" t="s">
        <v>10</v>
      </c>
      <c r="C1998" s="3">
        <v>42063</v>
      </c>
      <c r="D1998" t="s">
        <v>3320</v>
      </c>
      <c r="E1998" s="2" t="s">
        <v>12</v>
      </c>
      <c r="F1998" s="2" t="s">
        <v>12</v>
      </c>
      <c r="G1998" t="s">
        <v>3279</v>
      </c>
      <c r="H1998" t="str">
        <f t="shared" si="62"/>
        <v>https://videplast.com.br/consulta-imobilizado?id=21000698&amp;nome=TORNO%20INVERSOR%20SOLDA%20LHN%20220I%20PLUS</v>
      </c>
      <c r="I1998" t="e">
        <f t="shared" ca="1" si="63"/>
        <v>#NAME?</v>
      </c>
    </row>
    <row r="1999" spans="1:9" x14ac:dyDescent="0.25">
      <c r="A1999" s="2" t="s">
        <v>3319</v>
      </c>
      <c r="B1999" s="2" t="s">
        <v>26</v>
      </c>
      <c r="C1999" s="3">
        <v>42094</v>
      </c>
      <c r="D1999" t="s">
        <v>3321</v>
      </c>
      <c r="E1999" s="2" t="s">
        <v>12</v>
      </c>
      <c r="F1999" s="2" t="s">
        <v>12</v>
      </c>
      <c r="G1999" t="s">
        <v>3279</v>
      </c>
      <c r="H1999" t="str">
        <f t="shared" si="62"/>
        <v>https://videplast.com.br/consulta-imobilizado?id=21000698&amp;nome=FRETE%20TORNO%20INVERSOR%20SOLDA%20LHN%20220I%20PLUS</v>
      </c>
      <c r="I1999" t="e">
        <f t="shared" ca="1" si="63"/>
        <v>#NAME?</v>
      </c>
    </row>
    <row r="2000" spans="1:9" x14ac:dyDescent="0.25">
      <c r="A2000" s="2" t="s">
        <v>3319</v>
      </c>
      <c r="B2000" s="2" t="s">
        <v>21</v>
      </c>
      <c r="C2000" s="3">
        <v>42094</v>
      </c>
      <c r="D2000" t="s">
        <v>3322</v>
      </c>
      <c r="E2000" s="2" t="s">
        <v>12</v>
      </c>
      <c r="F2000" s="2" t="s">
        <v>12</v>
      </c>
      <c r="G2000" t="s">
        <v>3279</v>
      </c>
      <c r="H2000" t="str">
        <f t="shared" si="62"/>
        <v>https://videplast.com.br/consulta-imobilizado?id=21000698&amp;nome=INVERSOR%20SOLDA%20LHN%20220I%20PLUS</v>
      </c>
      <c r="I2000" t="e">
        <f t="shared" ca="1" si="63"/>
        <v>#NAME?</v>
      </c>
    </row>
    <row r="2001" spans="1:9" x14ac:dyDescent="0.25">
      <c r="A2001" s="2" t="s">
        <v>3323</v>
      </c>
      <c r="B2001" s="2" t="s">
        <v>10</v>
      </c>
      <c r="C2001" s="3">
        <v>43215</v>
      </c>
      <c r="D2001" t="s">
        <v>3324</v>
      </c>
      <c r="E2001" s="2" t="s">
        <v>12</v>
      </c>
      <c r="F2001" s="2" t="s">
        <v>12</v>
      </c>
      <c r="G2001" t="s">
        <v>3279</v>
      </c>
      <c r="H2001" t="str">
        <f t="shared" si="62"/>
        <v>https://videplast.com.br/consulta-imobilizado?id=21003941&amp;nome=KIT%20ANALISADOR%20ELETRICO%20DMI%20T5T%2088ES%20600A</v>
      </c>
      <c r="I2001" t="e">
        <f t="shared" ca="1" si="63"/>
        <v>#NAME?</v>
      </c>
    </row>
    <row r="2002" spans="1:9" x14ac:dyDescent="0.25">
      <c r="A2002" s="2" t="s">
        <v>3325</v>
      </c>
      <c r="B2002" s="2" t="s">
        <v>10</v>
      </c>
      <c r="C2002" s="3">
        <v>44182</v>
      </c>
      <c r="D2002" t="s">
        <v>3326</v>
      </c>
      <c r="E2002" s="2" t="s">
        <v>12</v>
      </c>
      <c r="F2002" s="2" t="s">
        <v>12</v>
      </c>
      <c r="G2002" t="s">
        <v>3279</v>
      </c>
      <c r="H2002" t="str">
        <f t="shared" si="62"/>
        <v>https://videplast.com.br/consulta-imobilizado?id=21005790&amp;nome=FRESADEIRA%20UNIV%20ATLAS%20FHA40</v>
      </c>
      <c r="I2002" t="e">
        <f t="shared" ca="1" si="63"/>
        <v>#NAME?</v>
      </c>
    </row>
    <row r="2003" spans="1:9" x14ac:dyDescent="0.25">
      <c r="A2003" s="2" t="s">
        <v>3325</v>
      </c>
      <c r="B2003" s="2" t="s">
        <v>26</v>
      </c>
      <c r="C2003" s="3">
        <v>44182</v>
      </c>
      <c r="D2003" t="s">
        <v>3327</v>
      </c>
      <c r="E2003" s="2" t="s">
        <v>12</v>
      </c>
      <c r="F2003" s="2" t="s">
        <v>12</v>
      </c>
      <c r="G2003" t="s">
        <v>3279</v>
      </c>
      <c r="H2003" t="str">
        <f t="shared" si="62"/>
        <v>https://videplast.com.br/consulta-imobilizado?id=21005790&amp;nome=FRETE%20P/TRANSP%20DE%201%20FRESA,1%20DIGITAL%203</v>
      </c>
      <c r="I2003" t="e">
        <f t="shared" ca="1" si="63"/>
        <v>#NAME?</v>
      </c>
    </row>
    <row r="2004" spans="1:9" x14ac:dyDescent="0.25">
      <c r="A2004" s="2" t="s">
        <v>3325</v>
      </c>
      <c r="B2004" s="2" t="s">
        <v>21</v>
      </c>
      <c r="C2004" s="3">
        <v>45506</v>
      </c>
      <c r="D2004" t="s">
        <v>3328</v>
      </c>
      <c r="E2004" s="2" t="s">
        <v>12</v>
      </c>
      <c r="F2004" s="2" t="s">
        <v>12</v>
      </c>
      <c r="G2004" t="s">
        <v>3279</v>
      </c>
      <c r="H2004" t="str">
        <f t="shared" si="62"/>
        <v>https://videplast.com.br/consulta-imobilizado?id=21005790&amp;nome=CABECOTE,%20CONE,%20PASTILHA,%20FREZA%20P/%20MAQ.FRESADORA</v>
      </c>
      <c r="I2004" t="e">
        <f t="shared" ca="1" si="63"/>
        <v>#NAME?</v>
      </c>
    </row>
    <row r="2005" spans="1:9" x14ac:dyDescent="0.25">
      <c r="A2005" s="2" t="s">
        <v>3325</v>
      </c>
      <c r="B2005" s="2" t="s">
        <v>29</v>
      </c>
      <c r="C2005" s="3">
        <v>45506</v>
      </c>
      <c r="D2005" t="s">
        <v>3329</v>
      </c>
      <c r="E2005" s="2" t="s">
        <v>12</v>
      </c>
      <c r="F2005" s="2" t="s">
        <v>12</v>
      </c>
      <c r="G2005" t="s">
        <v>3279</v>
      </c>
      <c r="H2005" t="str">
        <f t="shared" si="62"/>
        <v>https://videplast.com.br/consulta-imobilizado?id=21005790&amp;nome=PECAS%20PARA%20MAQUINA%20FREZADEIRA</v>
      </c>
      <c r="I2005" t="e">
        <f t="shared" ca="1" si="63"/>
        <v>#NAME?</v>
      </c>
    </row>
    <row r="2006" spans="1:9" x14ac:dyDescent="0.25">
      <c r="A2006" s="2" t="s">
        <v>3330</v>
      </c>
      <c r="B2006" s="2" t="s">
        <v>10</v>
      </c>
      <c r="C2006" s="3">
        <v>45506</v>
      </c>
      <c r="D2006" t="s">
        <v>3331</v>
      </c>
      <c r="E2006" s="2" t="s">
        <v>12</v>
      </c>
      <c r="F2006" s="2" t="s">
        <v>12</v>
      </c>
      <c r="G2006" t="s">
        <v>3279</v>
      </c>
      <c r="H2006" t="str">
        <f t="shared" si="62"/>
        <v>https://videplast.com.br/consulta-imobilizado?id=21006608&amp;nome=ESMERILADEIRA%20BOSCH%20GWS21/180</v>
      </c>
      <c r="I2006" t="e">
        <f t="shared" ca="1" si="63"/>
        <v>#NAME?</v>
      </c>
    </row>
    <row r="2007" spans="1:9" x14ac:dyDescent="0.25">
      <c r="A2007" s="2" t="s">
        <v>3332</v>
      </c>
      <c r="B2007" s="2" t="s">
        <v>10</v>
      </c>
      <c r="C2007" s="3">
        <v>45534</v>
      </c>
      <c r="D2007" t="s">
        <v>3333</v>
      </c>
      <c r="E2007" s="2" t="s">
        <v>12</v>
      </c>
      <c r="F2007" s="2" t="s">
        <v>3334</v>
      </c>
      <c r="G2007" t="s">
        <v>3279</v>
      </c>
      <c r="H2007" t="str">
        <f t="shared" si="62"/>
        <v>https://videplast.com.br/consulta-imobilizado?id=21006811&amp;nome=INVERSOR%20DE%20SOLDA%20LHN%20242I%20PLUS%20ESAB</v>
      </c>
      <c r="I2007" t="e">
        <f t="shared" ca="1" si="63"/>
        <v>#NAME?</v>
      </c>
    </row>
    <row r="2008" spans="1:9" x14ac:dyDescent="0.25">
      <c r="A2008" s="2" t="s">
        <v>3335</v>
      </c>
      <c r="B2008" s="2" t="s">
        <v>10</v>
      </c>
      <c r="C2008" s="3">
        <v>41425</v>
      </c>
      <c r="D2008" t="s">
        <v>3336</v>
      </c>
      <c r="E2008" s="2" t="s">
        <v>3337</v>
      </c>
      <c r="F2008" s="2" t="s">
        <v>12</v>
      </c>
      <c r="G2008" t="s">
        <v>3279</v>
      </c>
      <c r="H2008" t="str">
        <f t="shared" si="62"/>
        <v>https://videplast.com.br/consulta-imobilizado?id=30000132&amp;nome=ARQUIVO%20DE%20ACO%204%20GAVETAS%20P/%20PASTA%201,335X0,685X047</v>
      </c>
      <c r="I2008" t="e">
        <f t="shared" ca="1" si="63"/>
        <v>#NAME?</v>
      </c>
    </row>
    <row r="2009" spans="1:9" x14ac:dyDescent="0.25">
      <c r="A2009" s="2" t="s">
        <v>3338</v>
      </c>
      <c r="B2009" s="2" t="s">
        <v>10</v>
      </c>
      <c r="C2009" s="3">
        <v>41670</v>
      </c>
      <c r="D2009" t="s">
        <v>3339</v>
      </c>
      <c r="E2009" s="2" t="s">
        <v>3340</v>
      </c>
      <c r="F2009" s="2" t="s">
        <v>12</v>
      </c>
      <c r="G2009" t="s">
        <v>3279</v>
      </c>
      <c r="H2009" t="str">
        <f t="shared" si="62"/>
        <v>https://videplast.com.br/consulta-imobilizado?id=30000136&amp;nome=ASPIRADOR%20DE%20PO%20KARCHER%20AGUA/PO%20220V%201200W</v>
      </c>
      <c r="I2009" t="e">
        <f t="shared" ca="1" si="63"/>
        <v>#NAME?</v>
      </c>
    </row>
    <row r="2010" spans="1:9" x14ac:dyDescent="0.25">
      <c r="A2010" s="2" t="s">
        <v>3341</v>
      </c>
      <c r="B2010" s="2" t="s">
        <v>10</v>
      </c>
      <c r="C2010" s="3">
        <v>39660</v>
      </c>
      <c r="D2010" t="s">
        <v>3342</v>
      </c>
      <c r="E2010" s="2" t="s">
        <v>12</v>
      </c>
      <c r="F2010" s="2" t="s">
        <v>12</v>
      </c>
      <c r="G2010" t="s">
        <v>3279</v>
      </c>
      <c r="H2010" t="str">
        <f t="shared" si="62"/>
        <v>https://videplast.com.br/consulta-imobilizado?id=30000226&amp;nome=ARQUIVO%20ACO%204%20GAVETAS</v>
      </c>
      <c r="I2010" t="e">
        <f t="shared" ca="1" si="63"/>
        <v>#NAME?</v>
      </c>
    </row>
    <row r="2011" spans="1:9" x14ac:dyDescent="0.25">
      <c r="A2011" s="2" t="s">
        <v>3343</v>
      </c>
      <c r="B2011" s="2" t="s">
        <v>10</v>
      </c>
      <c r="C2011" s="3">
        <v>40543</v>
      </c>
      <c r="D2011" t="s">
        <v>3344</v>
      </c>
      <c r="E2011" s="2" t="s">
        <v>12</v>
      </c>
      <c r="F2011" s="2" t="s">
        <v>12</v>
      </c>
      <c r="G2011" t="s">
        <v>3279</v>
      </c>
      <c r="H2011" t="str">
        <f t="shared" si="62"/>
        <v>https://videplast.com.br/consulta-imobilizado?id=30000239&amp;nome=AR%20CONDICIONADO%20SPLIT%20HITACHI%20WALL%209.000%20BTU</v>
      </c>
      <c r="I2011" t="e">
        <f t="shared" ca="1" si="63"/>
        <v>#NAME?</v>
      </c>
    </row>
    <row r="2012" spans="1:9" x14ac:dyDescent="0.25">
      <c r="A2012" s="2" t="s">
        <v>3345</v>
      </c>
      <c r="B2012" s="2" t="s">
        <v>10</v>
      </c>
      <c r="C2012" s="3">
        <v>42800</v>
      </c>
      <c r="D2012" t="s">
        <v>3346</v>
      </c>
      <c r="E2012" s="2" t="s">
        <v>3347</v>
      </c>
      <c r="F2012" s="2" t="s">
        <v>12</v>
      </c>
      <c r="G2012" t="s">
        <v>3279</v>
      </c>
      <c r="H2012" t="str">
        <f t="shared" si="62"/>
        <v>https://videplast.com.br/consulta-imobilizado?id=30001540&amp;nome=ASPIRADOR%20DE%20AGUA%20/%20PO%20S/%20PROF%20220V%201200W%20KARCHER</v>
      </c>
      <c r="I2012" t="e">
        <f t="shared" ca="1" si="63"/>
        <v>#NAME?</v>
      </c>
    </row>
    <row r="2013" spans="1:9" x14ac:dyDescent="0.25">
      <c r="A2013" s="2" t="s">
        <v>3348</v>
      </c>
      <c r="B2013" s="2" t="s">
        <v>10</v>
      </c>
      <c r="C2013" s="3">
        <v>43185</v>
      </c>
      <c r="D2013" t="s">
        <v>3349</v>
      </c>
      <c r="E2013" s="2" t="s">
        <v>12</v>
      </c>
      <c r="F2013" s="2" t="s">
        <v>12</v>
      </c>
      <c r="G2013" t="s">
        <v>3279</v>
      </c>
      <c r="H2013" t="str">
        <f t="shared" si="62"/>
        <v>https://videplast.com.br/consulta-imobilizado?id=30001694&amp;nome=AR%20CONDICIONADO%20SPLIT%20INT/EXT%20FUJITSU%2012000%20BTU</v>
      </c>
      <c r="I2013" t="e">
        <f t="shared" ca="1" si="63"/>
        <v>#NAME?</v>
      </c>
    </row>
    <row r="2014" spans="1:9" x14ac:dyDescent="0.25">
      <c r="A2014" s="2" t="s">
        <v>3350</v>
      </c>
      <c r="B2014" s="2" t="s">
        <v>10</v>
      </c>
      <c r="C2014" s="3">
        <v>43180</v>
      </c>
      <c r="D2014" t="s">
        <v>3351</v>
      </c>
      <c r="E2014" s="2" t="s">
        <v>12</v>
      </c>
      <c r="F2014" s="2" t="s">
        <v>12</v>
      </c>
      <c r="G2014" t="s">
        <v>3279</v>
      </c>
      <c r="H2014" t="str">
        <f t="shared" si="62"/>
        <v>https://videplast.com.br/consulta-imobilizado?id=30001697&amp;nome=LAVADORA%20STIHL%20RE%20143%204768-012-4507</v>
      </c>
      <c r="I2014" t="e">
        <f t="shared" ca="1" si="63"/>
        <v>#NAME?</v>
      </c>
    </row>
    <row r="2015" spans="1:9" x14ac:dyDescent="0.25">
      <c r="A2015" s="2" t="s">
        <v>3352</v>
      </c>
      <c r="B2015" s="2" t="s">
        <v>10</v>
      </c>
      <c r="C2015" s="3">
        <v>43554</v>
      </c>
      <c r="D2015" t="s">
        <v>3353</v>
      </c>
      <c r="E2015" s="2" t="s">
        <v>12</v>
      </c>
      <c r="F2015" s="2" t="s">
        <v>12</v>
      </c>
      <c r="G2015" t="s">
        <v>3279</v>
      </c>
      <c r="H2015" t="str">
        <f t="shared" si="62"/>
        <v>https://videplast.com.br/consulta-imobilizado?id=30001850&amp;nome=MAQUINA%20DE%20SOLDA%20VULCANO%20MIG%20360%20MARCA:%20BALMER</v>
      </c>
      <c r="I2015" t="e">
        <f t="shared" ca="1" si="63"/>
        <v>#NAME?</v>
      </c>
    </row>
    <row r="2016" spans="1:9" x14ac:dyDescent="0.25">
      <c r="A2016" s="2" t="s">
        <v>3354</v>
      </c>
      <c r="B2016" s="2" t="s">
        <v>10</v>
      </c>
      <c r="C2016" s="3">
        <v>43703</v>
      </c>
      <c r="D2016" t="s">
        <v>3355</v>
      </c>
      <c r="E2016" s="2" t="s">
        <v>12</v>
      </c>
      <c r="F2016" s="2" t="s">
        <v>12</v>
      </c>
      <c r="G2016" t="s">
        <v>3279</v>
      </c>
      <c r="H2016" t="str">
        <f t="shared" si="62"/>
        <v>https://videplast.com.br/consulta-imobilizado?id=30002247&amp;nome=LAVADORA%20ALTA%20PRESSAO%20JACTOCLEAN%20J6000%20220V%201000W</v>
      </c>
      <c r="I2016" t="e">
        <f t="shared" ca="1" si="63"/>
        <v>#NAME?</v>
      </c>
    </row>
    <row r="2017" spans="1:9" x14ac:dyDescent="0.25">
      <c r="A2017" s="2" t="s">
        <v>3356</v>
      </c>
      <c r="B2017" s="2" t="s">
        <v>10</v>
      </c>
      <c r="C2017" s="3">
        <v>43712</v>
      </c>
      <c r="D2017" t="s">
        <v>452</v>
      </c>
      <c r="E2017" s="2" t="s">
        <v>12</v>
      </c>
      <c r="F2017" s="2" t="s">
        <v>12</v>
      </c>
      <c r="G2017" t="s">
        <v>3279</v>
      </c>
      <c r="H2017" t="str">
        <f t="shared" si="62"/>
        <v>https://videplast.com.br/consulta-imobilizado?id=30002262&amp;nome=ARMARIO%20DE%20AÇO</v>
      </c>
      <c r="I2017" t="e">
        <f t="shared" ca="1" si="63"/>
        <v>#NAME?</v>
      </c>
    </row>
    <row r="2018" spans="1:9" x14ac:dyDescent="0.25">
      <c r="A2018" s="2" t="s">
        <v>3357</v>
      </c>
      <c r="B2018" s="2" t="s">
        <v>10</v>
      </c>
      <c r="C2018" s="3">
        <v>43712</v>
      </c>
      <c r="D2018" t="s">
        <v>452</v>
      </c>
      <c r="E2018" s="2" t="s">
        <v>12</v>
      </c>
      <c r="F2018" s="2" t="s">
        <v>12</v>
      </c>
      <c r="G2018" t="s">
        <v>3279</v>
      </c>
      <c r="H2018" t="str">
        <f t="shared" si="62"/>
        <v>https://videplast.com.br/consulta-imobilizado?id=30002263&amp;nome=ARMARIO%20DE%20AÇO</v>
      </c>
      <c r="I2018" t="e">
        <f t="shared" ca="1" si="63"/>
        <v>#NAME?</v>
      </c>
    </row>
    <row r="2019" spans="1:9" x14ac:dyDescent="0.25">
      <c r="A2019" s="2" t="s">
        <v>3358</v>
      </c>
      <c r="B2019" s="2" t="s">
        <v>10</v>
      </c>
      <c r="C2019" s="3">
        <v>43740</v>
      </c>
      <c r="D2019" t="s">
        <v>3359</v>
      </c>
      <c r="E2019" s="2" t="s">
        <v>12</v>
      </c>
      <c r="F2019" s="2" t="s">
        <v>12</v>
      </c>
      <c r="G2019" t="s">
        <v>3279</v>
      </c>
      <c r="H2019" t="str">
        <f t="shared" si="62"/>
        <v>https://videplast.com.br/consulta-imobilizado?id=30002265&amp;nome=RACK%20DESMON%2019"X40U%20600X800MM%20PT</v>
      </c>
      <c r="I2019" t="e">
        <f t="shared" ca="1" si="63"/>
        <v>#NAME?</v>
      </c>
    </row>
    <row r="2020" spans="1:9" x14ac:dyDescent="0.25">
      <c r="A2020" s="2" t="s">
        <v>3360</v>
      </c>
      <c r="B2020" s="2" t="s">
        <v>10</v>
      </c>
      <c r="C2020" s="3">
        <v>44202</v>
      </c>
      <c r="D2020" t="s">
        <v>3361</v>
      </c>
      <c r="E2020" s="2" t="s">
        <v>3362</v>
      </c>
      <c r="F2020" s="2" t="s">
        <v>12</v>
      </c>
      <c r="G2020" t="s">
        <v>3279</v>
      </c>
      <c r="H2020" t="str">
        <f t="shared" si="62"/>
        <v>https://videplast.com.br/consulta-imobilizado?id=30003381&amp;nome=AR%20CONDICIONADO%20FRIO%20INVERTER%20FUJITSU%2018000%20BTU</v>
      </c>
      <c r="I2020" t="e">
        <f t="shared" ca="1" si="63"/>
        <v>#NAME?</v>
      </c>
    </row>
    <row r="2021" spans="1:9" x14ac:dyDescent="0.25">
      <c r="A2021" s="2" t="s">
        <v>3363</v>
      </c>
      <c r="B2021" s="2" t="s">
        <v>10</v>
      </c>
      <c r="C2021" s="3">
        <v>44496</v>
      </c>
      <c r="D2021" t="s">
        <v>2218</v>
      </c>
      <c r="E2021" s="2" t="s">
        <v>12</v>
      </c>
      <c r="F2021" s="2" t="s">
        <v>12</v>
      </c>
      <c r="G2021" t="s">
        <v>3279</v>
      </c>
      <c r="H2021" t="str">
        <f t="shared" si="62"/>
        <v>https://videplast.com.br/consulta-imobilizado?id=30003521&amp;nome=CADEIRA%20CAVALETTI%20GIRATORIA%20DIRETOR%204002</v>
      </c>
      <c r="I2021" t="e">
        <f t="shared" ca="1" si="63"/>
        <v>#NAME?</v>
      </c>
    </row>
    <row r="2022" spans="1:9" x14ac:dyDescent="0.25">
      <c r="A2022" s="2" t="s">
        <v>3364</v>
      </c>
      <c r="B2022" s="2" t="s">
        <v>10</v>
      </c>
      <c r="C2022" s="3">
        <v>44559</v>
      </c>
      <c r="D2022" t="s">
        <v>3365</v>
      </c>
      <c r="E2022" s="2" t="s">
        <v>12</v>
      </c>
      <c r="F2022" s="2" t="s">
        <v>12</v>
      </c>
      <c r="G2022" t="s">
        <v>3279</v>
      </c>
      <c r="H2022" t="str">
        <f t="shared" si="62"/>
        <v>https://videplast.com.br/consulta-imobilizado?id=30003565&amp;nome=LIXADEIRA%20INDUSTRIAL%20PARA%20TORNO%20METASIL</v>
      </c>
      <c r="I2022" t="e">
        <f t="shared" ca="1" si="63"/>
        <v>#NAME?</v>
      </c>
    </row>
    <row r="2023" spans="1:9" x14ac:dyDescent="0.25">
      <c r="A2023" s="2" t="s">
        <v>3366</v>
      </c>
      <c r="B2023" s="2" t="s">
        <v>10</v>
      </c>
      <c r="C2023" s="3">
        <v>44830</v>
      </c>
      <c r="D2023" t="s">
        <v>3367</v>
      </c>
      <c r="E2023" s="2" t="s">
        <v>3368</v>
      </c>
      <c r="F2023" s="2" t="s">
        <v>12</v>
      </c>
      <c r="G2023" t="s">
        <v>3279</v>
      </c>
      <c r="H2023" t="str">
        <f t="shared" si="62"/>
        <v>https://videplast.com.br/consulta-imobilizado?id=30003718&amp;nome=ESTANTE%20DE%20ACO%20176X92X30CM%20DUPLA%20FLEX%2030</v>
      </c>
      <c r="I2023" t="e">
        <f t="shared" ca="1" si="63"/>
        <v>#NAME?</v>
      </c>
    </row>
    <row r="2024" spans="1:9" x14ac:dyDescent="0.25">
      <c r="A2024" s="2" t="s">
        <v>3369</v>
      </c>
      <c r="B2024" s="2" t="s">
        <v>10</v>
      </c>
      <c r="C2024" s="3">
        <v>44830</v>
      </c>
      <c r="D2024" t="s">
        <v>3367</v>
      </c>
      <c r="E2024" s="2" t="s">
        <v>3370</v>
      </c>
      <c r="F2024" s="2" t="s">
        <v>12</v>
      </c>
      <c r="G2024" t="s">
        <v>3279</v>
      </c>
      <c r="H2024" t="str">
        <f t="shared" si="62"/>
        <v>https://videplast.com.br/consulta-imobilizado?id=30003719&amp;nome=ESTANTE%20DE%20ACO%20176X92X30CM%20DUPLA%20FLEX%2030</v>
      </c>
      <c r="I2024" t="e">
        <f t="shared" ca="1" si="63"/>
        <v>#NAME?</v>
      </c>
    </row>
    <row r="2025" spans="1:9" x14ac:dyDescent="0.25">
      <c r="A2025" s="2" t="s">
        <v>3371</v>
      </c>
      <c r="B2025" s="2" t="s">
        <v>10</v>
      </c>
      <c r="C2025" s="3">
        <v>44830</v>
      </c>
      <c r="D2025" t="s">
        <v>3367</v>
      </c>
      <c r="E2025" s="2" t="s">
        <v>3372</v>
      </c>
      <c r="F2025" s="2" t="s">
        <v>12</v>
      </c>
      <c r="G2025" t="s">
        <v>3279</v>
      </c>
      <c r="H2025" t="str">
        <f t="shared" si="62"/>
        <v>https://videplast.com.br/consulta-imobilizado?id=30003720&amp;nome=ESTANTE%20DE%20ACO%20176X92X30CM%20DUPLA%20FLEX%2030</v>
      </c>
      <c r="I2025" t="e">
        <f t="shared" ca="1" si="63"/>
        <v>#NAME?</v>
      </c>
    </row>
    <row r="2026" spans="1:9" x14ac:dyDescent="0.25">
      <c r="A2026" s="2" t="s">
        <v>3373</v>
      </c>
      <c r="B2026" s="2" t="s">
        <v>10</v>
      </c>
      <c r="C2026" s="3">
        <v>44830</v>
      </c>
      <c r="D2026" t="s">
        <v>3367</v>
      </c>
      <c r="E2026" s="2" t="s">
        <v>3374</v>
      </c>
      <c r="F2026" s="2" t="s">
        <v>12</v>
      </c>
      <c r="G2026" t="s">
        <v>3279</v>
      </c>
      <c r="H2026" t="str">
        <f t="shared" si="62"/>
        <v>https://videplast.com.br/consulta-imobilizado?id=30003721&amp;nome=ESTANTE%20DE%20ACO%20176X92X30CM%20DUPLA%20FLEX%2030</v>
      </c>
      <c r="I2026" t="e">
        <f t="shared" ca="1" si="63"/>
        <v>#NAME?</v>
      </c>
    </row>
    <row r="2027" spans="1:9" x14ac:dyDescent="0.25">
      <c r="A2027" s="2" t="s">
        <v>3375</v>
      </c>
      <c r="B2027" s="2" t="s">
        <v>10</v>
      </c>
      <c r="C2027" s="3">
        <v>45112</v>
      </c>
      <c r="D2027" t="s">
        <v>2884</v>
      </c>
      <c r="E2027" s="2" t="s">
        <v>3376</v>
      </c>
      <c r="F2027" s="2" t="s">
        <v>3377</v>
      </c>
      <c r="G2027" t="s">
        <v>3279</v>
      </c>
      <c r="H2027" t="str">
        <f t="shared" si="62"/>
        <v>https://videplast.com.br/consulta-imobilizado?id=30003866&amp;nome=CLIMATIZADOR%20ROTOPLAST%2046%20PORTATIL</v>
      </c>
      <c r="I2027" t="e">
        <f t="shared" ca="1" si="63"/>
        <v>#NAME?</v>
      </c>
    </row>
    <row r="2028" spans="1:9" x14ac:dyDescent="0.25">
      <c r="A2028" s="2" t="s">
        <v>3378</v>
      </c>
      <c r="B2028" s="2" t="s">
        <v>10</v>
      </c>
      <c r="C2028" s="3">
        <v>45132</v>
      </c>
      <c r="D2028" t="s">
        <v>3379</v>
      </c>
      <c r="E2028" s="2" t="s">
        <v>3380</v>
      </c>
      <c r="F2028" s="2" t="s">
        <v>12</v>
      </c>
      <c r="G2028" t="s">
        <v>3279</v>
      </c>
      <c r="H2028" t="str">
        <f t="shared" si="62"/>
        <v>https://videplast.com.br/consulta-imobilizado?id=30003898&amp;nome=ESTANTE%20DE%20ACO%20176X92X30%20CM%20DUPLA%20FLEX%2030</v>
      </c>
      <c r="I2028" t="e">
        <f t="shared" ca="1" si="63"/>
        <v>#NAME?</v>
      </c>
    </row>
    <row r="2029" spans="1:9" x14ac:dyDescent="0.25">
      <c r="A2029" s="2" t="s">
        <v>3381</v>
      </c>
      <c r="B2029" s="2" t="s">
        <v>10</v>
      </c>
      <c r="C2029" s="3">
        <v>45132</v>
      </c>
      <c r="D2029" t="s">
        <v>3379</v>
      </c>
      <c r="E2029" s="2" t="s">
        <v>3382</v>
      </c>
      <c r="F2029" s="2" t="s">
        <v>12</v>
      </c>
      <c r="G2029" t="s">
        <v>3279</v>
      </c>
      <c r="H2029" t="str">
        <f t="shared" si="62"/>
        <v>https://videplast.com.br/consulta-imobilizado?id=30003899&amp;nome=ESTANTE%20DE%20ACO%20176X92X30%20CM%20DUPLA%20FLEX%2030</v>
      </c>
      <c r="I2029" t="e">
        <f t="shared" ca="1" si="63"/>
        <v>#NAME?</v>
      </c>
    </row>
    <row r="2030" spans="1:9" x14ac:dyDescent="0.25">
      <c r="A2030" s="2" t="s">
        <v>3383</v>
      </c>
      <c r="B2030" s="2" t="s">
        <v>10</v>
      </c>
      <c r="C2030" s="3">
        <v>45132</v>
      </c>
      <c r="D2030" t="s">
        <v>3379</v>
      </c>
      <c r="E2030" s="2" t="s">
        <v>3384</v>
      </c>
      <c r="F2030" s="2" t="s">
        <v>12</v>
      </c>
      <c r="G2030" t="s">
        <v>3279</v>
      </c>
      <c r="H2030" t="str">
        <f t="shared" si="62"/>
        <v>https://videplast.com.br/consulta-imobilizado?id=30003900&amp;nome=ESTANTE%20DE%20ACO%20176X92X30%20CM%20DUPLA%20FLEX%2030</v>
      </c>
      <c r="I2030" t="e">
        <f t="shared" ca="1" si="63"/>
        <v>#NAME?</v>
      </c>
    </row>
    <row r="2031" spans="1:9" x14ac:dyDescent="0.25">
      <c r="A2031" s="2" t="s">
        <v>3385</v>
      </c>
      <c r="B2031" s="2" t="s">
        <v>10</v>
      </c>
      <c r="C2031" s="3">
        <v>45131</v>
      </c>
      <c r="D2031" t="s">
        <v>3386</v>
      </c>
      <c r="E2031" s="2" t="s">
        <v>12</v>
      </c>
      <c r="F2031" s="2" t="s">
        <v>12</v>
      </c>
      <c r="G2031" t="s">
        <v>3279</v>
      </c>
      <c r="H2031" t="str">
        <f t="shared" si="62"/>
        <v>https://videplast.com.br/consulta-imobilizado?id=30003924&amp;nome=LAVADORA%20DE%20ALTA%20PRESSAO%20JACTO%20J72%20/15%20INDUSTRIAL</v>
      </c>
      <c r="I2031" t="e">
        <f t="shared" ca="1" si="63"/>
        <v>#NAME?</v>
      </c>
    </row>
    <row r="2032" spans="1:9" x14ac:dyDescent="0.25">
      <c r="A2032" s="2" t="s">
        <v>3387</v>
      </c>
      <c r="B2032" s="2" t="s">
        <v>10</v>
      </c>
      <c r="C2032" s="3">
        <v>45226</v>
      </c>
      <c r="D2032" t="s">
        <v>3388</v>
      </c>
      <c r="E2032" s="2" t="s">
        <v>3389</v>
      </c>
      <c r="F2032" s="2" t="s">
        <v>12</v>
      </c>
      <c r="G2032" t="s">
        <v>3279</v>
      </c>
      <c r="H2032" t="str">
        <f t="shared" si="62"/>
        <v>https://videplast.com.br/consulta-imobilizado?id=30003951&amp;nome=CADEIRA%20UNIVERSITARIA%20EM%20POLIPROPILENO%20PRETO</v>
      </c>
      <c r="I2032" t="e">
        <f t="shared" ca="1" si="63"/>
        <v>#NAME?</v>
      </c>
    </row>
    <row r="2033" spans="1:9" x14ac:dyDescent="0.25">
      <c r="A2033" s="2" t="s">
        <v>3390</v>
      </c>
      <c r="B2033" s="2" t="s">
        <v>10</v>
      </c>
      <c r="C2033" s="3">
        <v>45226</v>
      </c>
      <c r="D2033" t="s">
        <v>3388</v>
      </c>
      <c r="E2033" s="2" t="s">
        <v>3391</v>
      </c>
      <c r="F2033" s="2" t="s">
        <v>12</v>
      </c>
      <c r="G2033" t="s">
        <v>3279</v>
      </c>
      <c r="H2033" t="str">
        <f t="shared" si="62"/>
        <v>https://videplast.com.br/consulta-imobilizado?id=30003952&amp;nome=CADEIRA%20UNIVERSITARIA%20EM%20POLIPROPILENO%20PRETO</v>
      </c>
      <c r="I2033" t="e">
        <f t="shared" ca="1" si="63"/>
        <v>#NAME?</v>
      </c>
    </row>
    <row r="2034" spans="1:9" x14ac:dyDescent="0.25">
      <c r="A2034" s="2" t="s">
        <v>3392</v>
      </c>
      <c r="B2034" s="2" t="s">
        <v>10</v>
      </c>
      <c r="C2034" s="3">
        <v>45226</v>
      </c>
      <c r="D2034" t="s">
        <v>3388</v>
      </c>
      <c r="E2034" s="2" t="s">
        <v>3393</v>
      </c>
      <c r="F2034" s="2" t="s">
        <v>12</v>
      </c>
      <c r="G2034" t="s">
        <v>3279</v>
      </c>
      <c r="H2034" t="str">
        <f t="shared" si="62"/>
        <v>https://videplast.com.br/consulta-imobilizado?id=30003953&amp;nome=CADEIRA%20UNIVERSITARIA%20EM%20POLIPROPILENO%20PRETO</v>
      </c>
      <c r="I2034" t="e">
        <f t="shared" ca="1" si="63"/>
        <v>#NAME?</v>
      </c>
    </row>
    <row r="2035" spans="1:9" x14ac:dyDescent="0.25">
      <c r="A2035" s="2" t="s">
        <v>3394</v>
      </c>
      <c r="B2035" s="2" t="s">
        <v>10</v>
      </c>
      <c r="C2035" s="3">
        <v>45226</v>
      </c>
      <c r="D2035" t="s">
        <v>3388</v>
      </c>
      <c r="E2035" s="2" t="s">
        <v>3395</v>
      </c>
      <c r="F2035" s="2" t="s">
        <v>12</v>
      </c>
      <c r="G2035" t="s">
        <v>3279</v>
      </c>
      <c r="H2035" t="str">
        <f t="shared" si="62"/>
        <v>https://videplast.com.br/consulta-imobilizado?id=30003954&amp;nome=CADEIRA%20UNIVERSITARIA%20EM%20POLIPROPILENO%20PRETO</v>
      </c>
      <c r="I2035" t="e">
        <f t="shared" ca="1" si="63"/>
        <v>#NAME?</v>
      </c>
    </row>
    <row r="2036" spans="1:9" x14ac:dyDescent="0.25">
      <c r="A2036" s="2" t="s">
        <v>3396</v>
      </c>
      <c r="B2036" s="2" t="s">
        <v>10</v>
      </c>
      <c r="C2036" s="3">
        <v>45226</v>
      </c>
      <c r="D2036" t="s">
        <v>3388</v>
      </c>
      <c r="E2036" s="2" t="s">
        <v>3397</v>
      </c>
      <c r="F2036" s="2" t="s">
        <v>12</v>
      </c>
      <c r="G2036" t="s">
        <v>3279</v>
      </c>
      <c r="H2036" t="str">
        <f t="shared" si="62"/>
        <v>https://videplast.com.br/consulta-imobilizado?id=30003955&amp;nome=CADEIRA%20UNIVERSITARIA%20EM%20POLIPROPILENO%20PRETO</v>
      </c>
      <c r="I2036" t="e">
        <f t="shared" ca="1" si="63"/>
        <v>#NAME?</v>
      </c>
    </row>
    <row r="2037" spans="1:9" x14ac:dyDescent="0.25">
      <c r="A2037" s="2" t="s">
        <v>3398</v>
      </c>
      <c r="B2037" s="2" t="s">
        <v>10</v>
      </c>
      <c r="C2037" s="3">
        <v>45226</v>
      </c>
      <c r="D2037" t="s">
        <v>3388</v>
      </c>
      <c r="E2037" s="2" t="s">
        <v>3399</v>
      </c>
      <c r="F2037" s="2" t="s">
        <v>12</v>
      </c>
      <c r="G2037" t="s">
        <v>3279</v>
      </c>
      <c r="H2037" t="str">
        <f t="shared" si="62"/>
        <v>https://videplast.com.br/consulta-imobilizado?id=30003956&amp;nome=CADEIRA%20UNIVERSITARIA%20EM%20POLIPROPILENO%20PRETO</v>
      </c>
      <c r="I2037" t="e">
        <f t="shared" ca="1" si="63"/>
        <v>#NAME?</v>
      </c>
    </row>
    <row r="2038" spans="1:9" x14ac:dyDescent="0.25">
      <c r="A2038" s="2" t="s">
        <v>3400</v>
      </c>
      <c r="B2038" s="2" t="s">
        <v>10</v>
      </c>
      <c r="C2038" s="3">
        <v>45226</v>
      </c>
      <c r="D2038" t="s">
        <v>3388</v>
      </c>
      <c r="E2038" s="2" t="s">
        <v>3401</v>
      </c>
      <c r="F2038" s="2" t="s">
        <v>12</v>
      </c>
      <c r="G2038" t="s">
        <v>3279</v>
      </c>
      <c r="H2038" t="str">
        <f t="shared" si="62"/>
        <v>https://videplast.com.br/consulta-imobilizado?id=30003957&amp;nome=CADEIRA%20UNIVERSITARIA%20EM%20POLIPROPILENO%20PRETO</v>
      </c>
      <c r="I2038" t="e">
        <f t="shared" ca="1" si="63"/>
        <v>#NAME?</v>
      </c>
    </row>
    <row r="2039" spans="1:9" x14ac:dyDescent="0.25">
      <c r="A2039" s="2" t="s">
        <v>3402</v>
      </c>
      <c r="B2039" s="2" t="s">
        <v>10</v>
      </c>
      <c r="C2039" s="3">
        <v>45226</v>
      </c>
      <c r="D2039" t="s">
        <v>3388</v>
      </c>
      <c r="E2039" s="2" t="s">
        <v>3403</v>
      </c>
      <c r="F2039" s="2" t="s">
        <v>12</v>
      </c>
      <c r="G2039" t="s">
        <v>3279</v>
      </c>
      <c r="H2039" t="str">
        <f t="shared" si="62"/>
        <v>https://videplast.com.br/consulta-imobilizado?id=30003958&amp;nome=CADEIRA%20UNIVERSITARIA%20EM%20POLIPROPILENO%20PRETO</v>
      </c>
      <c r="I2039" t="e">
        <f t="shared" ca="1" si="63"/>
        <v>#NAME?</v>
      </c>
    </row>
    <row r="2040" spans="1:9" x14ac:dyDescent="0.25">
      <c r="A2040" s="2" t="s">
        <v>3404</v>
      </c>
      <c r="B2040" s="2" t="s">
        <v>10</v>
      </c>
      <c r="C2040" s="3">
        <v>45226</v>
      </c>
      <c r="D2040" t="s">
        <v>3388</v>
      </c>
      <c r="E2040" s="2" t="s">
        <v>3405</v>
      </c>
      <c r="F2040" s="2" t="s">
        <v>12</v>
      </c>
      <c r="G2040" t="s">
        <v>3279</v>
      </c>
      <c r="H2040" t="str">
        <f t="shared" si="62"/>
        <v>https://videplast.com.br/consulta-imobilizado?id=30003959&amp;nome=CADEIRA%20UNIVERSITARIA%20EM%20POLIPROPILENO%20PRETO</v>
      </c>
      <c r="I2040" t="e">
        <f t="shared" ca="1" si="63"/>
        <v>#NAME?</v>
      </c>
    </row>
    <row r="2041" spans="1:9" x14ac:dyDescent="0.25">
      <c r="A2041" s="2" t="s">
        <v>3406</v>
      </c>
      <c r="B2041" s="2" t="s">
        <v>10</v>
      </c>
      <c r="C2041" s="3">
        <v>45226</v>
      </c>
      <c r="D2041" t="s">
        <v>3388</v>
      </c>
      <c r="E2041" s="2" t="s">
        <v>3407</v>
      </c>
      <c r="F2041" s="2" t="s">
        <v>12</v>
      </c>
      <c r="G2041" t="s">
        <v>3279</v>
      </c>
      <c r="H2041" t="str">
        <f t="shared" si="62"/>
        <v>https://videplast.com.br/consulta-imobilizado?id=30003960&amp;nome=CADEIRA%20UNIVERSITARIA%20EM%20POLIPROPILENO%20PRETO</v>
      </c>
      <c r="I2041" t="e">
        <f t="shared" ca="1" si="63"/>
        <v>#NAME?</v>
      </c>
    </row>
    <row r="2042" spans="1:9" x14ac:dyDescent="0.25">
      <c r="A2042" s="2" t="s">
        <v>3408</v>
      </c>
      <c r="B2042" s="2" t="s">
        <v>10</v>
      </c>
      <c r="C2042" s="3">
        <v>45226</v>
      </c>
      <c r="D2042" t="s">
        <v>3388</v>
      </c>
      <c r="E2042" s="2" t="s">
        <v>3409</v>
      </c>
      <c r="F2042" s="2" t="s">
        <v>12</v>
      </c>
      <c r="G2042" t="s">
        <v>3279</v>
      </c>
      <c r="H2042" t="str">
        <f t="shared" si="62"/>
        <v>https://videplast.com.br/consulta-imobilizado?id=30003961&amp;nome=CADEIRA%20UNIVERSITARIA%20EM%20POLIPROPILENO%20PRETO</v>
      </c>
      <c r="I2042" t="e">
        <f t="shared" ca="1" si="63"/>
        <v>#NAME?</v>
      </c>
    </row>
    <row r="2043" spans="1:9" x14ac:dyDescent="0.25">
      <c r="A2043" s="2" t="s">
        <v>3410</v>
      </c>
      <c r="B2043" s="2" t="s">
        <v>10</v>
      </c>
      <c r="C2043" s="3">
        <v>45226</v>
      </c>
      <c r="D2043" t="s">
        <v>3388</v>
      </c>
      <c r="E2043" s="2" t="s">
        <v>3411</v>
      </c>
      <c r="F2043" s="2" t="s">
        <v>12</v>
      </c>
      <c r="G2043" t="s">
        <v>3279</v>
      </c>
      <c r="H2043" t="str">
        <f t="shared" si="62"/>
        <v>https://videplast.com.br/consulta-imobilizado?id=30003962&amp;nome=CADEIRA%20UNIVERSITARIA%20EM%20POLIPROPILENO%20PRETO</v>
      </c>
      <c r="I2043" t="e">
        <f t="shared" ca="1" si="63"/>
        <v>#NAME?</v>
      </c>
    </row>
    <row r="2044" spans="1:9" x14ac:dyDescent="0.25">
      <c r="A2044" s="2" t="s">
        <v>3412</v>
      </c>
      <c r="B2044" s="2" t="s">
        <v>10</v>
      </c>
      <c r="C2044" s="3">
        <v>45226</v>
      </c>
      <c r="D2044" t="s">
        <v>3388</v>
      </c>
      <c r="E2044" s="2" t="s">
        <v>3413</v>
      </c>
      <c r="F2044" s="2" t="s">
        <v>12</v>
      </c>
      <c r="G2044" t="s">
        <v>3279</v>
      </c>
      <c r="H2044" t="str">
        <f t="shared" si="62"/>
        <v>https://videplast.com.br/consulta-imobilizado?id=30003963&amp;nome=CADEIRA%20UNIVERSITARIA%20EM%20POLIPROPILENO%20PRETO</v>
      </c>
      <c r="I2044" t="e">
        <f t="shared" ca="1" si="63"/>
        <v>#NAME?</v>
      </c>
    </row>
    <row r="2045" spans="1:9" x14ac:dyDescent="0.25">
      <c r="A2045" s="2" t="s">
        <v>3414</v>
      </c>
      <c r="B2045" s="2" t="s">
        <v>10</v>
      </c>
      <c r="C2045" s="3">
        <v>45226</v>
      </c>
      <c r="D2045" t="s">
        <v>3388</v>
      </c>
      <c r="E2045" s="2" t="s">
        <v>3415</v>
      </c>
      <c r="F2045" s="2" t="s">
        <v>12</v>
      </c>
      <c r="G2045" t="s">
        <v>3279</v>
      </c>
      <c r="H2045" t="str">
        <f t="shared" si="62"/>
        <v>https://videplast.com.br/consulta-imobilizado?id=30003964&amp;nome=CADEIRA%20UNIVERSITARIA%20EM%20POLIPROPILENO%20PRETO</v>
      </c>
      <c r="I2045" t="e">
        <f t="shared" ca="1" si="63"/>
        <v>#NAME?</v>
      </c>
    </row>
    <row r="2046" spans="1:9" x14ac:dyDescent="0.25">
      <c r="A2046" s="2" t="s">
        <v>3416</v>
      </c>
      <c r="B2046" s="2" t="s">
        <v>10</v>
      </c>
      <c r="C2046" s="3">
        <v>45226</v>
      </c>
      <c r="D2046" t="s">
        <v>3388</v>
      </c>
      <c r="E2046" s="2" t="s">
        <v>3417</v>
      </c>
      <c r="F2046" s="2" t="s">
        <v>12</v>
      </c>
      <c r="G2046" t="s">
        <v>3279</v>
      </c>
      <c r="H2046" t="str">
        <f t="shared" si="62"/>
        <v>https://videplast.com.br/consulta-imobilizado?id=30003965&amp;nome=CADEIRA%20UNIVERSITARIA%20EM%20POLIPROPILENO%20PRETO</v>
      </c>
      <c r="I2046" t="e">
        <f t="shared" ca="1" si="63"/>
        <v>#NAME?</v>
      </c>
    </row>
    <row r="2047" spans="1:9" x14ac:dyDescent="0.25">
      <c r="A2047" s="2" t="s">
        <v>3418</v>
      </c>
      <c r="B2047" s="2" t="s">
        <v>10</v>
      </c>
      <c r="C2047" s="3">
        <v>45226</v>
      </c>
      <c r="D2047" t="s">
        <v>3388</v>
      </c>
      <c r="E2047" s="2" t="s">
        <v>3419</v>
      </c>
      <c r="F2047" s="2" t="s">
        <v>12</v>
      </c>
      <c r="G2047" t="s">
        <v>3279</v>
      </c>
      <c r="H2047" t="str">
        <f t="shared" si="62"/>
        <v>https://videplast.com.br/consulta-imobilizado?id=30003966&amp;nome=CADEIRA%20UNIVERSITARIA%20EM%20POLIPROPILENO%20PRETO</v>
      </c>
      <c r="I2047" t="e">
        <f t="shared" ca="1" si="63"/>
        <v>#NAME?</v>
      </c>
    </row>
    <row r="2048" spans="1:9" x14ac:dyDescent="0.25">
      <c r="A2048" s="2" t="s">
        <v>3420</v>
      </c>
      <c r="B2048" s="2" t="s">
        <v>10</v>
      </c>
      <c r="C2048" s="3">
        <v>45226</v>
      </c>
      <c r="D2048" t="s">
        <v>3388</v>
      </c>
      <c r="E2048" s="2" t="s">
        <v>3421</v>
      </c>
      <c r="F2048" s="2" t="s">
        <v>12</v>
      </c>
      <c r="G2048" t="s">
        <v>3279</v>
      </c>
      <c r="H2048" t="str">
        <f t="shared" si="62"/>
        <v>https://videplast.com.br/consulta-imobilizado?id=30003967&amp;nome=CADEIRA%20UNIVERSITARIA%20EM%20POLIPROPILENO%20PRETO</v>
      </c>
      <c r="I2048" t="e">
        <f t="shared" ca="1" si="63"/>
        <v>#NAME?</v>
      </c>
    </row>
    <row r="2049" spans="1:9" x14ac:dyDescent="0.25">
      <c r="A2049" s="2" t="s">
        <v>3422</v>
      </c>
      <c r="B2049" s="2" t="s">
        <v>10</v>
      </c>
      <c r="C2049" s="3">
        <v>45226</v>
      </c>
      <c r="D2049" t="s">
        <v>3388</v>
      </c>
      <c r="E2049" s="2" t="s">
        <v>3423</v>
      </c>
      <c r="F2049" s="2" t="s">
        <v>12</v>
      </c>
      <c r="G2049" t="s">
        <v>3279</v>
      </c>
      <c r="H2049" t="str">
        <f t="shared" si="62"/>
        <v>https://videplast.com.br/consulta-imobilizado?id=30003968&amp;nome=CADEIRA%20UNIVERSITARIA%20EM%20POLIPROPILENO%20PRETO</v>
      </c>
      <c r="I2049" t="e">
        <f t="shared" ca="1" si="63"/>
        <v>#NAME?</v>
      </c>
    </row>
    <row r="2050" spans="1:9" x14ac:dyDescent="0.25">
      <c r="A2050" s="2" t="s">
        <v>3424</v>
      </c>
      <c r="B2050" s="2" t="s">
        <v>10</v>
      </c>
      <c r="C2050" s="3">
        <v>45226</v>
      </c>
      <c r="D2050" t="s">
        <v>3388</v>
      </c>
      <c r="E2050" s="2" t="s">
        <v>3425</v>
      </c>
      <c r="F2050" s="2" t="s">
        <v>12</v>
      </c>
      <c r="G2050" t="s">
        <v>3279</v>
      </c>
      <c r="H2050" t="str">
        <f t="shared" ref="H2050:H2113" si="64" xml:space="preserve"> "https://videplast.com.br/consulta-imobilizado?id=" &amp; A2050 &amp; "&amp;nome=" &amp; SUBSTITUTE(D2050, " ", "%20")</f>
        <v>https://videplast.com.br/consulta-imobilizado?id=30003969&amp;nome=CADEIRA%20UNIVERSITARIA%20EM%20POLIPROPILENO%20PRETO</v>
      </c>
      <c r="I2050" t="e">
        <f t="shared" ref="I2050:I2113" ca="1" si="65">_xlfn.IMAGE("https://chart.googleapis.com/chart?chs=150x150&amp;cht=qr&amp;chl=" &amp; H2050)</f>
        <v>#NAME?</v>
      </c>
    </row>
    <row r="2051" spans="1:9" x14ac:dyDescent="0.25">
      <c r="A2051" s="2" t="s">
        <v>3426</v>
      </c>
      <c r="B2051" s="2" t="s">
        <v>10</v>
      </c>
      <c r="C2051" s="3">
        <v>45226</v>
      </c>
      <c r="D2051" t="s">
        <v>3388</v>
      </c>
      <c r="E2051" s="2" t="s">
        <v>3427</v>
      </c>
      <c r="F2051" s="2" t="s">
        <v>12</v>
      </c>
      <c r="G2051" t="s">
        <v>3279</v>
      </c>
      <c r="H2051" t="str">
        <f t="shared" si="64"/>
        <v>https://videplast.com.br/consulta-imobilizado?id=30003970&amp;nome=CADEIRA%20UNIVERSITARIA%20EM%20POLIPROPILENO%20PRETO</v>
      </c>
      <c r="I2051" t="e">
        <f t="shared" ca="1" si="65"/>
        <v>#NAME?</v>
      </c>
    </row>
    <row r="2052" spans="1:9" x14ac:dyDescent="0.25">
      <c r="A2052" s="2" t="s">
        <v>3428</v>
      </c>
      <c r="B2052" s="2" t="s">
        <v>10</v>
      </c>
      <c r="C2052" s="3">
        <v>45371</v>
      </c>
      <c r="D2052" t="s">
        <v>2210</v>
      </c>
      <c r="E2052" s="2" t="s">
        <v>3429</v>
      </c>
      <c r="F2052" s="2" t="s">
        <v>3430</v>
      </c>
      <c r="G2052" t="s">
        <v>3279</v>
      </c>
      <c r="H2052" t="str">
        <f t="shared" si="64"/>
        <v>https://videplast.com.br/consulta-imobilizado?id=30004012&amp;nome=AR%20CONDICIONADO%20EXT/INT%20FRIO%20FUJITSU%2018000%20BTU</v>
      </c>
      <c r="I2052" t="e">
        <f t="shared" ca="1" si="65"/>
        <v>#NAME?</v>
      </c>
    </row>
    <row r="2053" spans="1:9" x14ac:dyDescent="0.25">
      <c r="A2053" s="2" t="s">
        <v>3431</v>
      </c>
      <c r="B2053" s="2" t="s">
        <v>21</v>
      </c>
      <c r="C2053" s="3">
        <v>41759</v>
      </c>
      <c r="D2053" t="s">
        <v>3432</v>
      </c>
      <c r="E2053" s="2" t="s">
        <v>12</v>
      </c>
      <c r="F2053" s="2" t="s">
        <v>12</v>
      </c>
      <c r="G2053" t="s">
        <v>3279</v>
      </c>
      <c r="H2053" t="str">
        <f t="shared" si="64"/>
        <v>https://videplast.com.br/consulta-imobilizado?id=32000056&amp;nome=CAMERA%20INTELBRAS%20INFRA%20VM%20350IR%20-%2050MT%206MM%20CZ</v>
      </c>
      <c r="I2053" t="e">
        <f t="shared" ca="1" si="65"/>
        <v>#NAME?</v>
      </c>
    </row>
    <row r="2054" spans="1:9" x14ac:dyDescent="0.25">
      <c r="A2054" s="2" t="s">
        <v>3433</v>
      </c>
      <c r="B2054" s="2" t="s">
        <v>10</v>
      </c>
      <c r="C2054" s="3">
        <v>40908</v>
      </c>
      <c r="D2054" t="s">
        <v>3434</v>
      </c>
      <c r="E2054" s="2" t="s">
        <v>12</v>
      </c>
      <c r="F2054" s="2" t="s">
        <v>3435</v>
      </c>
      <c r="G2054" t="s">
        <v>3279</v>
      </c>
      <c r="H2054" t="str">
        <f t="shared" si="64"/>
        <v>https://videplast.com.br/consulta-imobilizado?id=32000073&amp;nome=MONITOR%2018.5%20LED%20LG%20WIDE%20E1941S</v>
      </c>
      <c r="I2054" t="e">
        <f t="shared" ca="1" si="65"/>
        <v>#NAME?</v>
      </c>
    </row>
    <row r="2055" spans="1:9" x14ac:dyDescent="0.25">
      <c r="A2055" s="2" t="s">
        <v>3436</v>
      </c>
      <c r="B2055" s="2" t="s">
        <v>10</v>
      </c>
      <c r="C2055" s="3">
        <v>38519</v>
      </c>
      <c r="D2055" t="s">
        <v>3437</v>
      </c>
      <c r="E2055" s="2" t="s">
        <v>12</v>
      </c>
      <c r="F2055" s="2" t="s">
        <v>12</v>
      </c>
      <c r="G2055" t="s">
        <v>3279</v>
      </c>
      <c r="H2055" s="5" t="str">
        <f t="shared" si="64"/>
        <v>https://videplast.com.br/consulta-imobilizado?id=32000137&amp;nome=COMPUTADOR%20NEO%20PC%20CELERON</v>
      </c>
      <c r="I2055" t="e">
        <f t="shared" ca="1" si="65"/>
        <v>#NAME?</v>
      </c>
    </row>
    <row r="2056" spans="1:9" x14ac:dyDescent="0.25">
      <c r="A2056" s="2" t="s">
        <v>3438</v>
      </c>
      <c r="B2056" s="2" t="s">
        <v>10</v>
      </c>
      <c r="C2056" s="3">
        <v>39154</v>
      </c>
      <c r="D2056" t="s">
        <v>3439</v>
      </c>
      <c r="E2056" s="2" t="s">
        <v>12</v>
      </c>
      <c r="F2056" s="2" t="s">
        <v>12</v>
      </c>
      <c r="G2056" t="s">
        <v>3279</v>
      </c>
      <c r="H2056" t="str">
        <f t="shared" si="64"/>
        <v>https://videplast.com.br/consulta-imobilizado?id=32000168&amp;nome=NOTEBOOK%20ACER%203050</v>
      </c>
      <c r="I2056" t="e">
        <f t="shared" ca="1" si="65"/>
        <v>#NAME?</v>
      </c>
    </row>
    <row r="2057" spans="1:9" x14ac:dyDescent="0.25">
      <c r="A2057" s="2" t="s">
        <v>3440</v>
      </c>
      <c r="B2057" s="2" t="s">
        <v>10</v>
      </c>
      <c r="C2057" s="3">
        <v>39717</v>
      </c>
      <c r="D2057" t="s">
        <v>3441</v>
      </c>
      <c r="E2057" s="2" t="s">
        <v>12</v>
      </c>
      <c r="F2057" s="2" t="s">
        <v>12</v>
      </c>
      <c r="G2057" t="s">
        <v>3279</v>
      </c>
      <c r="H2057" t="str">
        <f t="shared" si="64"/>
        <v>https://videplast.com.br/consulta-imobilizado?id=32000188&amp;nome=SERVIDOR%20IBM%20X%20SERIES%20X%203200</v>
      </c>
      <c r="I2057" t="e">
        <f t="shared" ca="1" si="65"/>
        <v>#NAME?</v>
      </c>
    </row>
    <row r="2058" spans="1:9" x14ac:dyDescent="0.25">
      <c r="A2058" s="2" t="s">
        <v>3442</v>
      </c>
      <c r="B2058" s="2" t="s">
        <v>10</v>
      </c>
      <c r="C2058" s="3">
        <v>42803</v>
      </c>
      <c r="D2058" t="s">
        <v>3443</v>
      </c>
      <c r="E2058" s="2" t="s">
        <v>12</v>
      </c>
      <c r="F2058" s="2" t="s">
        <v>12</v>
      </c>
      <c r="G2058" t="s">
        <v>3279</v>
      </c>
      <c r="H2058" t="str">
        <f t="shared" si="64"/>
        <v>https://videplast.com.br/consulta-imobilizado?id=32000990&amp;nome=NOTEBOOK%20DELL%2014,%20INTEL%20CORE%20I3%204GB%20MEMORIA%20HD%20500</v>
      </c>
      <c r="I2058" t="e">
        <f t="shared" ca="1" si="65"/>
        <v>#NAME?</v>
      </c>
    </row>
    <row r="2059" spans="1:9" x14ac:dyDescent="0.25">
      <c r="A2059" s="2" t="s">
        <v>3444</v>
      </c>
      <c r="B2059" s="2" t="s">
        <v>10</v>
      </c>
      <c r="C2059" s="3">
        <v>43096</v>
      </c>
      <c r="D2059" t="s">
        <v>3445</v>
      </c>
      <c r="E2059" s="2" t="s">
        <v>12</v>
      </c>
      <c r="F2059" s="2" t="s">
        <v>12</v>
      </c>
      <c r="G2059" t="s">
        <v>3279</v>
      </c>
      <c r="H2059" s="5" t="str">
        <f t="shared" si="64"/>
        <v>https://videplast.com.br/consulta-imobilizado?id=32001054&amp;nome=COMPUTADOR%20XPS%208920%20INTEL%20CORE%20I7%20,%2016GB%20WIN%2010</v>
      </c>
      <c r="I2059" t="e">
        <f t="shared" ca="1" si="65"/>
        <v>#NAME?</v>
      </c>
    </row>
    <row r="2060" spans="1:9" x14ac:dyDescent="0.25">
      <c r="A2060" s="2" t="s">
        <v>3446</v>
      </c>
      <c r="B2060" s="2" t="s">
        <v>10</v>
      </c>
      <c r="C2060" s="3">
        <v>43704</v>
      </c>
      <c r="D2060" t="s">
        <v>2294</v>
      </c>
      <c r="E2060" s="2" t="s">
        <v>12</v>
      </c>
      <c r="F2060" s="2" t="s">
        <v>3447</v>
      </c>
      <c r="G2060" t="s">
        <v>3279</v>
      </c>
      <c r="H2060" s="5" t="str">
        <f t="shared" si="64"/>
        <v>https://videplast.com.br/consulta-imobilizado?id=32001393&amp;nome=COMPUTADOR%20DELL%20VOSTRO%20I3%204GB%20HD%201TB%20W10P</v>
      </c>
      <c r="I2060" t="e">
        <f t="shared" ca="1" si="65"/>
        <v>#NAME?</v>
      </c>
    </row>
    <row r="2061" spans="1:9" x14ac:dyDescent="0.25">
      <c r="A2061" s="2" t="s">
        <v>3448</v>
      </c>
      <c r="B2061" s="2" t="s">
        <v>10</v>
      </c>
      <c r="C2061" s="3">
        <v>43704</v>
      </c>
      <c r="D2061" t="s">
        <v>515</v>
      </c>
      <c r="E2061" s="2" t="s">
        <v>12</v>
      </c>
      <c r="F2061" s="2" t="s">
        <v>3449</v>
      </c>
      <c r="G2061" t="s">
        <v>3279</v>
      </c>
      <c r="H2061" t="str">
        <f t="shared" si="64"/>
        <v>https://videplast.com.br/consulta-imobilizado?id=32001394&amp;nome=MONITOR%20LED%2018,5"%20DELL%20E1916H</v>
      </c>
      <c r="I2061" t="e">
        <f t="shared" ca="1" si="65"/>
        <v>#NAME?</v>
      </c>
    </row>
    <row r="2062" spans="1:9" x14ac:dyDescent="0.25">
      <c r="A2062" s="2" t="s">
        <v>3450</v>
      </c>
      <c r="B2062" s="2" t="s">
        <v>10</v>
      </c>
      <c r="C2062" s="3">
        <v>43865</v>
      </c>
      <c r="D2062" t="s">
        <v>3451</v>
      </c>
      <c r="E2062" s="2" t="s">
        <v>12</v>
      </c>
      <c r="F2062" s="2" t="s">
        <v>3452</v>
      </c>
      <c r="G2062" t="s">
        <v>3279</v>
      </c>
      <c r="H2062" t="str">
        <f t="shared" si="64"/>
        <v>https://videplast.com.br/consulta-imobilizado?id=32001659&amp;nome=SWITCH%20ARUBA%202540%2048G%20(JL357A)%20POE%204SFP</v>
      </c>
      <c r="I2062" t="e">
        <f t="shared" ca="1" si="65"/>
        <v>#NAME?</v>
      </c>
    </row>
    <row r="2063" spans="1:9" x14ac:dyDescent="0.25">
      <c r="A2063" s="2" t="s">
        <v>3453</v>
      </c>
      <c r="B2063" s="2" t="s">
        <v>10</v>
      </c>
      <c r="C2063" s="3">
        <v>44373</v>
      </c>
      <c r="D2063" t="s">
        <v>2316</v>
      </c>
      <c r="E2063" s="2" t="s">
        <v>12</v>
      </c>
      <c r="F2063" s="2" t="s">
        <v>3454</v>
      </c>
      <c r="G2063" t="s">
        <v>3279</v>
      </c>
      <c r="H2063" s="5" t="str">
        <f t="shared" si="64"/>
        <v>https://videplast.com.br/consulta-imobilizado?id=32002191&amp;nome=COMPUTADOR%20DELL%20OPTIPLEX/VOSTRO%20I3%204GB%20SSD256%2010P</v>
      </c>
      <c r="I2063" t="e">
        <f t="shared" ca="1" si="65"/>
        <v>#NAME?</v>
      </c>
    </row>
    <row r="2064" spans="1:9" x14ac:dyDescent="0.25">
      <c r="A2064" s="2" t="s">
        <v>3455</v>
      </c>
      <c r="B2064" s="2" t="s">
        <v>10</v>
      </c>
      <c r="C2064" s="3">
        <v>44376</v>
      </c>
      <c r="D2064" t="s">
        <v>3456</v>
      </c>
      <c r="E2064" s="2" t="s">
        <v>12</v>
      </c>
      <c r="F2064" s="2" t="s">
        <v>3457</v>
      </c>
      <c r="G2064" t="s">
        <v>3279</v>
      </c>
      <c r="H2064" t="str">
        <f t="shared" si="64"/>
        <v>https://videplast.com.br/consulta-imobilizado?id=32002192&amp;nome=MONITOR%20LED%2018,5"%20DELL%20E1920H</v>
      </c>
      <c r="I2064" t="e">
        <f t="shared" ca="1" si="65"/>
        <v>#NAME?</v>
      </c>
    </row>
    <row r="2065" spans="1:9" x14ac:dyDescent="0.25">
      <c r="A2065" s="2" t="s">
        <v>3458</v>
      </c>
      <c r="B2065" s="2" t="s">
        <v>10</v>
      </c>
      <c r="C2065" s="3">
        <v>44637</v>
      </c>
      <c r="D2065" t="s">
        <v>3459</v>
      </c>
      <c r="E2065" s="2" t="s">
        <v>3460</v>
      </c>
      <c r="F2065" s="2" t="s">
        <v>3461</v>
      </c>
      <c r="G2065" t="s">
        <v>3279</v>
      </c>
      <c r="H2065" t="str">
        <f t="shared" si="64"/>
        <v>https://videplast.com.br/consulta-imobilizado?id=32002339&amp;nome=NOTEBOOK%20DELL%2014%20i3%204GB%20HD%20SSD256GB%20W10P%20HDMI</v>
      </c>
      <c r="I2065" t="e">
        <f t="shared" ca="1" si="65"/>
        <v>#NAME?</v>
      </c>
    </row>
    <row r="2066" spans="1:9" x14ac:dyDescent="0.25">
      <c r="A2066" s="2" t="s">
        <v>3462</v>
      </c>
      <c r="B2066" s="2" t="s">
        <v>10</v>
      </c>
      <c r="C2066" s="3">
        <v>44700</v>
      </c>
      <c r="D2066" t="s">
        <v>535</v>
      </c>
      <c r="E2066" s="2" t="s">
        <v>3463</v>
      </c>
      <c r="F2066" s="2" t="s">
        <v>12</v>
      </c>
      <c r="G2066" t="s">
        <v>3279</v>
      </c>
      <c r="H2066" s="5" t="str">
        <f t="shared" si="64"/>
        <v>https://videplast.com.br/consulta-imobilizado?id=32002367&amp;nome=COMPUTADOR%20DELL%20OPTIPLEX/VASTRO%20I3%204GB%20SSD256%20W10P</v>
      </c>
      <c r="I2066" t="e">
        <f t="shared" ca="1" si="65"/>
        <v>#NAME?</v>
      </c>
    </row>
    <row r="2067" spans="1:9" x14ac:dyDescent="0.25">
      <c r="A2067" s="2" t="s">
        <v>3464</v>
      </c>
      <c r="B2067" s="2" t="s">
        <v>10</v>
      </c>
      <c r="C2067" s="3">
        <v>44700</v>
      </c>
      <c r="D2067" t="s">
        <v>535</v>
      </c>
      <c r="E2067" s="2" t="s">
        <v>3465</v>
      </c>
      <c r="F2067" s="2" t="s">
        <v>12</v>
      </c>
      <c r="G2067" t="s">
        <v>3279</v>
      </c>
      <c r="H2067" s="5" t="str">
        <f t="shared" si="64"/>
        <v>https://videplast.com.br/consulta-imobilizado?id=32002368&amp;nome=COMPUTADOR%20DELL%20OPTIPLEX/VASTRO%20I3%204GB%20SSD256%20W10P</v>
      </c>
      <c r="I2067" t="e">
        <f t="shared" ca="1" si="65"/>
        <v>#NAME?</v>
      </c>
    </row>
    <row r="2068" spans="1:9" x14ac:dyDescent="0.25">
      <c r="A2068" s="2" t="s">
        <v>3466</v>
      </c>
      <c r="B2068" s="2" t="s">
        <v>10</v>
      </c>
      <c r="C2068" s="3">
        <v>44700</v>
      </c>
      <c r="D2068" t="s">
        <v>535</v>
      </c>
      <c r="E2068" s="2" t="s">
        <v>3467</v>
      </c>
      <c r="F2068" s="2" t="s">
        <v>3468</v>
      </c>
      <c r="G2068" t="s">
        <v>3279</v>
      </c>
      <c r="H2068" s="5" t="str">
        <f t="shared" si="64"/>
        <v>https://videplast.com.br/consulta-imobilizado?id=32002369&amp;nome=COMPUTADOR%20DELL%20OPTIPLEX/VASTRO%20I3%204GB%20SSD256%20W10P</v>
      </c>
      <c r="I2068" t="e">
        <f t="shared" ca="1" si="65"/>
        <v>#NAME?</v>
      </c>
    </row>
    <row r="2069" spans="1:9" x14ac:dyDescent="0.25">
      <c r="A2069" s="2" t="s">
        <v>3469</v>
      </c>
      <c r="B2069" s="2" t="s">
        <v>10</v>
      </c>
      <c r="C2069" s="3">
        <v>44859</v>
      </c>
      <c r="D2069" t="s">
        <v>557</v>
      </c>
      <c r="E2069" s="2" t="s">
        <v>3470</v>
      </c>
      <c r="F2069" s="2" t="s">
        <v>12</v>
      </c>
      <c r="G2069" t="s">
        <v>3279</v>
      </c>
      <c r="H2069" t="str">
        <f t="shared" si="64"/>
        <v>https://videplast.com.br/consulta-imobilizado?id=32002545&amp;nome=NOBREAK%20APC%20SRV%201KVA%20RACK%20230V</v>
      </c>
      <c r="I2069" t="e">
        <f t="shared" ca="1" si="65"/>
        <v>#NAME?</v>
      </c>
    </row>
    <row r="2070" spans="1:9" x14ac:dyDescent="0.25">
      <c r="A2070" s="2" t="s">
        <v>3471</v>
      </c>
      <c r="B2070" s="2" t="s">
        <v>10</v>
      </c>
      <c r="C2070" s="3">
        <v>45075</v>
      </c>
      <c r="D2070" t="s">
        <v>579</v>
      </c>
      <c r="E2070" s="2" t="s">
        <v>12</v>
      </c>
      <c r="F2070" s="2" t="s">
        <v>12</v>
      </c>
      <c r="G2070" t="s">
        <v>3279</v>
      </c>
      <c r="H2070" t="str">
        <f t="shared" si="64"/>
        <v>https://videplast.com.br/consulta-imobilizado?id=32002721&amp;nome=SUPORTE%20TECNICO%20EM%20INFORMATICA</v>
      </c>
      <c r="I2070" t="e">
        <f t="shared" ca="1" si="65"/>
        <v>#NAME?</v>
      </c>
    </row>
    <row r="2071" spans="1:9" x14ac:dyDescent="0.25">
      <c r="A2071" s="2" t="s">
        <v>3472</v>
      </c>
      <c r="B2071" s="2" t="s">
        <v>10</v>
      </c>
      <c r="C2071" s="3">
        <v>45084</v>
      </c>
      <c r="D2071" t="s">
        <v>3473</v>
      </c>
      <c r="E2071" s="2" t="s">
        <v>12</v>
      </c>
      <c r="F2071" s="2" t="s">
        <v>3474</v>
      </c>
      <c r="G2071" t="s">
        <v>3279</v>
      </c>
      <c r="H2071" t="str">
        <f t="shared" si="64"/>
        <v>https://videplast.com.br/consulta-imobilizado?id=32002737&amp;nome=NOTEBOOK%20DELL%20INSPIRION%2015%20I5%2016GB%20SSD512GB</v>
      </c>
      <c r="I2071" t="e">
        <f t="shared" ca="1" si="65"/>
        <v>#NAME?</v>
      </c>
    </row>
    <row r="2072" spans="1:9" x14ac:dyDescent="0.25">
      <c r="A2072" s="2" t="s">
        <v>3475</v>
      </c>
      <c r="B2072" s="2" t="s">
        <v>10</v>
      </c>
      <c r="C2072" s="3">
        <v>45174</v>
      </c>
      <c r="D2072" t="s">
        <v>3476</v>
      </c>
      <c r="E2072" s="2" t="s">
        <v>12</v>
      </c>
      <c r="F2072" s="2" t="s">
        <v>3477</v>
      </c>
      <c r="G2072" t="s">
        <v>3279</v>
      </c>
      <c r="H2072" t="str">
        <f t="shared" si="64"/>
        <v>https://videplast.com.br/consulta-imobilizado?id=32002815&amp;nome=MONITOR%2021.5%20LED%20LG%20E2241S%20WIDE%20FULL%20HD</v>
      </c>
      <c r="I2072" t="e">
        <f t="shared" ca="1" si="65"/>
        <v>#NAME?</v>
      </c>
    </row>
    <row r="2073" spans="1:9" x14ac:dyDescent="0.25">
      <c r="A2073" s="2" t="s">
        <v>3478</v>
      </c>
      <c r="B2073" s="2" t="s">
        <v>10</v>
      </c>
      <c r="C2073" s="3">
        <v>45391</v>
      </c>
      <c r="D2073" t="s">
        <v>3479</v>
      </c>
      <c r="E2073" s="2" t="s">
        <v>12</v>
      </c>
      <c r="F2073" s="2" t="s">
        <v>3480</v>
      </c>
      <c r="G2073" t="s">
        <v>3279</v>
      </c>
      <c r="H2073" t="str">
        <f t="shared" si="64"/>
        <v>https://videplast.com.br/consulta-imobilizado?id=32002909&amp;nome=CATRACA%20FIT%204%20TOPDATA%20COM%20LEITOR%20DE%20BIOMETRIA%20LFD</v>
      </c>
      <c r="I2073" t="e">
        <f t="shared" ca="1" si="65"/>
        <v>#NAME?</v>
      </c>
    </row>
    <row r="2074" spans="1:9" x14ac:dyDescent="0.25">
      <c r="A2074" s="2" t="s">
        <v>3481</v>
      </c>
      <c r="B2074" s="2" t="s">
        <v>10</v>
      </c>
      <c r="C2074" s="3">
        <v>45391</v>
      </c>
      <c r="D2074" t="s">
        <v>3482</v>
      </c>
      <c r="E2074" s="2" t="s">
        <v>12</v>
      </c>
      <c r="F2074" s="2" t="s">
        <v>12</v>
      </c>
      <c r="G2074" t="s">
        <v>3279</v>
      </c>
      <c r="H2074" t="str">
        <f t="shared" si="64"/>
        <v>https://videplast.com.br/consulta-imobilizado?id=32002963&amp;nome=TV%20SMART%2065"%20LG%20UHD%204K%20UR8750</v>
      </c>
      <c r="I2074" t="e">
        <f t="shared" ca="1" si="65"/>
        <v>#NAME?</v>
      </c>
    </row>
    <row r="2075" spans="1:9" x14ac:dyDescent="0.25">
      <c r="A2075" s="2" t="s">
        <v>3483</v>
      </c>
      <c r="B2075" s="2" t="s">
        <v>10</v>
      </c>
      <c r="C2075" s="3">
        <v>45426</v>
      </c>
      <c r="D2075" t="s">
        <v>577</v>
      </c>
      <c r="E2075" s="2" t="s">
        <v>12</v>
      </c>
      <c r="F2075" s="2" t="s">
        <v>3484</v>
      </c>
      <c r="G2075" t="s">
        <v>3279</v>
      </c>
      <c r="H2075" t="str">
        <f t="shared" si="64"/>
        <v>https://videplast.com.br/consulta-imobilizado?id=32002979&amp;nome=NOTEBOOK%20DELL%2014%20i3%204GB%20HD%20SSD256GB%20WINDOWS%2010%20PRO</v>
      </c>
      <c r="I2075" t="e">
        <f t="shared" ca="1" si="65"/>
        <v>#NAME?</v>
      </c>
    </row>
    <row r="2076" spans="1:9" x14ac:dyDescent="0.25">
      <c r="A2076" s="2" t="s">
        <v>3485</v>
      </c>
      <c r="B2076" s="2" t="s">
        <v>10</v>
      </c>
      <c r="C2076" s="3">
        <v>45506</v>
      </c>
      <c r="D2076" t="s">
        <v>3486</v>
      </c>
      <c r="E2076" s="2" t="s">
        <v>12</v>
      </c>
      <c r="F2076" s="2" t="s">
        <v>12</v>
      </c>
      <c r="G2076" t="s">
        <v>3279</v>
      </c>
      <c r="H2076" t="str">
        <f t="shared" si="64"/>
        <v>https://videplast.com.br/consulta-imobilizado?id=32003064&amp;nome=MONITOR%2015"%20LCD%20LG</v>
      </c>
      <c r="I2076" t="e">
        <f t="shared" ca="1" si="65"/>
        <v>#NAME?</v>
      </c>
    </row>
    <row r="2077" spans="1:9" x14ac:dyDescent="0.25">
      <c r="A2077" s="2" t="s">
        <v>3487</v>
      </c>
      <c r="B2077" s="2" t="s">
        <v>10</v>
      </c>
      <c r="C2077" s="3">
        <v>45623</v>
      </c>
      <c r="D2077" t="s">
        <v>550</v>
      </c>
      <c r="E2077" s="2" t="s">
        <v>12</v>
      </c>
      <c r="F2077" s="2" t="s">
        <v>3488</v>
      </c>
      <c r="G2077" t="s">
        <v>3279</v>
      </c>
      <c r="H2077" t="str">
        <f t="shared" si="64"/>
        <v>https://videplast.com.br/consulta-imobilizado?id=32003139&amp;nome=MONITOR%20DELL%2021.5"%20P2219H</v>
      </c>
      <c r="I2077" t="e">
        <f t="shared" ca="1" si="65"/>
        <v>#NAME?</v>
      </c>
    </row>
    <row r="2078" spans="1:9" x14ac:dyDescent="0.25">
      <c r="A2078" s="2" t="s">
        <v>3489</v>
      </c>
      <c r="B2078" s="2" t="s">
        <v>10</v>
      </c>
      <c r="C2078" s="3">
        <v>40847</v>
      </c>
      <c r="D2078" t="s">
        <v>3490</v>
      </c>
      <c r="E2078" s="2" t="s">
        <v>12</v>
      </c>
      <c r="F2078" s="2" t="s">
        <v>12</v>
      </c>
      <c r="G2078" t="s">
        <v>3491</v>
      </c>
      <c r="H2078" t="str">
        <f t="shared" si="64"/>
        <v>https://videplast.com.br/consulta-imobilizado?id=11000012&amp;nome=AMPLIACAO%20DA%20REDE%20DE%20HIDRANTE</v>
      </c>
      <c r="I2078" t="e">
        <f t="shared" ca="1" si="65"/>
        <v>#NAME?</v>
      </c>
    </row>
    <row r="2079" spans="1:9" x14ac:dyDescent="0.25">
      <c r="A2079" s="2" t="s">
        <v>3489</v>
      </c>
      <c r="B2079" s="2" t="s">
        <v>26</v>
      </c>
      <c r="C2079" s="3">
        <v>40847</v>
      </c>
      <c r="D2079" t="s">
        <v>3492</v>
      </c>
      <c r="E2079" s="2" t="s">
        <v>12</v>
      </c>
      <c r="F2079" s="2" t="s">
        <v>12</v>
      </c>
      <c r="G2079" t="s">
        <v>3491</v>
      </c>
      <c r="H2079" t="str">
        <f t="shared" si="64"/>
        <v>https://videplast.com.br/consulta-imobilizado?id=11000012&amp;nome=ADAPTADOR%20STORZ%202.1/2X2.1/2%20INCENDIO</v>
      </c>
      <c r="I2079" t="e">
        <f t="shared" ca="1" si="65"/>
        <v>#NAME?</v>
      </c>
    </row>
    <row r="2080" spans="1:9" x14ac:dyDescent="0.25">
      <c r="A2080" s="2" t="s">
        <v>3489</v>
      </c>
      <c r="B2080" s="2" t="s">
        <v>21</v>
      </c>
      <c r="C2080" s="3">
        <v>40847</v>
      </c>
      <c r="D2080" t="s">
        <v>3493</v>
      </c>
      <c r="E2080" s="2" t="s">
        <v>12</v>
      </c>
      <c r="F2080" s="2" t="s">
        <v>12</v>
      </c>
      <c r="G2080" t="s">
        <v>3491</v>
      </c>
      <c r="H2080" t="str">
        <f t="shared" si="64"/>
        <v>https://videplast.com.br/consulta-imobilizado?id=11000012&amp;nome=BUCHA%20GALVANIZADA%203X2.1/2%20TUPY</v>
      </c>
      <c r="I2080" t="e">
        <f t="shared" ca="1" si="65"/>
        <v>#NAME?</v>
      </c>
    </row>
    <row r="2081" spans="1:9" x14ac:dyDescent="0.25">
      <c r="A2081" s="2" t="s">
        <v>3489</v>
      </c>
      <c r="B2081" s="2" t="s">
        <v>29</v>
      </c>
      <c r="C2081" s="3">
        <v>40847</v>
      </c>
      <c r="D2081" t="s">
        <v>3494</v>
      </c>
      <c r="E2081" s="2" t="s">
        <v>12</v>
      </c>
      <c r="F2081" s="2" t="s">
        <v>12</v>
      </c>
      <c r="G2081" t="s">
        <v>3491</v>
      </c>
      <c r="H2081" t="str">
        <f t="shared" si="64"/>
        <v>https://videplast.com.br/consulta-imobilizado?id=11000012&amp;nome=CAIXA%20EXTERNA%20120X90X30%20INCENDIO</v>
      </c>
      <c r="I2081" t="e">
        <f t="shared" ca="1" si="65"/>
        <v>#NAME?</v>
      </c>
    </row>
    <row r="2082" spans="1:9" x14ac:dyDescent="0.25">
      <c r="A2082" s="2" t="s">
        <v>3489</v>
      </c>
      <c r="B2082" s="2" t="s">
        <v>31</v>
      </c>
      <c r="C2082" s="3">
        <v>40847</v>
      </c>
      <c r="D2082" t="s">
        <v>3495</v>
      </c>
      <c r="E2082" s="2" t="s">
        <v>12</v>
      </c>
      <c r="F2082" s="2" t="s">
        <v>12</v>
      </c>
      <c r="G2082" t="s">
        <v>3491</v>
      </c>
      <c r="H2082" t="str">
        <f t="shared" si="64"/>
        <v>https://videplast.com.br/consulta-imobilizado?id=11000012&amp;nome=TE%20HIDRANTE%20GALV%204X2.1/2%20TUPY</v>
      </c>
      <c r="I2082" t="e">
        <f t="shared" ca="1" si="65"/>
        <v>#NAME?</v>
      </c>
    </row>
    <row r="2083" spans="1:9" x14ac:dyDescent="0.25">
      <c r="A2083" s="2" t="s">
        <v>3489</v>
      </c>
      <c r="B2083" s="2" t="s">
        <v>33</v>
      </c>
      <c r="C2083" s="3">
        <v>40847</v>
      </c>
      <c r="D2083" t="s">
        <v>3496</v>
      </c>
      <c r="E2083" s="2" t="s">
        <v>12</v>
      </c>
      <c r="F2083" s="2" t="s">
        <v>12</v>
      </c>
      <c r="G2083" t="s">
        <v>3491</v>
      </c>
      <c r="H2083" t="str">
        <f t="shared" si="64"/>
        <v>https://videplast.com.br/consulta-imobilizado?id=11000012&amp;nome=VALVULA%20GALVANIZADA%20GL%20ANG%20F97%2045X2.1/2%20MIPEL</v>
      </c>
      <c r="I2083" t="e">
        <f t="shared" ca="1" si="65"/>
        <v>#NAME?</v>
      </c>
    </row>
    <row r="2084" spans="1:9" x14ac:dyDescent="0.25">
      <c r="A2084" s="2" t="s">
        <v>3489</v>
      </c>
      <c r="B2084" s="2" t="s">
        <v>35</v>
      </c>
      <c r="C2084" s="3">
        <v>40847</v>
      </c>
      <c r="D2084" t="s">
        <v>3497</v>
      </c>
      <c r="E2084" s="2" t="s">
        <v>12</v>
      </c>
      <c r="F2084" s="2" t="s">
        <v>12</v>
      </c>
      <c r="G2084" t="s">
        <v>3491</v>
      </c>
      <c r="H2084" t="str">
        <f t="shared" si="64"/>
        <v>https://videplast.com.br/consulta-imobilizado?id=11000012&amp;nome=ADAPTADOR%20STORZ%202.1/2X1.1/2%20INCENDIO</v>
      </c>
      <c r="I2084" t="e">
        <f t="shared" ca="1" si="65"/>
        <v>#NAME?</v>
      </c>
    </row>
    <row r="2085" spans="1:9" x14ac:dyDescent="0.25">
      <c r="A2085" s="2" t="s">
        <v>3489</v>
      </c>
      <c r="B2085" s="2" t="s">
        <v>37</v>
      </c>
      <c r="C2085" s="3">
        <v>40847</v>
      </c>
      <c r="D2085" t="s">
        <v>3498</v>
      </c>
      <c r="E2085" s="2" t="s">
        <v>12</v>
      </c>
      <c r="F2085" s="2" t="s">
        <v>12</v>
      </c>
      <c r="G2085" t="s">
        <v>3491</v>
      </c>
      <c r="H2085" t="str">
        <f t="shared" si="64"/>
        <v>https://videplast.com.br/consulta-imobilizado?id=11000012&amp;nome=ESGUICHO%20CONICO%201.1.1/2%20INCENDIO</v>
      </c>
      <c r="I2085" t="e">
        <f t="shared" ca="1" si="65"/>
        <v>#NAME?</v>
      </c>
    </row>
    <row r="2086" spans="1:9" x14ac:dyDescent="0.25">
      <c r="A2086" s="2" t="s">
        <v>3489</v>
      </c>
      <c r="B2086" s="2" t="s">
        <v>39</v>
      </c>
      <c r="C2086" s="3">
        <v>40847</v>
      </c>
      <c r="D2086" t="s">
        <v>3499</v>
      </c>
      <c r="E2086" s="2" t="s">
        <v>12</v>
      </c>
      <c r="F2086" s="2" t="s">
        <v>12</v>
      </c>
      <c r="G2086" t="s">
        <v>3491</v>
      </c>
      <c r="H2086" t="str">
        <f t="shared" si="64"/>
        <v>https://videplast.com.br/consulta-imobilizado?id=11000012&amp;nome=TUBO%20GALVANIZADO%20DIN%202440%20PESADO%203%20APOLO</v>
      </c>
      <c r="I2086" t="e">
        <f t="shared" ca="1" si="65"/>
        <v>#NAME?</v>
      </c>
    </row>
    <row r="2087" spans="1:9" x14ac:dyDescent="0.25">
      <c r="A2087" s="2" t="s">
        <v>3489</v>
      </c>
      <c r="B2087" s="2" t="s">
        <v>126</v>
      </c>
      <c r="C2087" s="3">
        <v>40847</v>
      </c>
      <c r="D2087" t="s">
        <v>3500</v>
      </c>
      <c r="E2087" s="2" t="s">
        <v>12</v>
      </c>
      <c r="F2087" s="2" t="s">
        <v>12</v>
      </c>
      <c r="G2087" t="s">
        <v>3491</v>
      </c>
      <c r="H2087" t="str">
        <f t="shared" si="64"/>
        <v>https://videplast.com.br/consulta-imobilizado?id=11000012&amp;nome=MANGUEIRA%20POLIESTER%201.1/2X15M%20INCENDIO</v>
      </c>
      <c r="I2087" t="e">
        <f t="shared" ca="1" si="65"/>
        <v>#NAME?</v>
      </c>
    </row>
    <row r="2088" spans="1:9" x14ac:dyDescent="0.25">
      <c r="A2088" s="2" t="s">
        <v>3501</v>
      </c>
      <c r="B2088" s="2" t="s">
        <v>10</v>
      </c>
      <c r="C2088" s="3">
        <v>40421</v>
      </c>
      <c r="D2088" t="s">
        <v>3502</v>
      </c>
      <c r="E2088" s="2" t="s">
        <v>12</v>
      </c>
      <c r="F2088" s="2" t="s">
        <v>12</v>
      </c>
      <c r="G2088" t="s">
        <v>3491</v>
      </c>
      <c r="H2088" t="str">
        <f t="shared" si="64"/>
        <v>https://videplast.com.br/consulta-imobilizado?id=11000097&amp;nome=CONSTRUCAO%20DE%20UMA%20SALA%20P/CONFECCAO%20DE%20CLICHES%20M2</v>
      </c>
      <c r="I2088" t="e">
        <f t="shared" ca="1" si="65"/>
        <v>#NAME?</v>
      </c>
    </row>
    <row r="2089" spans="1:9" x14ac:dyDescent="0.25">
      <c r="A2089" s="2" t="s">
        <v>3503</v>
      </c>
      <c r="B2089" s="2" t="s">
        <v>26</v>
      </c>
      <c r="C2089" s="3">
        <v>40298</v>
      </c>
      <c r="D2089" t="s">
        <v>3504</v>
      </c>
      <c r="E2089" s="2" t="s">
        <v>12</v>
      </c>
      <c r="F2089" s="2" t="s">
        <v>12</v>
      </c>
      <c r="G2089" t="s">
        <v>3491</v>
      </c>
      <c r="H2089" t="str">
        <f t="shared" si="64"/>
        <v>https://videplast.com.br/consulta-imobilizado?id=20000042&amp;nome=MAQUINA%20THERMOFLEX%20MID%20IIV%20GRAVADORA%20CHAPAS/CLICHE</v>
      </c>
      <c r="I2089" t="e">
        <f t="shared" ca="1" si="65"/>
        <v>#NAME?</v>
      </c>
    </row>
    <row r="2090" spans="1:9" x14ac:dyDescent="0.25">
      <c r="A2090" s="2" t="s">
        <v>3503</v>
      </c>
      <c r="B2090" s="2" t="s">
        <v>21</v>
      </c>
      <c r="C2090" s="3">
        <v>40390</v>
      </c>
      <c r="D2090" t="s">
        <v>3505</v>
      </c>
      <c r="E2090" s="2" t="s">
        <v>12</v>
      </c>
      <c r="F2090" s="2" t="s">
        <v>12</v>
      </c>
      <c r="G2090" t="s">
        <v>3491</v>
      </c>
      <c r="H2090" t="str">
        <f t="shared" si="64"/>
        <v>https://videplast.com.br/consulta-imobilizado?id=20000042&amp;nome=CABO%204X16MM%20P/%20INSTALACAO%20DE%20MAQ%20THERMOFLEX</v>
      </c>
      <c r="I2090" t="e">
        <f t="shared" ca="1" si="65"/>
        <v>#NAME?</v>
      </c>
    </row>
    <row r="2091" spans="1:9" x14ac:dyDescent="0.25">
      <c r="A2091" s="2" t="s">
        <v>3503</v>
      </c>
      <c r="B2091" s="2" t="s">
        <v>29</v>
      </c>
      <c r="C2091" s="3">
        <v>40390</v>
      </c>
      <c r="D2091" t="s">
        <v>3506</v>
      </c>
      <c r="E2091" s="2" t="s">
        <v>12</v>
      </c>
      <c r="F2091" s="2" t="s">
        <v>12</v>
      </c>
      <c r="G2091" t="s">
        <v>3491</v>
      </c>
      <c r="H2091" t="str">
        <f t="shared" si="64"/>
        <v>https://videplast.com.br/consulta-imobilizado?id=20000042&amp;nome=CABO%20CONTROLE%20P/%20INSTALACAO%20MAQ%20THERMOFLEX</v>
      </c>
      <c r="I2091" t="e">
        <f t="shared" ca="1" si="65"/>
        <v>#NAME?</v>
      </c>
    </row>
    <row r="2092" spans="1:9" x14ac:dyDescent="0.25">
      <c r="A2092" s="2" t="s">
        <v>3503</v>
      </c>
      <c r="B2092" s="2" t="s">
        <v>31</v>
      </c>
      <c r="C2092" s="3">
        <v>40390</v>
      </c>
      <c r="D2092" t="s">
        <v>3507</v>
      </c>
      <c r="E2092" s="2" t="s">
        <v>12</v>
      </c>
      <c r="F2092" s="2" t="s">
        <v>12</v>
      </c>
      <c r="G2092" t="s">
        <v>3491</v>
      </c>
      <c r="H2092" t="str">
        <f t="shared" si="64"/>
        <v>https://videplast.com.br/consulta-imobilizado?id=20000042&amp;nome=FUSIVEIS%20NH%20T00%203NA3%20E%20CONTALET%20C%20RS%20C%20TAMPA</v>
      </c>
      <c r="I2092" t="e">
        <f t="shared" ca="1" si="65"/>
        <v>#NAME?</v>
      </c>
    </row>
    <row r="2093" spans="1:9" x14ac:dyDescent="0.25">
      <c r="A2093" s="2" t="s">
        <v>3503</v>
      </c>
      <c r="B2093" s="2" t="s">
        <v>33</v>
      </c>
      <c r="C2093" s="3">
        <v>40512</v>
      </c>
      <c r="D2093" t="s">
        <v>3508</v>
      </c>
      <c r="E2093" s="2" t="s">
        <v>12</v>
      </c>
      <c r="F2093" s="2" t="s">
        <v>12</v>
      </c>
      <c r="G2093" t="s">
        <v>3491</v>
      </c>
      <c r="H2093" t="str">
        <f t="shared" si="64"/>
        <v>https://videplast.com.br/consulta-imobilizado?id=20000042&amp;nome=NOBREAK%2015KVA/12KW%20MODELO%20CLASSIC%20DSP150</v>
      </c>
      <c r="I2093" t="e">
        <f t="shared" ca="1" si="65"/>
        <v>#NAME?</v>
      </c>
    </row>
    <row r="2094" spans="1:9" x14ac:dyDescent="0.25">
      <c r="A2094" s="2" t="s">
        <v>3503</v>
      </c>
      <c r="B2094" s="2" t="s">
        <v>35</v>
      </c>
      <c r="C2094" s="3">
        <v>45509</v>
      </c>
      <c r="D2094" t="s">
        <v>3509</v>
      </c>
      <c r="E2094" s="2" t="s">
        <v>12</v>
      </c>
      <c r="F2094" s="2" t="s">
        <v>12</v>
      </c>
      <c r="G2094" t="s">
        <v>3491</v>
      </c>
      <c r="H2094" t="str">
        <f t="shared" si="64"/>
        <v>https://videplast.com.br/consulta-imobilizado?id=20000042&amp;nome=MATERIAIS%20ELETRICOS%20DIVERSOS%20P%20INSTALACAO%20DE%20MAQ.</v>
      </c>
      <c r="I2094" t="e">
        <f t="shared" ca="1" si="65"/>
        <v>#NAME?</v>
      </c>
    </row>
    <row r="2095" spans="1:9" x14ac:dyDescent="0.25">
      <c r="A2095" s="2" t="s">
        <v>3510</v>
      </c>
      <c r="B2095" s="2" t="s">
        <v>10</v>
      </c>
      <c r="C2095" s="3">
        <v>40359</v>
      </c>
      <c r="D2095" t="s">
        <v>3511</v>
      </c>
      <c r="E2095" s="2" t="s">
        <v>12</v>
      </c>
      <c r="F2095" s="2" t="s">
        <v>12</v>
      </c>
      <c r="G2095" t="s">
        <v>3491</v>
      </c>
      <c r="H2095" t="str">
        <f t="shared" si="64"/>
        <v>https://videplast.com.br/consulta-imobilizado?id=21000634&amp;nome=NOBREAK%20CLASSIC%20075%20VE:380E%20VS%2022%200E</v>
      </c>
      <c r="I2095" t="e">
        <f t="shared" ca="1" si="65"/>
        <v>#NAME?</v>
      </c>
    </row>
    <row r="2096" spans="1:9" x14ac:dyDescent="0.25">
      <c r="A2096" s="2" t="s">
        <v>3512</v>
      </c>
      <c r="B2096" s="2" t="s">
        <v>10</v>
      </c>
      <c r="C2096" s="3">
        <v>40359</v>
      </c>
      <c r="D2096" t="s">
        <v>3513</v>
      </c>
      <c r="E2096" s="2" t="s">
        <v>12</v>
      </c>
      <c r="F2096" s="2" t="s">
        <v>12</v>
      </c>
      <c r="G2096" t="s">
        <v>3491</v>
      </c>
      <c r="H2096" t="str">
        <f t="shared" si="64"/>
        <v>https://videplast.com.br/consulta-imobilizado?id=21000635&amp;nome=SEIS%20HASTE%20ATERRAM.%20PROL%202.4%20MTS%2006%20LUVAS%20EMENDA</v>
      </c>
      <c r="I2096" t="e">
        <f t="shared" ca="1" si="65"/>
        <v>#NAME?</v>
      </c>
    </row>
    <row r="2097" spans="1:9" x14ac:dyDescent="0.25">
      <c r="A2097" s="2" t="s">
        <v>3514</v>
      </c>
      <c r="B2097" s="2" t="s">
        <v>10</v>
      </c>
      <c r="C2097" s="3">
        <v>40390</v>
      </c>
      <c r="D2097" t="s">
        <v>3515</v>
      </c>
      <c r="E2097" s="2" t="s">
        <v>3516</v>
      </c>
      <c r="F2097" s="2" t="s">
        <v>3517</v>
      </c>
      <c r="G2097" t="s">
        <v>3491</v>
      </c>
      <c r="H2097" t="str">
        <f t="shared" si="64"/>
        <v>https://videplast.com.br/consulta-imobilizado?id=21000639&amp;nome=AR%20CONDICIONADO%20INT/EXT%20SPLIT%20CONSUL%2022000BTU</v>
      </c>
      <c r="I2097" t="e">
        <f t="shared" ca="1" si="65"/>
        <v>#NAME?</v>
      </c>
    </row>
    <row r="2098" spans="1:9" x14ac:dyDescent="0.25">
      <c r="A2098" s="2" t="s">
        <v>3514</v>
      </c>
      <c r="B2098" s="2" t="s">
        <v>26</v>
      </c>
      <c r="C2098" s="3">
        <v>40390</v>
      </c>
      <c r="D2098" t="s">
        <v>3518</v>
      </c>
      <c r="E2098" s="2" t="s">
        <v>12</v>
      </c>
      <c r="F2098" s="2" t="s">
        <v>12</v>
      </c>
      <c r="G2098" t="s">
        <v>3491</v>
      </c>
      <c r="H2098" t="str">
        <f t="shared" si="64"/>
        <v>https://videplast.com.br/consulta-imobilizado?id=21000639&amp;nome=MONTAGEM%20AR%20CONSICIONADO%20CONSUL%2022000%20BTU</v>
      </c>
      <c r="I2098" t="e">
        <f t="shared" ca="1" si="65"/>
        <v>#NAME?</v>
      </c>
    </row>
    <row r="2099" spans="1:9" x14ac:dyDescent="0.25">
      <c r="A2099" s="2" t="s">
        <v>3519</v>
      </c>
      <c r="B2099" s="2" t="s">
        <v>10</v>
      </c>
      <c r="C2099" s="3">
        <v>40451</v>
      </c>
      <c r="D2099" t="s">
        <v>3520</v>
      </c>
      <c r="E2099" s="2" t="s">
        <v>12</v>
      </c>
      <c r="F2099" s="2" t="s">
        <v>12</v>
      </c>
      <c r="G2099" t="s">
        <v>3491</v>
      </c>
      <c r="H2099" t="str">
        <f t="shared" si="64"/>
        <v>https://videplast.com.br/consulta-imobilizado?id=21000646&amp;nome=MANDRIL%20PORTA%20CLICHE%20ESPECIAL%20DIAMETRO%2095,609</v>
      </c>
      <c r="I2099" t="e">
        <f t="shared" ca="1" si="65"/>
        <v>#NAME?</v>
      </c>
    </row>
    <row r="2100" spans="1:9" x14ac:dyDescent="0.25">
      <c r="A2100" s="2" t="s">
        <v>3521</v>
      </c>
      <c r="B2100" s="2" t="s">
        <v>10</v>
      </c>
      <c r="C2100" s="3">
        <v>40451</v>
      </c>
      <c r="D2100" t="s">
        <v>3522</v>
      </c>
      <c r="E2100" s="2" t="s">
        <v>12</v>
      </c>
      <c r="F2100" s="2" t="s">
        <v>12</v>
      </c>
      <c r="G2100" t="s">
        <v>3491</v>
      </c>
      <c r="H2100" t="str">
        <f t="shared" si="64"/>
        <v>https://videplast.com.br/consulta-imobilizado?id=21000647&amp;nome=VENTILADOR%20AXIAL%20ED%2024'%20MOTOR%201/2</v>
      </c>
      <c r="I2100" t="e">
        <f t="shared" ca="1" si="65"/>
        <v>#NAME?</v>
      </c>
    </row>
    <row r="2101" spans="1:9" x14ac:dyDescent="0.25">
      <c r="A2101" s="2" t="s">
        <v>3523</v>
      </c>
      <c r="B2101" s="2" t="s">
        <v>10</v>
      </c>
      <c r="C2101" s="3">
        <v>44187</v>
      </c>
      <c r="D2101" t="s">
        <v>3524</v>
      </c>
      <c r="E2101" s="2" t="s">
        <v>3525</v>
      </c>
      <c r="F2101" s="2" t="s">
        <v>3526</v>
      </c>
      <c r="G2101" t="s">
        <v>3491</v>
      </c>
      <c r="H2101" t="str">
        <f t="shared" si="64"/>
        <v>https://videplast.com.br/consulta-imobilizado?id=21005833&amp;nome=MAQUINA%20MONTADORA%20DE%20CLICHE%20WW%20COBRA%201600%20ECONOMIC</v>
      </c>
      <c r="I2101" t="e">
        <f t="shared" ca="1" si="65"/>
        <v>#NAME?</v>
      </c>
    </row>
    <row r="2102" spans="1:9" x14ac:dyDescent="0.25">
      <c r="A2102" s="2" t="s">
        <v>3523</v>
      </c>
      <c r="B2102" s="2" t="s">
        <v>26</v>
      </c>
      <c r="C2102" s="3">
        <v>45051</v>
      </c>
      <c r="D2102" t="s">
        <v>3527</v>
      </c>
      <c r="E2102" s="2" t="s">
        <v>12</v>
      </c>
      <c r="F2102" s="2" t="s">
        <v>12</v>
      </c>
      <c r="G2102" t="s">
        <v>3491</v>
      </c>
      <c r="H2102" t="str">
        <f t="shared" si="64"/>
        <v>https://videplast.com.br/consulta-imobilizado?id=21005833&amp;nome=RETROFIT%20COLADORA%20COBRA</v>
      </c>
      <c r="I2102" t="e">
        <f t="shared" ca="1" si="65"/>
        <v>#NAME?</v>
      </c>
    </row>
    <row r="2103" spans="1:9" x14ac:dyDescent="0.25">
      <c r="A2103" s="2" t="s">
        <v>3523</v>
      </c>
      <c r="B2103" s="2" t="s">
        <v>21</v>
      </c>
      <c r="C2103" s="3">
        <v>45281</v>
      </c>
      <c r="D2103" t="s">
        <v>3528</v>
      </c>
      <c r="E2103" s="2" t="s">
        <v>12</v>
      </c>
      <c r="F2103" s="2" t="s">
        <v>12</v>
      </c>
      <c r="G2103" t="s">
        <v>3491</v>
      </c>
      <c r="H2103" t="str">
        <f t="shared" si="64"/>
        <v>https://videplast.com.br/consulta-imobilizado?id=21005833&amp;nome=DESPESAS%20COMPLEMENTARES%20RETROFIT%20COLADORA%20COBRA</v>
      </c>
      <c r="I2103" t="e">
        <f t="shared" ca="1" si="65"/>
        <v>#NAME?</v>
      </c>
    </row>
    <row r="2104" spans="1:9" x14ac:dyDescent="0.25">
      <c r="A2104" s="2" t="s">
        <v>3529</v>
      </c>
      <c r="B2104" s="2" t="s">
        <v>10</v>
      </c>
      <c r="C2104" s="3">
        <v>44187</v>
      </c>
      <c r="D2104" t="s">
        <v>3530</v>
      </c>
      <c r="E2104" s="2" t="s">
        <v>12</v>
      </c>
      <c r="F2104" s="2" t="s">
        <v>12</v>
      </c>
      <c r="G2104" t="s">
        <v>3491</v>
      </c>
      <c r="H2104" t="str">
        <f t="shared" si="64"/>
        <v>https://videplast.com.br/consulta-imobilizado?id=21005841&amp;nome=EXPOSITORA%20CONCEPT%20302</v>
      </c>
      <c r="I2104" t="e">
        <f t="shared" ca="1" si="65"/>
        <v>#NAME?</v>
      </c>
    </row>
    <row r="2105" spans="1:9" x14ac:dyDescent="0.25">
      <c r="A2105" s="2" t="s">
        <v>3529</v>
      </c>
      <c r="B2105" s="2" t="s">
        <v>26</v>
      </c>
      <c r="C2105" s="3">
        <v>45509</v>
      </c>
      <c r="D2105" t="s">
        <v>3531</v>
      </c>
      <c r="E2105" s="2" t="s">
        <v>12</v>
      </c>
      <c r="F2105" s="2" t="s">
        <v>12</v>
      </c>
      <c r="G2105" t="s">
        <v>3491</v>
      </c>
      <c r="H2105" t="str">
        <f t="shared" si="64"/>
        <v>https://videplast.com.br/consulta-imobilizado?id=21005841&amp;nome=CABO%204%20X%204MM%20P/%20INSTALACAO%20DE%20MAQUINA</v>
      </c>
      <c r="I2105" t="e">
        <f t="shared" ca="1" si="65"/>
        <v>#NAME?</v>
      </c>
    </row>
    <row r="2106" spans="1:9" x14ac:dyDescent="0.25">
      <c r="A2106" s="2" t="s">
        <v>3529</v>
      </c>
      <c r="B2106" s="2" t="s">
        <v>21</v>
      </c>
      <c r="C2106" s="3">
        <v>45509</v>
      </c>
      <c r="D2106" t="s">
        <v>3532</v>
      </c>
      <c r="E2106" s="2" t="s">
        <v>12</v>
      </c>
      <c r="F2106" s="2" t="s">
        <v>12</v>
      </c>
      <c r="G2106" t="s">
        <v>3491</v>
      </c>
      <c r="H2106" t="str">
        <f t="shared" si="64"/>
        <v>https://videplast.com.br/consulta-imobilizado?id=21005841&amp;nome=SERVICO%20DE%20INSTALACAO%20EQUIP.%20CONCEPT%20302</v>
      </c>
      <c r="I2106" t="e">
        <f t="shared" ca="1" si="65"/>
        <v>#NAME?</v>
      </c>
    </row>
    <row r="2107" spans="1:9" x14ac:dyDescent="0.25">
      <c r="A2107" s="2" t="s">
        <v>3529</v>
      </c>
      <c r="B2107" s="2" t="s">
        <v>29</v>
      </c>
      <c r="C2107" s="3">
        <v>45509</v>
      </c>
      <c r="D2107" t="s">
        <v>3533</v>
      </c>
      <c r="E2107" s="2" t="s">
        <v>12</v>
      </c>
      <c r="F2107" s="2" t="s">
        <v>12</v>
      </c>
      <c r="G2107" t="s">
        <v>3491</v>
      </c>
      <c r="H2107" t="str">
        <f t="shared" si="64"/>
        <v>https://videplast.com.br/consulta-imobilizado?id=21005841&amp;nome=PROCESSADORA%20CONCEPT%20305%20P/%20EXPOSITORA%20CONCEPT%20302</v>
      </c>
      <c r="I2107" t="e">
        <f t="shared" ca="1" si="65"/>
        <v>#NAME?</v>
      </c>
    </row>
    <row r="2108" spans="1:9" x14ac:dyDescent="0.25">
      <c r="A2108" s="2" t="s">
        <v>3529</v>
      </c>
      <c r="B2108" s="2" t="s">
        <v>31</v>
      </c>
      <c r="C2108" s="3">
        <v>45509</v>
      </c>
      <c r="D2108" t="s">
        <v>3534</v>
      </c>
      <c r="E2108" s="2" t="s">
        <v>12</v>
      </c>
      <c r="F2108" s="2" t="s">
        <v>12</v>
      </c>
      <c r="G2108" t="s">
        <v>3491</v>
      </c>
      <c r="H2108" t="str">
        <f t="shared" si="64"/>
        <v>https://videplast.com.br/consulta-imobilizado?id=21005841&amp;nome=LAMPADA%20PHILLIPS%20G13%20ACTI%2010%20C/%20REFLETOR</v>
      </c>
      <c r="I2108" t="e">
        <f t="shared" ca="1" si="65"/>
        <v>#NAME?</v>
      </c>
    </row>
    <row r="2109" spans="1:9" x14ac:dyDescent="0.25">
      <c r="A2109" s="2" t="s">
        <v>3535</v>
      </c>
      <c r="B2109" s="2" t="s">
        <v>10</v>
      </c>
      <c r="C2109" s="3">
        <v>42004</v>
      </c>
      <c r="D2109" t="s">
        <v>3536</v>
      </c>
      <c r="E2109" s="2" t="s">
        <v>3537</v>
      </c>
      <c r="F2109" s="2" t="s">
        <v>12</v>
      </c>
      <c r="G2109" t="s">
        <v>3491</v>
      </c>
      <c r="H2109" t="str">
        <f t="shared" si="64"/>
        <v>https://videplast.com.br/consulta-imobilizado?id=30000151&amp;nome=BEBEDOURO%20DE%20PRESSAO%20INOX%20PLI%20220V%20BELLIERE</v>
      </c>
      <c r="I2109" t="e">
        <f t="shared" ca="1" si="65"/>
        <v>#NAME?</v>
      </c>
    </row>
    <row r="2110" spans="1:9" x14ac:dyDescent="0.25">
      <c r="A2110" s="2" t="s">
        <v>3538</v>
      </c>
      <c r="B2110" s="2" t="s">
        <v>10</v>
      </c>
      <c r="C2110" s="3">
        <v>38625</v>
      </c>
      <c r="D2110" t="s">
        <v>3539</v>
      </c>
      <c r="E2110" s="2" t="s">
        <v>12</v>
      </c>
      <c r="F2110" s="2" t="s">
        <v>12</v>
      </c>
      <c r="G2110" t="s">
        <v>3491</v>
      </c>
      <c r="H2110" t="str">
        <f t="shared" si="64"/>
        <v>https://videplast.com.br/consulta-imobilizado?id=30000199&amp;nome=ARMARIO%20P/%20CLICHERIA</v>
      </c>
      <c r="I2110" t="e">
        <f t="shared" ca="1" si="65"/>
        <v>#NAME?</v>
      </c>
    </row>
    <row r="2111" spans="1:9" x14ac:dyDescent="0.25">
      <c r="A2111" s="2" t="s">
        <v>3540</v>
      </c>
      <c r="B2111" s="2" t="s">
        <v>10</v>
      </c>
      <c r="C2111" s="3">
        <v>39263</v>
      </c>
      <c r="D2111" t="s">
        <v>3541</v>
      </c>
      <c r="E2111" s="2" t="s">
        <v>12</v>
      </c>
      <c r="F2111" s="2" t="s">
        <v>12</v>
      </c>
      <c r="G2111" t="s">
        <v>3491</v>
      </c>
      <c r="H2111" t="str">
        <f t="shared" si="64"/>
        <v>https://videplast.com.br/consulta-imobilizado?id=30000216&amp;nome=ARMARIO%20240X125X100CM%2020%20GAVETAS</v>
      </c>
      <c r="I2111" t="e">
        <f t="shared" ca="1" si="65"/>
        <v>#NAME?</v>
      </c>
    </row>
    <row r="2112" spans="1:9" x14ac:dyDescent="0.25">
      <c r="A2112" s="2" t="s">
        <v>3542</v>
      </c>
      <c r="B2112" s="2" t="s">
        <v>10</v>
      </c>
      <c r="C2112" s="3">
        <v>39538</v>
      </c>
      <c r="D2112" t="s">
        <v>3543</v>
      </c>
      <c r="E2112" s="2" t="s">
        <v>12</v>
      </c>
      <c r="F2112" s="2" t="s">
        <v>12</v>
      </c>
      <c r="G2112" t="s">
        <v>3491</v>
      </c>
      <c r="H2112" t="str">
        <f t="shared" si="64"/>
        <v>https://videplast.com.br/consulta-imobilizado?id=30000222&amp;nome=DE%2098%20PERFIL%20EPL,%20ETL,%20EC,%204%20TUBOS,%20E%2065%20PLACAS</v>
      </c>
      <c r="I2112" t="e">
        <f t="shared" ca="1" si="65"/>
        <v>#NAME?</v>
      </c>
    </row>
    <row r="2113" spans="1:9" x14ac:dyDescent="0.25">
      <c r="A2113" s="2" t="s">
        <v>3544</v>
      </c>
      <c r="B2113" s="2" t="s">
        <v>10</v>
      </c>
      <c r="C2113" s="3">
        <v>40359</v>
      </c>
      <c r="D2113" t="s">
        <v>3545</v>
      </c>
      <c r="E2113" s="2" t="s">
        <v>12</v>
      </c>
      <c r="F2113" s="2" t="s">
        <v>12</v>
      </c>
      <c r="G2113" t="s">
        <v>3491</v>
      </c>
      <c r="H2113" t="str">
        <f t="shared" si="64"/>
        <v>https://videplast.com.br/consulta-imobilizado?id=30000234&amp;nome=CADEIRA%20SECRETARIA%20EXECUTIVA%20GIRATORIA</v>
      </c>
      <c r="I2113" t="e">
        <f t="shared" ca="1" si="65"/>
        <v>#NAME?</v>
      </c>
    </row>
    <row r="2114" spans="1:9" x14ac:dyDescent="0.25">
      <c r="A2114" s="2" t="s">
        <v>3546</v>
      </c>
      <c r="B2114" s="2" t="s">
        <v>10</v>
      </c>
      <c r="C2114" s="3">
        <v>40451</v>
      </c>
      <c r="D2114" t="s">
        <v>3547</v>
      </c>
      <c r="E2114" s="2" t="s">
        <v>12</v>
      </c>
      <c r="F2114" s="2" t="s">
        <v>12</v>
      </c>
      <c r="G2114" t="s">
        <v>3491</v>
      </c>
      <c r="H2114" t="str">
        <f t="shared" ref="H2114:H2177" si="66" xml:space="preserve"> "https://videplast.com.br/consulta-imobilizado?id=" &amp; A2114 &amp; "&amp;nome=" &amp; SUBSTITUTE(D2114, " ", "%20")</f>
        <v>https://videplast.com.br/consulta-imobilizado?id=30000237&amp;nome=MESA</v>
      </c>
      <c r="I2114" t="e">
        <f t="shared" ref="I2114:I2177" ca="1" si="67">_xlfn.IMAGE("https://chart.googleapis.com/chart?chs=150x150&amp;cht=qr&amp;chl=" &amp; H2114)</f>
        <v>#NAME?</v>
      </c>
    </row>
    <row r="2115" spans="1:9" x14ac:dyDescent="0.25">
      <c r="A2115" s="2" t="s">
        <v>3548</v>
      </c>
      <c r="B2115" s="2" t="s">
        <v>10</v>
      </c>
      <c r="C2115" s="3">
        <v>40602</v>
      </c>
      <c r="D2115" t="s">
        <v>3549</v>
      </c>
      <c r="E2115" s="2" t="s">
        <v>12</v>
      </c>
      <c r="F2115" s="2" t="s">
        <v>12</v>
      </c>
      <c r="G2115" t="s">
        <v>3491</v>
      </c>
      <c r="H2115" t="str">
        <f t="shared" si="66"/>
        <v>https://videplast.com.br/consulta-imobilizado?id=30000241&amp;nome=ARMARIO%20PARA%20CLICHERIA%20DA%20FABRICA</v>
      </c>
      <c r="I2115" t="e">
        <f t="shared" ca="1" si="67"/>
        <v>#NAME?</v>
      </c>
    </row>
    <row r="2116" spans="1:9" x14ac:dyDescent="0.25">
      <c r="A2116" s="2" t="s">
        <v>3550</v>
      </c>
      <c r="B2116" s="2" t="s">
        <v>10</v>
      </c>
      <c r="C2116" s="3">
        <v>40482</v>
      </c>
      <c r="D2116" t="s">
        <v>3551</v>
      </c>
      <c r="E2116" s="2" t="s">
        <v>12</v>
      </c>
      <c r="F2116" s="2" t="s">
        <v>12</v>
      </c>
      <c r="G2116" t="s">
        <v>3491</v>
      </c>
      <c r="H2116" t="str">
        <f t="shared" si="66"/>
        <v>https://videplast.com.br/consulta-imobilizado?id=30000243&amp;nome=ARMARIO%20ARQUIVO%20PARA%20CLICHES</v>
      </c>
      <c r="I2116" t="e">
        <f t="shared" ca="1" si="67"/>
        <v>#NAME?</v>
      </c>
    </row>
    <row r="2117" spans="1:9" x14ac:dyDescent="0.25">
      <c r="A2117" s="2" t="s">
        <v>3552</v>
      </c>
      <c r="B2117" s="2" t="s">
        <v>10</v>
      </c>
      <c r="C2117" s="3">
        <v>43059</v>
      </c>
      <c r="D2117" t="s">
        <v>3553</v>
      </c>
      <c r="E2117" s="2" t="s">
        <v>12</v>
      </c>
      <c r="F2117" s="2" t="s">
        <v>12</v>
      </c>
      <c r="G2117" t="s">
        <v>3491</v>
      </c>
      <c r="H2117" t="str">
        <f t="shared" si="66"/>
        <v>https://videplast.com.br/consulta-imobilizado?id=30001674&amp;nome=MESA%20REFILADORA%20DE%20CLICHES-GUILHOTINA</v>
      </c>
      <c r="I2117" t="e">
        <f t="shared" ca="1" si="67"/>
        <v>#NAME?</v>
      </c>
    </row>
    <row r="2118" spans="1:9" x14ac:dyDescent="0.25">
      <c r="A2118" s="2" t="s">
        <v>3554</v>
      </c>
      <c r="B2118" s="2" t="s">
        <v>10</v>
      </c>
      <c r="C2118" s="3">
        <v>45107</v>
      </c>
      <c r="D2118" t="s">
        <v>3555</v>
      </c>
      <c r="E2118" s="2" t="s">
        <v>3556</v>
      </c>
      <c r="F2118" s="2" t="s">
        <v>3557</v>
      </c>
      <c r="G2118" t="s">
        <v>3491</v>
      </c>
      <c r="H2118" t="str">
        <f t="shared" si="66"/>
        <v>https://videplast.com.br/consulta-imobilizado?id=30003889&amp;nome=AR%20CONDICIONADO%20INVERTER%20Q/F%20FUJITSU%2024000%20BTU</v>
      </c>
      <c r="I2118" t="e">
        <f t="shared" ca="1" si="67"/>
        <v>#NAME?</v>
      </c>
    </row>
    <row r="2119" spans="1:9" x14ac:dyDescent="0.25">
      <c r="A2119" s="2" t="s">
        <v>3558</v>
      </c>
      <c r="B2119" s="2" t="s">
        <v>10</v>
      </c>
      <c r="C2119" s="3">
        <v>45509</v>
      </c>
      <c r="D2119" t="s">
        <v>3559</v>
      </c>
      <c r="E2119" s="2" t="s">
        <v>12</v>
      </c>
      <c r="F2119" s="2" t="s">
        <v>12</v>
      </c>
      <c r="G2119" t="s">
        <v>3491</v>
      </c>
      <c r="H2119" t="str">
        <f t="shared" si="66"/>
        <v>https://videplast.com.br/consulta-imobilizado?id=30004200&amp;nome=MESA%20ESTACAO%20DE%20TRABALHO%201,50X1,50%20COM%20GAVETEIRO</v>
      </c>
      <c r="I2119" t="e">
        <f t="shared" ca="1" si="67"/>
        <v>#NAME?</v>
      </c>
    </row>
    <row r="2120" spans="1:9" x14ac:dyDescent="0.25">
      <c r="A2120" s="2" t="s">
        <v>3560</v>
      </c>
      <c r="B2120" s="2" t="s">
        <v>10</v>
      </c>
      <c r="C2120" s="3">
        <v>45509</v>
      </c>
      <c r="D2120" t="s">
        <v>3559</v>
      </c>
      <c r="E2120" s="2" t="s">
        <v>12</v>
      </c>
      <c r="F2120" s="2" t="s">
        <v>12</v>
      </c>
      <c r="G2120" t="s">
        <v>3491</v>
      </c>
      <c r="H2120" t="str">
        <f t="shared" si="66"/>
        <v>https://videplast.com.br/consulta-imobilizado?id=30004201&amp;nome=MESA%20ESTACAO%20DE%20TRABALHO%201,50X1,50%20COM%20GAVETEIRO</v>
      </c>
      <c r="I2120" t="e">
        <f t="shared" ca="1" si="67"/>
        <v>#NAME?</v>
      </c>
    </row>
    <row r="2121" spans="1:9" x14ac:dyDescent="0.25">
      <c r="A2121" s="2" t="s">
        <v>3561</v>
      </c>
      <c r="B2121" s="2" t="s">
        <v>10</v>
      </c>
      <c r="C2121" s="3">
        <v>45509</v>
      </c>
      <c r="D2121" t="s">
        <v>3559</v>
      </c>
      <c r="E2121" s="2" t="s">
        <v>12</v>
      </c>
      <c r="F2121" s="2" t="s">
        <v>12</v>
      </c>
      <c r="G2121" t="s">
        <v>3491</v>
      </c>
      <c r="H2121" t="str">
        <f t="shared" si="66"/>
        <v>https://videplast.com.br/consulta-imobilizado?id=30004202&amp;nome=MESA%20ESTACAO%20DE%20TRABALHO%201,50X1,50%20COM%20GAVETEIRO</v>
      </c>
      <c r="I2121" t="e">
        <f t="shared" ca="1" si="67"/>
        <v>#NAME?</v>
      </c>
    </row>
    <row r="2122" spans="1:9" x14ac:dyDescent="0.25">
      <c r="A2122" s="2" t="s">
        <v>3562</v>
      </c>
      <c r="B2122" s="2" t="s">
        <v>10</v>
      </c>
      <c r="C2122" s="3">
        <v>45509</v>
      </c>
      <c r="D2122" t="s">
        <v>3563</v>
      </c>
      <c r="E2122" s="2" t="s">
        <v>12</v>
      </c>
      <c r="F2122" s="2" t="s">
        <v>12</v>
      </c>
      <c r="G2122" t="s">
        <v>3491</v>
      </c>
      <c r="H2122" t="str">
        <f t="shared" si="66"/>
        <v>https://videplast.com.br/consulta-imobilizado?id=30004203&amp;nome=MESA%20PARA%20IMPRESSORA</v>
      </c>
      <c r="I2122" t="e">
        <f t="shared" ca="1" si="67"/>
        <v>#NAME?</v>
      </c>
    </row>
    <row r="2123" spans="1:9" x14ac:dyDescent="0.25">
      <c r="A2123" s="2" t="s">
        <v>3564</v>
      </c>
      <c r="B2123" s="2" t="s">
        <v>10</v>
      </c>
      <c r="C2123" s="3">
        <v>45509</v>
      </c>
      <c r="D2123" t="s">
        <v>3545</v>
      </c>
      <c r="E2123" s="2" t="s">
        <v>12</v>
      </c>
      <c r="F2123" s="2" t="s">
        <v>12</v>
      </c>
      <c r="G2123" t="s">
        <v>3491</v>
      </c>
      <c r="H2123" t="str">
        <f t="shared" si="66"/>
        <v>https://videplast.com.br/consulta-imobilizado?id=30004204&amp;nome=CADEIRA%20SECRETARIA%20EXECUTIVA%20GIRATORIA</v>
      </c>
      <c r="I2123" t="e">
        <f t="shared" ca="1" si="67"/>
        <v>#NAME?</v>
      </c>
    </row>
    <row r="2124" spans="1:9" x14ac:dyDescent="0.25">
      <c r="A2124" s="2" t="s">
        <v>3565</v>
      </c>
      <c r="B2124" s="2" t="s">
        <v>10</v>
      </c>
      <c r="C2124" s="3">
        <v>45509</v>
      </c>
      <c r="D2124" t="s">
        <v>3545</v>
      </c>
      <c r="E2124" s="2" t="s">
        <v>12</v>
      </c>
      <c r="F2124" s="2" t="s">
        <v>12</v>
      </c>
      <c r="G2124" t="s">
        <v>3491</v>
      </c>
      <c r="H2124" t="str">
        <f t="shared" si="66"/>
        <v>https://videplast.com.br/consulta-imobilizado?id=30004205&amp;nome=CADEIRA%20SECRETARIA%20EXECUTIVA%20GIRATORIA</v>
      </c>
      <c r="I2124" t="e">
        <f t="shared" ca="1" si="67"/>
        <v>#NAME?</v>
      </c>
    </row>
    <row r="2125" spans="1:9" x14ac:dyDescent="0.25">
      <c r="A2125" s="2" t="s">
        <v>3566</v>
      </c>
      <c r="B2125" s="2" t="s">
        <v>10</v>
      </c>
      <c r="C2125" s="3">
        <v>45509</v>
      </c>
      <c r="D2125" t="s">
        <v>3539</v>
      </c>
      <c r="E2125" s="2" t="s">
        <v>12</v>
      </c>
      <c r="F2125" s="2" t="s">
        <v>12</v>
      </c>
      <c r="G2125" t="s">
        <v>3491</v>
      </c>
      <c r="H2125" t="str">
        <f t="shared" si="66"/>
        <v>https://videplast.com.br/consulta-imobilizado?id=30004206&amp;nome=ARMARIO%20P/%20CLICHERIA</v>
      </c>
      <c r="I2125" t="e">
        <f t="shared" ca="1" si="67"/>
        <v>#NAME?</v>
      </c>
    </row>
    <row r="2126" spans="1:9" x14ac:dyDescent="0.25">
      <c r="A2126" s="2" t="s">
        <v>3567</v>
      </c>
      <c r="B2126" s="2" t="s">
        <v>10</v>
      </c>
      <c r="C2126" s="3">
        <v>45509</v>
      </c>
      <c r="D2126" t="s">
        <v>3568</v>
      </c>
      <c r="E2126" s="2" t="s">
        <v>12</v>
      </c>
      <c r="F2126" s="2" t="s">
        <v>12</v>
      </c>
      <c r="G2126" t="s">
        <v>3491</v>
      </c>
      <c r="H2126" t="str">
        <f t="shared" si="66"/>
        <v>https://videplast.com.br/consulta-imobilizado?id=30004207&amp;nome=ARMARIO</v>
      </c>
      <c r="I2126" t="e">
        <f t="shared" ca="1" si="67"/>
        <v>#NAME?</v>
      </c>
    </row>
    <row r="2127" spans="1:9" x14ac:dyDescent="0.25">
      <c r="A2127" s="2" t="s">
        <v>3569</v>
      </c>
      <c r="B2127" s="2" t="s">
        <v>10</v>
      </c>
      <c r="C2127" s="3">
        <v>41121</v>
      </c>
      <c r="D2127" t="s">
        <v>3570</v>
      </c>
      <c r="E2127" s="2" t="s">
        <v>12</v>
      </c>
      <c r="F2127" s="2" t="s">
        <v>12</v>
      </c>
      <c r="G2127" t="s">
        <v>3491</v>
      </c>
      <c r="H2127" t="str">
        <f t="shared" si="66"/>
        <v>https://videplast.com.br/consulta-imobilizado?id=32000081&amp;nome=CAMERA%20USB%20MICROSCOPIO%20UM-02</v>
      </c>
      <c r="I2127" t="e">
        <f t="shared" ca="1" si="67"/>
        <v>#NAME?</v>
      </c>
    </row>
    <row r="2128" spans="1:9" x14ac:dyDescent="0.25">
      <c r="A2128" s="2" t="s">
        <v>3571</v>
      </c>
      <c r="B2128" s="2" t="s">
        <v>10</v>
      </c>
      <c r="C2128" s="3">
        <v>41274</v>
      </c>
      <c r="D2128" t="s">
        <v>3572</v>
      </c>
      <c r="E2128" s="2" t="s">
        <v>12</v>
      </c>
      <c r="F2128" s="2" t="s">
        <v>12</v>
      </c>
      <c r="G2128" t="s">
        <v>3491</v>
      </c>
      <c r="H2128" s="5" t="str">
        <f t="shared" si="66"/>
        <v>https://videplast.com.br/consulta-imobilizado?id=32000088&amp;nome=MICROCOMPUTADOR%20I7%202600%203.4GH%20HD500GB%20VGA1GH%206450</v>
      </c>
      <c r="I2128" t="e">
        <f t="shared" ca="1" si="67"/>
        <v>#NAME?</v>
      </c>
    </row>
    <row r="2129" spans="1:9" x14ac:dyDescent="0.25">
      <c r="A2129" s="2" t="s">
        <v>3573</v>
      </c>
      <c r="B2129" s="2" t="s">
        <v>10</v>
      </c>
      <c r="C2129" s="3">
        <v>45121</v>
      </c>
      <c r="D2129" t="s">
        <v>3572</v>
      </c>
      <c r="E2129" s="2" t="s">
        <v>12</v>
      </c>
      <c r="F2129" s="2" t="s">
        <v>12</v>
      </c>
      <c r="G2129" t="s">
        <v>3491</v>
      </c>
      <c r="H2129" s="5" t="str">
        <f t="shared" si="66"/>
        <v>https://videplast.com.br/consulta-imobilizado?id=32002760&amp;nome=MICROCOMPUTADOR%20I7%202600%203.4GH%20HD500GB%20VGA1GH%206450</v>
      </c>
      <c r="I2129" t="e">
        <f t="shared" ca="1" si="67"/>
        <v>#NAME?</v>
      </c>
    </row>
    <row r="2130" spans="1:9" x14ac:dyDescent="0.25">
      <c r="A2130" s="2" t="s">
        <v>3574</v>
      </c>
      <c r="B2130" s="2" t="s">
        <v>10</v>
      </c>
      <c r="C2130" s="3">
        <v>45121</v>
      </c>
      <c r="D2130" t="s">
        <v>3572</v>
      </c>
      <c r="E2130" s="2" t="s">
        <v>12</v>
      </c>
      <c r="F2130" s="2" t="s">
        <v>12</v>
      </c>
      <c r="G2130" t="s">
        <v>3491</v>
      </c>
      <c r="H2130" s="5" t="str">
        <f t="shared" si="66"/>
        <v>https://videplast.com.br/consulta-imobilizado?id=32002761&amp;nome=MICROCOMPUTADOR%20I7%202600%203.4GH%20HD500GB%20VGA1GH%206450</v>
      </c>
      <c r="I2130" t="e">
        <f t="shared" ca="1" si="67"/>
        <v>#NAME?</v>
      </c>
    </row>
    <row r="2131" spans="1:9" x14ac:dyDescent="0.25">
      <c r="A2131" s="2" t="s">
        <v>3575</v>
      </c>
      <c r="B2131" s="2" t="s">
        <v>10</v>
      </c>
      <c r="C2131" s="3">
        <v>42726</v>
      </c>
      <c r="D2131" t="s">
        <v>3576</v>
      </c>
      <c r="E2131" s="2" t="s">
        <v>12</v>
      </c>
      <c r="F2131" s="2" t="s">
        <v>12</v>
      </c>
      <c r="G2131" t="s">
        <v>3577</v>
      </c>
      <c r="H2131" t="str">
        <f t="shared" si="66"/>
        <v>https://videplast.com.br/consulta-imobilizado?id=11000141&amp;nome=REFEITORIO%20352,18%20M2%20/%20VESTIARIOS%20/%20GUARITA</v>
      </c>
      <c r="I2131" t="e">
        <f t="shared" ca="1" si="67"/>
        <v>#NAME?</v>
      </c>
    </row>
    <row r="2132" spans="1:9" x14ac:dyDescent="0.25">
      <c r="A2132" s="2" t="s">
        <v>3578</v>
      </c>
      <c r="B2132" s="2" t="s">
        <v>10</v>
      </c>
      <c r="C2132" s="3">
        <v>41729</v>
      </c>
      <c r="D2132" t="s">
        <v>3579</v>
      </c>
      <c r="E2132" s="2" t="s">
        <v>3580</v>
      </c>
      <c r="F2132" s="2" t="s">
        <v>12</v>
      </c>
      <c r="G2132" t="s">
        <v>3577</v>
      </c>
      <c r="H2132" t="str">
        <f t="shared" si="66"/>
        <v>https://videplast.com.br/consulta-imobilizado?id=30000138&amp;nome=FREEZER%20METALFIO%20220V%20419L%20BRANCO</v>
      </c>
      <c r="I2132" t="e">
        <f t="shared" ca="1" si="67"/>
        <v>#NAME?</v>
      </c>
    </row>
    <row r="2133" spans="1:9" x14ac:dyDescent="0.25">
      <c r="A2133" s="2" t="s">
        <v>3581</v>
      </c>
      <c r="B2133" s="2" t="s">
        <v>10</v>
      </c>
      <c r="C2133" s="3">
        <v>39629</v>
      </c>
      <c r="D2133" t="s">
        <v>3582</v>
      </c>
      <c r="E2133" s="2" t="s">
        <v>12</v>
      </c>
      <c r="F2133" s="2" t="s">
        <v>12</v>
      </c>
      <c r="G2133" t="s">
        <v>3577</v>
      </c>
      <c r="H2133" t="str">
        <f t="shared" si="66"/>
        <v>https://videplast.com.br/consulta-imobilizado?id=30000225&amp;nome=BEBEDOURO%20BAG%2040%20P/%20REFEITORIO</v>
      </c>
      <c r="I2133" t="e">
        <f t="shared" ca="1" si="67"/>
        <v>#NAME?</v>
      </c>
    </row>
    <row r="2134" spans="1:9" x14ac:dyDescent="0.25">
      <c r="A2134" s="2" t="s">
        <v>3583</v>
      </c>
      <c r="B2134" s="2" t="s">
        <v>10</v>
      </c>
      <c r="C2134" s="3">
        <v>42264</v>
      </c>
      <c r="D2134" t="s">
        <v>3584</v>
      </c>
      <c r="E2134" s="2" t="s">
        <v>3585</v>
      </c>
      <c r="F2134" s="2" t="s">
        <v>12</v>
      </c>
      <c r="G2134" t="s">
        <v>3577</v>
      </c>
      <c r="H2134" t="str">
        <f t="shared" si="66"/>
        <v>https://videplast.com.br/consulta-imobilizado?id=30001260&amp;nome=AR%20CONDICIONADO%20SPLIT%20CARRIER%2058000%20BTU</v>
      </c>
      <c r="I2134" t="e">
        <f t="shared" ca="1" si="67"/>
        <v>#NAME?</v>
      </c>
    </row>
    <row r="2135" spans="1:9" x14ac:dyDescent="0.25">
      <c r="A2135" s="2" t="s">
        <v>3586</v>
      </c>
      <c r="B2135" s="2" t="s">
        <v>10</v>
      </c>
      <c r="C2135" s="3">
        <v>42264</v>
      </c>
      <c r="D2135" t="s">
        <v>3584</v>
      </c>
      <c r="E2135" s="2" t="s">
        <v>3587</v>
      </c>
      <c r="F2135" s="2" t="s">
        <v>12</v>
      </c>
      <c r="G2135" t="s">
        <v>3577</v>
      </c>
      <c r="H2135" t="str">
        <f t="shared" si="66"/>
        <v>https://videplast.com.br/consulta-imobilizado?id=30001261&amp;nome=AR%20CONDICIONADO%20SPLIT%20CARRIER%2058000%20BTU</v>
      </c>
      <c r="I2135" t="e">
        <f t="shared" ca="1" si="67"/>
        <v>#NAME?</v>
      </c>
    </row>
    <row r="2136" spans="1:9" x14ac:dyDescent="0.25">
      <c r="A2136" s="2" t="s">
        <v>3588</v>
      </c>
      <c r="B2136" s="2" t="s">
        <v>10</v>
      </c>
      <c r="C2136" s="3">
        <v>42307</v>
      </c>
      <c r="D2136" t="s">
        <v>3589</v>
      </c>
      <c r="E2136" s="2" t="s">
        <v>12</v>
      </c>
      <c r="F2136" s="2" t="s">
        <v>12</v>
      </c>
      <c r="G2136" t="s">
        <v>3577</v>
      </c>
      <c r="H2136" t="str">
        <f t="shared" si="66"/>
        <v>https://videplast.com.br/consulta-imobilizado?id=30001266&amp;nome=MESA%20EM%20AÇO%20INOX%2002%20CUBAS%2070X50X40</v>
      </c>
      <c r="I2136" t="e">
        <f t="shared" ca="1" si="67"/>
        <v>#NAME?</v>
      </c>
    </row>
    <row r="2137" spans="1:9" x14ac:dyDescent="0.25">
      <c r="A2137" s="2" t="s">
        <v>3590</v>
      </c>
      <c r="B2137" s="2" t="s">
        <v>10</v>
      </c>
      <c r="C2137" s="3">
        <v>42307</v>
      </c>
      <c r="D2137" t="s">
        <v>3589</v>
      </c>
      <c r="E2137" s="2" t="s">
        <v>12</v>
      </c>
      <c r="F2137" s="2" t="s">
        <v>12</v>
      </c>
      <c r="G2137" t="s">
        <v>3577</v>
      </c>
      <c r="H2137" t="str">
        <f t="shared" si="66"/>
        <v>https://videplast.com.br/consulta-imobilizado?id=30001267&amp;nome=MESA%20EM%20AÇO%20INOX%2002%20CUBAS%2070X50X40</v>
      </c>
      <c r="I2137" t="e">
        <f t="shared" ca="1" si="67"/>
        <v>#NAME?</v>
      </c>
    </row>
    <row r="2138" spans="1:9" x14ac:dyDescent="0.25">
      <c r="A2138" s="2" t="s">
        <v>3591</v>
      </c>
      <c r="B2138" s="2" t="s">
        <v>10</v>
      </c>
      <c r="C2138" s="3">
        <v>42307</v>
      </c>
      <c r="D2138" t="s">
        <v>3592</v>
      </c>
      <c r="E2138" s="2" t="s">
        <v>12</v>
      </c>
      <c r="F2138" s="2" t="s">
        <v>12</v>
      </c>
      <c r="G2138" t="s">
        <v>3577</v>
      </c>
      <c r="H2138" t="str">
        <f t="shared" si="66"/>
        <v>https://videplast.com.br/consulta-imobilizado?id=30001268&amp;nome=MESA%20EM%20AÇO%20INOX%2001%20CUBA%202050X700X900</v>
      </c>
      <c r="I2138" t="e">
        <f t="shared" ca="1" si="67"/>
        <v>#NAME?</v>
      </c>
    </row>
    <row r="2139" spans="1:9" x14ac:dyDescent="0.25">
      <c r="A2139" s="2" t="s">
        <v>3593</v>
      </c>
      <c r="B2139" s="2" t="s">
        <v>10</v>
      </c>
      <c r="C2139" s="3">
        <v>42307</v>
      </c>
      <c r="D2139" t="s">
        <v>3594</v>
      </c>
      <c r="E2139" s="2" t="s">
        <v>12</v>
      </c>
      <c r="F2139" s="2" t="s">
        <v>12</v>
      </c>
      <c r="G2139" t="s">
        <v>3577</v>
      </c>
      <c r="H2139" t="str">
        <f t="shared" si="66"/>
        <v>https://videplast.com.br/consulta-imobilizado?id=30001269&amp;nome=MESA%20EM%20AÇO%20INOX%20LISA%20700X700X700</v>
      </c>
      <c r="I2139" t="e">
        <f t="shared" ca="1" si="67"/>
        <v>#NAME?</v>
      </c>
    </row>
    <row r="2140" spans="1:9" x14ac:dyDescent="0.25">
      <c r="A2140" s="2" t="s">
        <v>3595</v>
      </c>
      <c r="B2140" s="2" t="s">
        <v>10</v>
      </c>
      <c r="C2140" s="3">
        <v>42307</v>
      </c>
      <c r="D2140" t="s">
        <v>3589</v>
      </c>
      <c r="E2140" s="2" t="s">
        <v>12</v>
      </c>
      <c r="F2140" s="2" t="s">
        <v>12</v>
      </c>
      <c r="G2140" t="s">
        <v>3577</v>
      </c>
      <c r="H2140" t="str">
        <f t="shared" si="66"/>
        <v>https://videplast.com.br/consulta-imobilizado?id=30001270&amp;nome=MESA%20EM%20AÇO%20INOX%2002%20CUBAS%2070X50X40</v>
      </c>
      <c r="I2140" t="e">
        <f t="shared" ca="1" si="67"/>
        <v>#NAME?</v>
      </c>
    </row>
    <row r="2141" spans="1:9" x14ac:dyDescent="0.25">
      <c r="A2141" s="2" t="s">
        <v>3596</v>
      </c>
      <c r="B2141" s="2" t="s">
        <v>10</v>
      </c>
      <c r="C2141" s="3">
        <v>42307</v>
      </c>
      <c r="D2141" t="s">
        <v>3597</v>
      </c>
      <c r="E2141" s="2" t="s">
        <v>12</v>
      </c>
      <c r="F2141" s="2" t="s">
        <v>12</v>
      </c>
      <c r="G2141" t="s">
        <v>3577</v>
      </c>
      <c r="H2141" t="str">
        <f t="shared" si="66"/>
        <v>https://videplast.com.br/consulta-imobilizado?id=30001271&amp;nome=MESA%20EM%20AÇO%20INOX%20LISA%201500X700X900%20C/%20PRATELEIRA</v>
      </c>
      <c r="I2141" t="e">
        <f t="shared" ca="1" si="67"/>
        <v>#NAME?</v>
      </c>
    </row>
    <row r="2142" spans="1:9" x14ac:dyDescent="0.25">
      <c r="A2142" s="2" t="s">
        <v>3598</v>
      </c>
      <c r="B2142" s="2" t="s">
        <v>10</v>
      </c>
      <c r="C2142" s="3">
        <v>42307</v>
      </c>
      <c r="D2142" t="s">
        <v>3599</v>
      </c>
      <c r="E2142" s="2" t="s">
        <v>12</v>
      </c>
      <c r="F2142" s="2" t="s">
        <v>12</v>
      </c>
      <c r="G2142" t="s">
        <v>3577</v>
      </c>
      <c r="H2142" t="str">
        <f t="shared" si="66"/>
        <v>https://videplast.com.br/consulta-imobilizado?id=30001272&amp;nome=MESA%20EM%20AÇO%20INOX%2001%20CUBA%2070X50X40</v>
      </c>
      <c r="I2142" t="e">
        <f t="shared" ca="1" si="67"/>
        <v>#NAME?</v>
      </c>
    </row>
    <row r="2143" spans="1:9" x14ac:dyDescent="0.25">
      <c r="A2143" s="2" t="s">
        <v>3600</v>
      </c>
      <c r="B2143" s="2" t="s">
        <v>10</v>
      </c>
      <c r="C2143" s="3">
        <v>42307</v>
      </c>
      <c r="D2143" t="s">
        <v>3601</v>
      </c>
      <c r="E2143" s="2" t="s">
        <v>12</v>
      </c>
      <c r="F2143" s="2" t="s">
        <v>12</v>
      </c>
      <c r="G2143" t="s">
        <v>3577</v>
      </c>
      <c r="H2143" t="str">
        <f t="shared" si="66"/>
        <v>https://videplast.com.br/consulta-imobilizado?id=30001273&amp;nome=MESA%20EM%20AÇO%20INOX%20C/%20GAVETA%20700X700X500</v>
      </c>
      <c r="I2143" t="e">
        <f t="shared" ca="1" si="67"/>
        <v>#NAME?</v>
      </c>
    </row>
    <row r="2144" spans="1:9" x14ac:dyDescent="0.25">
      <c r="A2144" s="2" t="s">
        <v>3602</v>
      </c>
      <c r="B2144" s="2" t="s">
        <v>10</v>
      </c>
      <c r="C2144" s="3">
        <v>42307</v>
      </c>
      <c r="D2144" t="s">
        <v>3603</v>
      </c>
      <c r="E2144" s="2" t="s">
        <v>12</v>
      </c>
      <c r="F2144" s="2" t="s">
        <v>12</v>
      </c>
      <c r="G2144" t="s">
        <v>3577</v>
      </c>
      <c r="H2144" t="str">
        <f t="shared" si="66"/>
        <v>https://videplast.com.br/consulta-imobilizado?id=30001274&amp;nome=MESA%20EM%20AÇO%20INOX%2001%20CUBA%2050X40X20</v>
      </c>
      <c r="I2144" t="e">
        <f t="shared" ca="1" si="67"/>
        <v>#NAME?</v>
      </c>
    </row>
    <row r="2145" spans="1:9" x14ac:dyDescent="0.25">
      <c r="A2145" s="2" t="s">
        <v>3604</v>
      </c>
      <c r="B2145" s="2" t="s">
        <v>10</v>
      </c>
      <c r="C2145" s="3">
        <v>42307</v>
      </c>
      <c r="D2145" t="s">
        <v>3605</v>
      </c>
      <c r="E2145" s="2" t="s">
        <v>12</v>
      </c>
      <c r="F2145" s="2" t="s">
        <v>12</v>
      </c>
      <c r="G2145" t="s">
        <v>3577</v>
      </c>
      <c r="H2145" t="str">
        <f t="shared" si="66"/>
        <v>https://videplast.com.br/consulta-imobilizado?id=30001275&amp;nome=MESA%20EM%20AÇO%20INOX%20LISA%201500X600X900</v>
      </c>
      <c r="I2145" t="e">
        <f t="shared" ca="1" si="67"/>
        <v>#NAME?</v>
      </c>
    </row>
    <row r="2146" spans="1:9" x14ac:dyDescent="0.25">
      <c r="A2146" s="2" t="s">
        <v>3606</v>
      </c>
      <c r="B2146" s="2" t="s">
        <v>10</v>
      </c>
      <c r="C2146" s="3">
        <v>42307</v>
      </c>
      <c r="D2146" t="s">
        <v>3603</v>
      </c>
      <c r="E2146" s="2" t="s">
        <v>12</v>
      </c>
      <c r="F2146" s="2" t="s">
        <v>12</v>
      </c>
      <c r="G2146" t="s">
        <v>3577</v>
      </c>
      <c r="H2146" t="str">
        <f t="shared" si="66"/>
        <v>https://videplast.com.br/consulta-imobilizado?id=30001276&amp;nome=MESA%20EM%20AÇO%20INOX%2001%20CUBA%2050X40X20</v>
      </c>
      <c r="I2146" t="e">
        <f t="shared" ca="1" si="67"/>
        <v>#NAME?</v>
      </c>
    </row>
    <row r="2147" spans="1:9" x14ac:dyDescent="0.25">
      <c r="A2147" s="2" t="s">
        <v>3607</v>
      </c>
      <c r="B2147" s="2" t="s">
        <v>10</v>
      </c>
      <c r="C2147" s="3">
        <v>42307</v>
      </c>
      <c r="D2147" t="s">
        <v>3608</v>
      </c>
      <c r="E2147" s="2" t="s">
        <v>12</v>
      </c>
      <c r="F2147" s="2" t="s">
        <v>12</v>
      </c>
      <c r="G2147" t="s">
        <v>3577</v>
      </c>
      <c r="H2147" t="str">
        <f t="shared" si="66"/>
        <v>https://videplast.com.br/consulta-imobilizado?id=30001277&amp;nome=MESA%20EM%20AÇO%20INOX%2001%20FUNIL%20CHAPA%202850X600X900</v>
      </c>
      <c r="I2147" t="e">
        <f t="shared" ca="1" si="67"/>
        <v>#NAME?</v>
      </c>
    </row>
    <row r="2148" spans="1:9" x14ac:dyDescent="0.25">
      <c r="A2148" s="2" t="s">
        <v>3609</v>
      </c>
      <c r="B2148" s="2" t="s">
        <v>10</v>
      </c>
      <c r="C2148" s="3">
        <v>42307</v>
      </c>
      <c r="D2148" t="s">
        <v>3610</v>
      </c>
      <c r="E2148" s="2" t="s">
        <v>12</v>
      </c>
      <c r="F2148" s="2" t="s">
        <v>12</v>
      </c>
      <c r="G2148" t="s">
        <v>3577</v>
      </c>
      <c r="H2148" t="str">
        <f t="shared" si="66"/>
        <v>https://videplast.com.br/consulta-imobilizado?id=30001278&amp;nome=MULTIGUINCHE%203%20MODULOS%20CHAPA%201.5</v>
      </c>
      <c r="I2148" t="e">
        <f t="shared" ca="1" si="67"/>
        <v>#NAME?</v>
      </c>
    </row>
    <row r="2149" spans="1:9" x14ac:dyDescent="0.25">
      <c r="A2149" s="2" t="s">
        <v>3611</v>
      </c>
      <c r="B2149" s="2" t="s">
        <v>10</v>
      </c>
      <c r="C2149" s="3">
        <v>42307</v>
      </c>
      <c r="D2149" t="s">
        <v>3612</v>
      </c>
      <c r="E2149" s="2" t="s">
        <v>12</v>
      </c>
      <c r="F2149" s="2" t="s">
        <v>12</v>
      </c>
      <c r="G2149" t="s">
        <v>3577</v>
      </c>
      <c r="H2149" t="str">
        <f t="shared" si="66"/>
        <v>https://videplast.com.br/consulta-imobilizado?id=30001279&amp;nome=TANQUE%20INOX%20CHAPA%201.5%20550X450X230</v>
      </c>
      <c r="I2149" t="e">
        <f t="shared" ca="1" si="67"/>
        <v>#NAME?</v>
      </c>
    </row>
    <row r="2150" spans="1:9" x14ac:dyDescent="0.25">
      <c r="A2150" s="2" t="s">
        <v>3613</v>
      </c>
      <c r="B2150" s="2" t="s">
        <v>10</v>
      </c>
      <c r="C2150" s="3">
        <v>42307</v>
      </c>
      <c r="D2150" t="s">
        <v>3614</v>
      </c>
      <c r="E2150" s="2" t="s">
        <v>12</v>
      </c>
      <c r="F2150" s="2" t="s">
        <v>12</v>
      </c>
      <c r="G2150" t="s">
        <v>3577</v>
      </c>
      <c r="H2150" t="str">
        <f t="shared" si="66"/>
        <v>https://videplast.com.br/consulta-imobilizado?id=30001280&amp;nome=PIA%20DE%20ASSEPSIA%20INOX%20CHAPA%20500X500%20C/%20TORNEIRA</v>
      </c>
      <c r="I2150" t="e">
        <f t="shared" ca="1" si="67"/>
        <v>#NAME?</v>
      </c>
    </row>
    <row r="2151" spans="1:9" x14ac:dyDescent="0.25">
      <c r="A2151" s="2" t="s">
        <v>3615</v>
      </c>
      <c r="B2151" s="2" t="s">
        <v>10</v>
      </c>
      <c r="C2151" s="3">
        <v>42307</v>
      </c>
      <c r="D2151" t="s">
        <v>3614</v>
      </c>
      <c r="E2151" s="2" t="s">
        <v>12</v>
      </c>
      <c r="F2151" s="2" t="s">
        <v>12</v>
      </c>
      <c r="G2151" t="s">
        <v>3577</v>
      </c>
      <c r="H2151" t="str">
        <f t="shared" si="66"/>
        <v>https://videplast.com.br/consulta-imobilizado?id=30001281&amp;nome=PIA%20DE%20ASSEPSIA%20INOX%20CHAPA%20500X500%20C/%20TORNEIRA</v>
      </c>
      <c r="I2151" t="e">
        <f t="shared" ca="1" si="67"/>
        <v>#NAME?</v>
      </c>
    </row>
    <row r="2152" spans="1:9" x14ac:dyDescent="0.25">
      <c r="A2152" s="2" t="s">
        <v>3616</v>
      </c>
      <c r="B2152" s="2" t="s">
        <v>10</v>
      </c>
      <c r="C2152" s="3">
        <v>42348</v>
      </c>
      <c r="D2152" t="s">
        <v>3617</v>
      </c>
      <c r="E2152" s="2" t="s">
        <v>12</v>
      </c>
      <c r="F2152" s="2" t="s">
        <v>12</v>
      </c>
      <c r="G2152" t="s">
        <v>3577</v>
      </c>
      <c r="H2152" t="str">
        <f t="shared" si="66"/>
        <v>https://videplast.com.br/consulta-imobilizado?id=30001362&amp;nome=COIFA%20P/%20REFEITORIO</v>
      </c>
      <c r="I2152" t="e">
        <f t="shared" ca="1" si="67"/>
        <v>#NAME?</v>
      </c>
    </row>
    <row r="2153" spans="1:9" x14ac:dyDescent="0.25">
      <c r="A2153" s="2" t="s">
        <v>3618</v>
      </c>
      <c r="B2153" s="2" t="s">
        <v>10</v>
      </c>
      <c r="C2153" s="3">
        <v>42348</v>
      </c>
      <c r="D2153" t="s">
        <v>3619</v>
      </c>
      <c r="E2153" s="2" t="s">
        <v>12</v>
      </c>
      <c r="F2153" s="2" t="s">
        <v>12</v>
      </c>
      <c r="G2153" t="s">
        <v>3577</v>
      </c>
      <c r="H2153" t="str">
        <f t="shared" si="66"/>
        <v>https://videplast.com.br/consulta-imobilizado?id=30001363&amp;nome=DUTOS%20EM%20AÇO</v>
      </c>
      <c r="I2153" t="e">
        <f t="shared" ca="1" si="67"/>
        <v>#NAME?</v>
      </c>
    </row>
    <row r="2154" spans="1:9" x14ac:dyDescent="0.25">
      <c r="A2154" s="2" t="s">
        <v>3620</v>
      </c>
      <c r="B2154" s="2" t="s">
        <v>10</v>
      </c>
      <c r="C2154" s="3">
        <v>42348</v>
      </c>
      <c r="D2154" t="s">
        <v>3621</v>
      </c>
      <c r="E2154" s="2" t="s">
        <v>12</v>
      </c>
      <c r="F2154" s="2" t="s">
        <v>12</v>
      </c>
      <c r="G2154" t="s">
        <v>3577</v>
      </c>
      <c r="H2154" t="str">
        <f t="shared" si="66"/>
        <v>https://videplast.com.br/consulta-imobilizado?id=30001364&amp;nome=EXAUSTOR%20EQ500M4%20220</v>
      </c>
      <c r="I2154" t="e">
        <f t="shared" ca="1" si="67"/>
        <v>#NAME?</v>
      </c>
    </row>
    <row r="2155" spans="1:9" x14ac:dyDescent="0.25">
      <c r="A2155" s="2" t="s">
        <v>3622</v>
      </c>
      <c r="B2155" s="2" t="s">
        <v>10</v>
      </c>
      <c r="C2155" s="3">
        <v>44951</v>
      </c>
      <c r="D2155" t="s">
        <v>3623</v>
      </c>
      <c r="E2155" s="2" t="s">
        <v>3624</v>
      </c>
      <c r="F2155" s="2" t="s">
        <v>12</v>
      </c>
      <c r="G2155" t="s">
        <v>3577</v>
      </c>
      <c r="H2155" t="str">
        <f t="shared" si="66"/>
        <v>https://videplast.com.br/consulta-imobilizado?id=30003781&amp;nome=TV%20SMART%20LED%2055"%20LG%20K4%20UHD</v>
      </c>
      <c r="I2155" t="e">
        <f t="shared" ca="1" si="67"/>
        <v>#NAME?</v>
      </c>
    </row>
    <row r="2156" spans="1:9" x14ac:dyDescent="0.25">
      <c r="A2156" s="2" t="s">
        <v>3625</v>
      </c>
      <c r="B2156" s="2" t="s">
        <v>10</v>
      </c>
      <c r="C2156" s="3">
        <v>45118</v>
      </c>
      <c r="D2156" t="s">
        <v>3626</v>
      </c>
      <c r="E2156" s="2" t="s">
        <v>3627</v>
      </c>
      <c r="F2156" s="2" t="s">
        <v>12</v>
      </c>
      <c r="G2156" t="s">
        <v>3577</v>
      </c>
      <c r="H2156" t="str">
        <f t="shared" si="66"/>
        <v>https://videplast.com.br/consulta-imobilizado?id=30003891&amp;nome=AR%20CONDICIONADO%20SPLIT%20TETO%20SPRINGER%20FRIO%2060000%20BTU</v>
      </c>
      <c r="I2156" t="e">
        <f t="shared" ca="1" si="67"/>
        <v>#NAME?</v>
      </c>
    </row>
    <row r="2157" spans="1:9" x14ac:dyDescent="0.25">
      <c r="A2157" s="2" t="s">
        <v>3628</v>
      </c>
      <c r="B2157" s="2" t="s">
        <v>10</v>
      </c>
      <c r="C2157" s="3">
        <v>45118</v>
      </c>
      <c r="D2157" t="s">
        <v>3626</v>
      </c>
      <c r="E2157" s="2" t="s">
        <v>3629</v>
      </c>
      <c r="F2157" s="2" t="s">
        <v>3630</v>
      </c>
      <c r="G2157" t="s">
        <v>3577</v>
      </c>
      <c r="H2157" t="str">
        <f t="shared" si="66"/>
        <v>https://videplast.com.br/consulta-imobilizado?id=30003892&amp;nome=AR%20CONDICIONADO%20SPLIT%20TETO%20SPRINGER%20FRIO%2060000%20BTU</v>
      </c>
      <c r="I2157" t="e">
        <f t="shared" ca="1" si="67"/>
        <v>#NAME?</v>
      </c>
    </row>
    <row r="2158" spans="1:9" x14ac:dyDescent="0.25">
      <c r="A2158" s="2" t="s">
        <v>3631</v>
      </c>
      <c r="B2158" s="2" t="s">
        <v>10</v>
      </c>
      <c r="C2158" s="3">
        <v>45450</v>
      </c>
      <c r="D2158" t="s">
        <v>3632</v>
      </c>
      <c r="E2158" s="2" t="s">
        <v>3633</v>
      </c>
      <c r="F2158" s="2" t="s">
        <v>3634</v>
      </c>
      <c r="G2158" t="s">
        <v>3577</v>
      </c>
      <c r="H2158" t="str">
        <f t="shared" si="66"/>
        <v>https://videplast.com.br/consulta-imobilizado?id=30004150&amp;nome=AR%20CONDICIONADO%20SPLIT%20HW%20FUJITSU%2012000%20BTU</v>
      </c>
      <c r="I2158" t="e">
        <f t="shared" ca="1" si="67"/>
        <v>#NAME?</v>
      </c>
    </row>
    <row r="2159" spans="1:9" x14ac:dyDescent="0.25">
      <c r="A2159" s="2" t="s">
        <v>3635</v>
      </c>
      <c r="B2159" s="2" t="s">
        <v>10</v>
      </c>
      <c r="C2159" s="3">
        <v>41486</v>
      </c>
      <c r="D2159" t="s">
        <v>3636</v>
      </c>
      <c r="E2159" s="2" t="s">
        <v>3637</v>
      </c>
      <c r="F2159" s="2" t="s">
        <v>12</v>
      </c>
      <c r="G2159" t="s">
        <v>3577</v>
      </c>
      <c r="H2159" t="str">
        <f t="shared" si="66"/>
        <v>https://videplast.com.br/consulta-imobilizado?id=32000050&amp;nome=CATRACA%20ELETRONICA%20ACESSO/FREQUENCIA%20MOD.%20BAP</v>
      </c>
      <c r="I2159" t="e">
        <f t="shared" ca="1" si="67"/>
        <v>#NAME?</v>
      </c>
    </row>
    <row r="2160" spans="1:9" x14ac:dyDescent="0.25">
      <c r="A2160" s="2" t="s">
        <v>3635</v>
      </c>
      <c r="B2160" s="2" t="s">
        <v>26</v>
      </c>
      <c r="C2160" s="3">
        <v>41486</v>
      </c>
      <c r="D2160" t="s">
        <v>3636</v>
      </c>
      <c r="E2160" s="2" t="s">
        <v>3638</v>
      </c>
      <c r="F2160" s="2" t="s">
        <v>12</v>
      </c>
      <c r="G2160" t="s">
        <v>3577</v>
      </c>
      <c r="H2160" t="str">
        <f t="shared" si="66"/>
        <v>https://videplast.com.br/consulta-imobilizado?id=32000050&amp;nome=CATRACA%20ELETRONICA%20ACESSO/FREQUENCIA%20MOD.%20BAP</v>
      </c>
      <c r="I2160" t="e">
        <f t="shared" ca="1" si="67"/>
        <v>#NAME?</v>
      </c>
    </row>
    <row r="2161" spans="1:9" x14ac:dyDescent="0.25">
      <c r="A2161" s="2" t="s">
        <v>3639</v>
      </c>
      <c r="B2161" s="2" t="s">
        <v>10</v>
      </c>
      <c r="C2161" s="3">
        <v>44851</v>
      </c>
      <c r="D2161" t="s">
        <v>3640</v>
      </c>
      <c r="E2161" s="2" t="s">
        <v>12</v>
      </c>
      <c r="F2161" s="2" t="s">
        <v>3641</v>
      </c>
      <c r="G2161" t="s">
        <v>3577</v>
      </c>
      <c r="H2161" t="str">
        <f t="shared" si="66"/>
        <v>https://videplast.com.br/consulta-imobilizado?id=32002534&amp;nome=CATRACA%20FIT%204%20TOPDATA%20LEITOR%20DE%20BIOMETRIA%20E%20BARRAS</v>
      </c>
      <c r="I2161" t="e">
        <f t="shared" ca="1" si="67"/>
        <v>#NAME?</v>
      </c>
    </row>
    <row r="2162" spans="1:9" x14ac:dyDescent="0.25">
      <c r="A2162" s="2" t="s">
        <v>3642</v>
      </c>
      <c r="B2162" s="2" t="s">
        <v>10</v>
      </c>
      <c r="C2162" s="3">
        <v>44851</v>
      </c>
      <c r="D2162" t="s">
        <v>3643</v>
      </c>
      <c r="E2162" s="2" t="s">
        <v>12</v>
      </c>
      <c r="F2162" s="2" t="s">
        <v>3644</v>
      </c>
      <c r="G2162" t="s">
        <v>3577</v>
      </c>
      <c r="H2162" t="str">
        <f t="shared" si="66"/>
        <v>https://videplast.com.br/consulta-imobilizado?id=32002560&amp;nome=CATRACA%20FIT%204%20TOPDATA%20LEITOR%20DE%20BIOMETRIA%20LFD</v>
      </c>
      <c r="I2162" t="e">
        <f t="shared" ca="1" si="67"/>
        <v>#NAME?</v>
      </c>
    </row>
    <row r="2163" spans="1:9" x14ac:dyDescent="0.25">
      <c r="A2163" s="2" t="s">
        <v>3645</v>
      </c>
      <c r="B2163" s="2" t="s">
        <v>10</v>
      </c>
      <c r="C2163" s="3">
        <v>39478</v>
      </c>
      <c r="D2163" t="s">
        <v>3646</v>
      </c>
      <c r="E2163" s="2" t="s">
        <v>12</v>
      </c>
      <c r="F2163" s="2" t="s">
        <v>12</v>
      </c>
      <c r="G2163" t="s">
        <v>3647</v>
      </c>
      <c r="H2163" t="str">
        <f t="shared" si="66"/>
        <v>https://videplast.com.br/consulta-imobilizado?id=11000052&amp;nome=LAJE%20TRELICADA%20PARA%20PATEO%20DA%20FABRICA</v>
      </c>
      <c r="I2163" t="e">
        <f t="shared" ca="1" si="67"/>
        <v>#NAME?</v>
      </c>
    </row>
    <row r="2164" spans="1:9" x14ac:dyDescent="0.25">
      <c r="A2164" s="2" t="s">
        <v>3648</v>
      </c>
      <c r="B2164" s="2" t="s">
        <v>10</v>
      </c>
      <c r="C2164" s="3">
        <v>39478</v>
      </c>
      <c r="D2164" t="s">
        <v>3649</v>
      </c>
      <c r="E2164" s="2" t="s">
        <v>12</v>
      </c>
      <c r="F2164" s="2" t="s">
        <v>12</v>
      </c>
      <c r="G2164" t="s">
        <v>3647</v>
      </c>
      <c r="H2164" t="str">
        <f t="shared" si="66"/>
        <v>https://videplast.com.br/consulta-imobilizado?id=11000054&amp;nome=TIJOLAO,AREIA%20GROSSA,AREIA%20FINA,CIMENTO,SUPER</v>
      </c>
      <c r="I2164" t="e">
        <f t="shared" ca="1" si="67"/>
        <v>#NAME?</v>
      </c>
    </row>
    <row r="2165" spans="1:9" x14ac:dyDescent="0.25">
      <c r="A2165" s="2" t="s">
        <v>3650</v>
      </c>
      <c r="B2165" s="2" t="s">
        <v>10</v>
      </c>
      <c r="C2165" s="3">
        <v>39478</v>
      </c>
      <c r="D2165" t="s">
        <v>3651</v>
      </c>
      <c r="E2165" s="2" t="s">
        <v>12</v>
      </c>
      <c r="F2165" s="2" t="s">
        <v>12</v>
      </c>
      <c r="G2165" t="s">
        <v>3647</v>
      </c>
      <c r="H2165" t="str">
        <f t="shared" si="66"/>
        <v>https://videplast.com.br/consulta-imobilizado?id=11000058&amp;nome=SACO%20DE%20CIMENTO,%20TIJOLINHO,%20TIJOLO%20E%20AREIA</v>
      </c>
      <c r="I2165" t="e">
        <f t="shared" ca="1" si="67"/>
        <v>#NAME?</v>
      </c>
    </row>
    <row r="2166" spans="1:9" x14ac:dyDescent="0.25">
      <c r="A2166" s="2" t="s">
        <v>3652</v>
      </c>
      <c r="B2166" s="2" t="s">
        <v>10</v>
      </c>
      <c r="C2166" s="3">
        <v>39872</v>
      </c>
      <c r="D2166" t="s">
        <v>3653</v>
      </c>
      <c r="E2166" s="2" t="s">
        <v>12</v>
      </c>
      <c r="F2166" s="2" t="s">
        <v>12</v>
      </c>
      <c r="G2166" t="s">
        <v>3647</v>
      </c>
      <c r="H2166" t="str">
        <f t="shared" si="66"/>
        <v>https://videplast.com.br/consulta-imobilizado?id=11000083&amp;nome=54,60%20MT%20DE%20CABOS%20DE%20ACO,%2004%20UN%20DE%20TRAVA%20GRIPE,</v>
      </c>
      <c r="I2166" t="e">
        <f t="shared" ca="1" si="67"/>
        <v>#NAME?</v>
      </c>
    </row>
    <row r="2167" spans="1:9" x14ac:dyDescent="0.25">
      <c r="A2167" s="2" t="s">
        <v>3652</v>
      </c>
      <c r="B2167" s="2" t="s">
        <v>26</v>
      </c>
      <c r="C2167" s="3">
        <v>39872</v>
      </c>
      <c r="D2167" t="s">
        <v>3654</v>
      </c>
      <c r="E2167" s="2" t="s">
        <v>12</v>
      </c>
      <c r="F2167" s="2" t="s">
        <v>12</v>
      </c>
      <c r="G2167" t="s">
        <v>3647</v>
      </c>
      <c r="H2167" t="str">
        <f t="shared" si="66"/>
        <v>https://videplast.com.br/consulta-imobilizado?id=11000083&amp;nome=SERVICO%20DE%20FRETE%20P/TRANSP%20DE%20%2054,60%20MT%20DE%20CABOS</v>
      </c>
      <c r="I2167" t="e">
        <f t="shared" ca="1" si="67"/>
        <v>#NAME?</v>
      </c>
    </row>
    <row r="2168" spans="1:9" x14ac:dyDescent="0.25">
      <c r="A2168" s="2" t="s">
        <v>3655</v>
      </c>
      <c r="B2168" s="2" t="s">
        <v>10</v>
      </c>
      <c r="C2168" s="3">
        <v>42726</v>
      </c>
      <c r="D2168" t="s">
        <v>3656</v>
      </c>
      <c r="E2168" s="2" t="s">
        <v>12</v>
      </c>
      <c r="F2168" s="2" t="s">
        <v>12</v>
      </c>
      <c r="G2168" t="s">
        <v>3647</v>
      </c>
      <c r="H2168" t="str">
        <f t="shared" si="66"/>
        <v>https://videplast.com.br/consulta-imobilizado?id=11000138&amp;nome=GUARITA%20COM%20AREA%20COBERTA%20E%20PISO%2044,96M2</v>
      </c>
      <c r="I2168" t="e">
        <f t="shared" ca="1" si="67"/>
        <v>#NAME?</v>
      </c>
    </row>
    <row r="2169" spans="1:9" x14ac:dyDescent="0.25">
      <c r="A2169" s="2" t="s">
        <v>3657</v>
      </c>
      <c r="B2169" s="2" t="s">
        <v>10</v>
      </c>
      <c r="C2169" s="3">
        <v>42214</v>
      </c>
      <c r="D2169" t="s">
        <v>2189</v>
      </c>
      <c r="E2169" s="2" t="s">
        <v>12</v>
      </c>
      <c r="F2169" s="2" t="s">
        <v>12</v>
      </c>
      <c r="G2169" t="s">
        <v>3647</v>
      </c>
      <c r="H2169" t="str">
        <f t="shared" si="66"/>
        <v>https://videplast.com.br/consulta-imobilizado?id=30001242&amp;nome=CADEIRA%20CAIXA%20EXECUTIVA%20COM%20BRACO%20T</v>
      </c>
      <c r="I2169" t="e">
        <f t="shared" ca="1" si="67"/>
        <v>#NAME?</v>
      </c>
    </row>
    <row r="2170" spans="1:9" x14ac:dyDescent="0.25">
      <c r="A2170" s="2" t="s">
        <v>3658</v>
      </c>
      <c r="B2170" s="2" t="s">
        <v>10</v>
      </c>
      <c r="C2170" s="3">
        <v>42214</v>
      </c>
      <c r="D2170" t="s">
        <v>2189</v>
      </c>
      <c r="E2170" s="2" t="s">
        <v>12</v>
      </c>
      <c r="F2170" s="2" t="s">
        <v>12</v>
      </c>
      <c r="G2170" t="s">
        <v>3647</v>
      </c>
      <c r="H2170" t="str">
        <f t="shared" si="66"/>
        <v>https://videplast.com.br/consulta-imobilizado?id=30001245&amp;nome=CADEIRA%20CAIXA%20EXECUTIVA%20COM%20BRACO%20T</v>
      </c>
      <c r="I2170" t="e">
        <f t="shared" ca="1" si="67"/>
        <v>#NAME?</v>
      </c>
    </row>
    <row r="2171" spans="1:9" x14ac:dyDescent="0.25">
      <c r="A2171" s="2" t="s">
        <v>3659</v>
      </c>
      <c r="B2171" s="2" t="s">
        <v>10</v>
      </c>
      <c r="C2171" s="3">
        <v>43559</v>
      </c>
      <c r="D2171" t="s">
        <v>3660</v>
      </c>
      <c r="E2171" s="2" t="s">
        <v>12</v>
      </c>
      <c r="F2171" s="2" t="s">
        <v>12</v>
      </c>
      <c r="G2171" t="s">
        <v>3647</v>
      </c>
      <c r="H2171" t="str">
        <f t="shared" si="66"/>
        <v>https://videplast.com.br/consulta-imobilizado?id=30001851&amp;nome=TV%20SAMSUNG%2049%20"%20FH6003G%20LED%20FULL%20HD%20DTV</v>
      </c>
      <c r="I2171" t="e">
        <f t="shared" ca="1" si="67"/>
        <v>#NAME?</v>
      </c>
    </row>
    <row r="2172" spans="1:9" x14ac:dyDescent="0.25">
      <c r="A2172" s="2" t="s">
        <v>3661</v>
      </c>
      <c r="B2172" s="2" t="s">
        <v>10</v>
      </c>
      <c r="C2172" s="3">
        <v>43895</v>
      </c>
      <c r="D2172" t="s">
        <v>3662</v>
      </c>
      <c r="E2172" s="2" t="s">
        <v>12</v>
      </c>
      <c r="F2172" s="2" t="s">
        <v>3663</v>
      </c>
      <c r="G2172" t="s">
        <v>3647</v>
      </c>
      <c r="H2172" t="str">
        <f t="shared" si="66"/>
        <v>https://videplast.com.br/consulta-imobilizado?id=30002398&amp;nome=AR%20CONDICIONADO%20FRIO%20SPLIT%20HW%20FUJITSU%2012000%20BTU</v>
      </c>
      <c r="I2172" t="e">
        <f t="shared" ca="1" si="67"/>
        <v>#NAME?</v>
      </c>
    </row>
    <row r="2173" spans="1:9" x14ac:dyDescent="0.25">
      <c r="A2173" s="2" t="s">
        <v>3664</v>
      </c>
      <c r="B2173" s="2" t="s">
        <v>10</v>
      </c>
      <c r="C2173" s="3">
        <v>44055</v>
      </c>
      <c r="D2173" t="s">
        <v>3665</v>
      </c>
      <c r="E2173" s="2" t="s">
        <v>12</v>
      </c>
      <c r="F2173" s="2" t="s">
        <v>12</v>
      </c>
      <c r="G2173" t="s">
        <v>3647</v>
      </c>
      <c r="H2173" t="str">
        <f t="shared" si="66"/>
        <v>https://videplast.com.br/consulta-imobilizado?id=30002573&amp;nome=CADEIRA%20DE%20CAIXA%20EXECUTIVA%20,%20ARANHA%20METAL%20FIXA</v>
      </c>
      <c r="I2173" t="e">
        <f t="shared" ca="1" si="67"/>
        <v>#NAME?</v>
      </c>
    </row>
    <row r="2174" spans="1:9" x14ac:dyDescent="0.25">
      <c r="A2174" s="2" t="s">
        <v>3666</v>
      </c>
      <c r="B2174" s="2" t="s">
        <v>10</v>
      </c>
      <c r="C2174" s="3">
        <v>44055</v>
      </c>
      <c r="D2174" t="s">
        <v>3667</v>
      </c>
      <c r="E2174" s="2" t="s">
        <v>12</v>
      </c>
      <c r="F2174" s="2" t="s">
        <v>12</v>
      </c>
      <c r="G2174" t="s">
        <v>3647</v>
      </c>
      <c r="H2174" t="str">
        <f t="shared" si="66"/>
        <v>https://videplast.com.br/consulta-imobilizado?id=30002574&amp;nome=CADEIRA%20DE%20CAIXA%20EXECUTIVA%20%20ARANHA%20METAL%20GIRATORIA</v>
      </c>
      <c r="I2174" t="e">
        <f t="shared" ca="1" si="67"/>
        <v>#NAME?</v>
      </c>
    </row>
    <row r="2175" spans="1:9" x14ac:dyDescent="0.25">
      <c r="A2175" s="2" t="s">
        <v>3668</v>
      </c>
      <c r="B2175" s="2" t="s">
        <v>10</v>
      </c>
      <c r="C2175" s="3">
        <v>44530</v>
      </c>
      <c r="D2175" t="s">
        <v>3669</v>
      </c>
      <c r="E2175" s="2" t="s">
        <v>3670</v>
      </c>
      <c r="F2175" s="2" t="s">
        <v>12</v>
      </c>
      <c r="G2175" t="s">
        <v>3647</v>
      </c>
      <c r="H2175" t="str">
        <f t="shared" si="66"/>
        <v>https://videplast.com.br/consulta-imobilizado?id=30003533&amp;nome=AR%20CONDICIONADO%20INT/EXT%20FRIO%20FUJITSU%2012000BTUS</v>
      </c>
      <c r="I2175" t="e">
        <f t="shared" ca="1" si="67"/>
        <v>#NAME?</v>
      </c>
    </row>
    <row r="2176" spans="1:9" x14ac:dyDescent="0.25">
      <c r="A2176" s="2" t="s">
        <v>3671</v>
      </c>
      <c r="B2176" s="2" t="s">
        <v>10</v>
      </c>
      <c r="C2176" s="3">
        <v>45589</v>
      </c>
      <c r="D2176" t="s">
        <v>3672</v>
      </c>
      <c r="E2176" s="2" t="s">
        <v>3673</v>
      </c>
      <c r="F2176" s="2" t="s">
        <v>12</v>
      </c>
      <c r="G2176" t="s">
        <v>3647</v>
      </c>
      <c r="H2176" t="str">
        <f t="shared" si="66"/>
        <v>https://videplast.com.br/consulta-imobilizado?id=30004420&amp;nome=CADEIRA%20CAIXA%20EXECUTIVA%20C/%20BRACO%20T%20E%20APOIO%20P/%20PES</v>
      </c>
      <c r="I2176" t="e">
        <f t="shared" ca="1" si="67"/>
        <v>#NAME?</v>
      </c>
    </row>
    <row r="2177" spans="1:9" x14ac:dyDescent="0.25">
      <c r="A2177" s="2" t="s">
        <v>3674</v>
      </c>
      <c r="B2177" s="2" t="s">
        <v>10</v>
      </c>
      <c r="C2177" s="3">
        <v>42317</v>
      </c>
      <c r="D2177" t="s">
        <v>3675</v>
      </c>
      <c r="E2177" s="2" t="s">
        <v>12</v>
      </c>
      <c r="F2177" s="2" t="s">
        <v>12</v>
      </c>
      <c r="G2177" t="s">
        <v>3647</v>
      </c>
      <c r="H2177" t="str">
        <f t="shared" si="66"/>
        <v>https://videplast.com.br/consulta-imobilizado?id=32000889&amp;nome=CAMERA%20IP%20VIP%20S3120%20LENTE%203,6%20MM%2020%20MTS</v>
      </c>
      <c r="I2177" t="e">
        <f t="shared" ca="1" si="67"/>
        <v>#NAME?</v>
      </c>
    </row>
    <row r="2178" spans="1:9" x14ac:dyDescent="0.25">
      <c r="A2178" s="2" t="s">
        <v>3676</v>
      </c>
      <c r="B2178" s="2" t="s">
        <v>10</v>
      </c>
      <c r="C2178" s="3">
        <v>42317</v>
      </c>
      <c r="D2178" t="s">
        <v>3675</v>
      </c>
      <c r="E2178" s="2" t="s">
        <v>12</v>
      </c>
      <c r="F2178" s="2" t="s">
        <v>12</v>
      </c>
      <c r="G2178" t="s">
        <v>3647</v>
      </c>
      <c r="H2178" t="str">
        <f t="shared" ref="H2178:H2241" si="68" xml:space="preserve"> "https://videplast.com.br/consulta-imobilizado?id=" &amp; A2178 &amp; "&amp;nome=" &amp; SUBSTITUTE(D2178, " ", "%20")</f>
        <v>https://videplast.com.br/consulta-imobilizado?id=32000890&amp;nome=CAMERA%20IP%20VIP%20S3120%20LENTE%203,6%20MM%2020%20MTS</v>
      </c>
      <c r="I2178" t="e">
        <f t="shared" ref="I2178:I2241" ca="1" si="69">_xlfn.IMAGE("https://chart.googleapis.com/chart?chs=150x150&amp;cht=qr&amp;chl=" &amp; H2178)</f>
        <v>#NAME?</v>
      </c>
    </row>
    <row r="2179" spans="1:9" x14ac:dyDescent="0.25">
      <c r="A2179" s="2" t="s">
        <v>3677</v>
      </c>
      <c r="B2179" s="2" t="s">
        <v>10</v>
      </c>
      <c r="C2179" s="3">
        <v>42317</v>
      </c>
      <c r="D2179" t="s">
        <v>3675</v>
      </c>
      <c r="E2179" s="2" t="s">
        <v>12</v>
      </c>
      <c r="F2179" s="2" t="s">
        <v>12</v>
      </c>
      <c r="G2179" t="s">
        <v>3647</v>
      </c>
      <c r="H2179" t="str">
        <f t="shared" si="68"/>
        <v>https://videplast.com.br/consulta-imobilizado?id=32000891&amp;nome=CAMERA%20IP%20VIP%20S3120%20LENTE%203,6%20MM%2020%20MTS</v>
      </c>
      <c r="I2179" t="e">
        <f t="shared" ca="1" si="69"/>
        <v>#NAME?</v>
      </c>
    </row>
    <row r="2180" spans="1:9" x14ac:dyDescent="0.25">
      <c r="A2180" s="2" t="s">
        <v>3678</v>
      </c>
      <c r="B2180" s="2" t="s">
        <v>10</v>
      </c>
      <c r="C2180" s="3">
        <v>42317</v>
      </c>
      <c r="D2180" t="s">
        <v>3675</v>
      </c>
      <c r="E2180" s="2" t="s">
        <v>12</v>
      </c>
      <c r="F2180" s="2" t="s">
        <v>12</v>
      </c>
      <c r="G2180" t="s">
        <v>3647</v>
      </c>
      <c r="H2180" t="str">
        <f t="shared" si="68"/>
        <v>https://videplast.com.br/consulta-imobilizado?id=32000892&amp;nome=CAMERA%20IP%20VIP%20S3120%20LENTE%203,6%20MM%2020%20MTS</v>
      </c>
      <c r="I2180" t="e">
        <f t="shared" ca="1" si="69"/>
        <v>#NAME?</v>
      </c>
    </row>
    <row r="2181" spans="1:9" x14ac:dyDescent="0.25">
      <c r="A2181" s="2" t="s">
        <v>3679</v>
      </c>
      <c r="B2181" s="2" t="s">
        <v>10</v>
      </c>
      <c r="C2181" s="3">
        <v>43138</v>
      </c>
      <c r="D2181" t="s">
        <v>3680</v>
      </c>
      <c r="E2181" s="2" t="s">
        <v>12</v>
      </c>
      <c r="F2181" s="2" t="s">
        <v>3681</v>
      </c>
      <c r="G2181" t="s">
        <v>3647</v>
      </c>
      <c r="H2181" s="5" t="str">
        <f t="shared" si="68"/>
        <v>https://videplast.com.br/consulta-imobilizado?id=32001073&amp;nome=COMPUTADOR%20DELL%20VOSTRO%203268%20MEMORIA%20DDR3%208GB%20HD</v>
      </c>
      <c r="I2181" t="e">
        <f t="shared" ca="1" si="69"/>
        <v>#NAME?</v>
      </c>
    </row>
    <row r="2182" spans="1:9" x14ac:dyDescent="0.25">
      <c r="A2182" s="2" t="s">
        <v>3682</v>
      </c>
      <c r="B2182" s="2" t="s">
        <v>10</v>
      </c>
      <c r="C2182" s="3">
        <v>43668</v>
      </c>
      <c r="D2182" t="s">
        <v>2294</v>
      </c>
      <c r="E2182" s="2" t="s">
        <v>12</v>
      </c>
      <c r="F2182" s="2" t="s">
        <v>3683</v>
      </c>
      <c r="G2182" t="s">
        <v>3647</v>
      </c>
      <c r="H2182" s="5" t="str">
        <f t="shared" si="68"/>
        <v>https://videplast.com.br/consulta-imobilizado?id=32001368&amp;nome=COMPUTADOR%20DELL%20VOSTRO%20I3%204GB%20HD%201TB%20W10P</v>
      </c>
      <c r="I2182" t="e">
        <f t="shared" ca="1" si="69"/>
        <v>#NAME?</v>
      </c>
    </row>
    <row r="2183" spans="1:9" x14ac:dyDescent="0.25">
      <c r="A2183" s="2" t="s">
        <v>3684</v>
      </c>
      <c r="B2183" s="2" t="s">
        <v>10</v>
      </c>
      <c r="C2183" s="3">
        <v>43668</v>
      </c>
      <c r="D2183" t="s">
        <v>515</v>
      </c>
      <c r="E2183" s="2" t="s">
        <v>12</v>
      </c>
      <c r="F2183" s="2" t="s">
        <v>3685</v>
      </c>
      <c r="G2183" t="s">
        <v>3647</v>
      </c>
      <c r="H2183" t="str">
        <f t="shared" si="68"/>
        <v>https://videplast.com.br/consulta-imobilizado?id=32001369&amp;nome=MONITOR%20LED%2018,5"%20DELL%20E1916H</v>
      </c>
      <c r="I2183" t="e">
        <f t="shared" ca="1" si="69"/>
        <v>#NAME?</v>
      </c>
    </row>
    <row r="2184" spans="1:9" x14ac:dyDescent="0.25">
      <c r="A2184" s="2" t="s">
        <v>3686</v>
      </c>
      <c r="B2184" s="2" t="s">
        <v>10</v>
      </c>
      <c r="C2184" s="3">
        <v>41029</v>
      </c>
      <c r="D2184" t="s">
        <v>3687</v>
      </c>
      <c r="E2184" s="2" t="s">
        <v>12</v>
      </c>
      <c r="F2184" s="2" t="s">
        <v>12</v>
      </c>
      <c r="G2184" t="s">
        <v>3688</v>
      </c>
      <c r="H2184" t="str">
        <f t="shared" si="68"/>
        <v>https://videplast.com.br/consulta-imobilizado?id=11000015&amp;nome=PERFIL%20U%2019X100X19MM%20PRE%20X%20PRIM</v>
      </c>
      <c r="I2184" t="e">
        <f t="shared" ca="1" si="69"/>
        <v>#NAME?</v>
      </c>
    </row>
    <row r="2185" spans="1:9" x14ac:dyDescent="0.25">
      <c r="A2185" s="2" t="s">
        <v>3686</v>
      </c>
      <c r="B2185" s="2" t="s">
        <v>26</v>
      </c>
      <c r="C2185" s="3">
        <v>41029</v>
      </c>
      <c r="D2185" t="s">
        <v>3689</v>
      </c>
      <c r="E2185" s="2" t="s">
        <v>12</v>
      </c>
      <c r="F2185" s="2" t="s">
        <v>12</v>
      </c>
      <c r="G2185" t="s">
        <v>3688</v>
      </c>
      <c r="H2185" t="str">
        <f t="shared" si="68"/>
        <v>https://videplast.com.br/consulta-imobilizado?id=11000015&amp;nome=PAINEL%20ACO%20ISOJOINT%202F%20100MM</v>
      </c>
      <c r="I2185" t="e">
        <f t="shared" ca="1" si="69"/>
        <v>#NAME?</v>
      </c>
    </row>
    <row r="2186" spans="1:9" x14ac:dyDescent="0.25">
      <c r="A2186" s="2" t="s">
        <v>3686</v>
      </c>
      <c r="B2186" s="2" t="s">
        <v>21</v>
      </c>
      <c r="C2186" s="3">
        <v>41182</v>
      </c>
      <c r="D2186" t="s">
        <v>3690</v>
      </c>
      <c r="E2186" s="2" t="s">
        <v>12</v>
      </c>
      <c r="F2186" s="2" t="s">
        <v>12</v>
      </c>
      <c r="G2186" t="s">
        <v>3688</v>
      </c>
      <c r="H2186" t="str">
        <f t="shared" si="68"/>
        <v>https://videplast.com.br/consulta-imobilizado?id=11000015&amp;nome=FORRO%20PVC%20GERMINADO%20200X07%20CCP</v>
      </c>
      <c r="I2186" t="e">
        <f t="shared" ca="1" si="69"/>
        <v>#NAME?</v>
      </c>
    </row>
    <row r="2187" spans="1:9" x14ac:dyDescent="0.25">
      <c r="A2187" s="2" t="s">
        <v>3686</v>
      </c>
      <c r="B2187" s="2" t="s">
        <v>29</v>
      </c>
      <c r="C2187" s="3">
        <v>41182</v>
      </c>
      <c r="D2187" t="s">
        <v>3691</v>
      </c>
      <c r="E2187" s="2" t="s">
        <v>12</v>
      </c>
      <c r="F2187" s="2" t="s">
        <v>12</v>
      </c>
      <c r="G2187" t="s">
        <v>3688</v>
      </c>
      <c r="H2187" t="str">
        <f t="shared" si="68"/>
        <v>https://videplast.com.br/consulta-imobilizado?id=11000015&amp;nome=SERVICO%20ELETRICOS%20EM%20ILUMINACAO,%20P/AMPLIACAO%20DO</v>
      </c>
      <c r="I2187" t="e">
        <f t="shared" ca="1" si="69"/>
        <v>#NAME?</v>
      </c>
    </row>
    <row r="2188" spans="1:9" x14ac:dyDescent="0.25">
      <c r="A2188" s="2" t="s">
        <v>3686</v>
      </c>
      <c r="B2188" s="2" t="s">
        <v>31</v>
      </c>
      <c r="C2188" s="3">
        <v>41213</v>
      </c>
      <c r="D2188" t="s">
        <v>3692</v>
      </c>
      <c r="E2188" s="2" t="s">
        <v>12</v>
      </c>
      <c r="F2188" s="2" t="s">
        <v>12</v>
      </c>
      <c r="G2188" t="s">
        <v>3688</v>
      </c>
      <c r="H2188" t="str">
        <f t="shared" si="68"/>
        <v>https://videplast.com.br/consulta-imobilizado?id=11000015&amp;nome=SERVICOS%20ELETRONICOS</v>
      </c>
      <c r="I2188" t="e">
        <f t="shared" ca="1" si="69"/>
        <v>#NAME?</v>
      </c>
    </row>
    <row r="2189" spans="1:9" x14ac:dyDescent="0.25">
      <c r="A2189" s="2" t="s">
        <v>3686</v>
      </c>
      <c r="B2189" s="2" t="s">
        <v>33</v>
      </c>
      <c r="C2189" s="3">
        <v>41213</v>
      </c>
      <c r="D2189" t="s">
        <v>3693</v>
      </c>
      <c r="E2189" s="2" t="s">
        <v>12</v>
      </c>
      <c r="F2189" s="2" t="s">
        <v>12</v>
      </c>
      <c r="G2189" t="s">
        <v>3688</v>
      </c>
      <c r="H2189" t="str">
        <f t="shared" si="68"/>
        <v>https://videplast.com.br/consulta-imobilizado?id=11000015&amp;nome=ARRUELA%20LISA%20ZI%201/4</v>
      </c>
      <c r="I2189" t="e">
        <f t="shared" ca="1" si="69"/>
        <v>#NAME?</v>
      </c>
    </row>
    <row r="2190" spans="1:9" x14ac:dyDescent="0.25">
      <c r="A2190" s="2" t="s">
        <v>3686</v>
      </c>
      <c r="B2190" s="2" t="s">
        <v>35</v>
      </c>
      <c r="C2190" s="3">
        <v>41213</v>
      </c>
      <c r="D2190" t="s">
        <v>3694</v>
      </c>
      <c r="E2190" s="2" t="s">
        <v>12</v>
      </c>
      <c r="F2190" s="2" t="s">
        <v>12</v>
      </c>
      <c r="G2190" t="s">
        <v>3688</v>
      </c>
      <c r="H2190" t="str">
        <f t="shared" si="68"/>
        <v>https://videplast.com.br/consulta-imobilizado?id=11000015&amp;nome=PARAFUSO%20LENT%20MQ%201/4%20X%201/2%20CISER</v>
      </c>
      <c r="I2190" t="e">
        <f t="shared" ca="1" si="69"/>
        <v>#NAME?</v>
      </c>
    </row>
    <row r="2191" spans="1:9" x14ac:dyDescent="0.25">
      <c r="A2191" s="2" t="s">
        <v>3686</v>
      </c>
      <c r="B2191" s="2" t="s">
        <v>37</v>
      </c>
      <c r="C2191" s="3">
        <v>41213</v>
      </c>
      <c r="D2191" t="s">
        <v>3695</v>
      </c>
      <c r="E2191" s="2" t="s">
        <v>12</v>
      </c>
      <c r="F2191" s="2" t="s">
        <v>12</v>
      </c>
      <c r="G2191" t="s">
        <v>3688</v>
      </c>
      <c r="H2191" t="str">
        <f t="shared" si="68"/>
        <v>https://videplast.com.br/consulta-imobilizado?id=11000015&amp;nome=DISJUSTOR%20MONO%20C25A%205SX1%20125-7%20SIEMENS</v>
      </c>
      <c r="I2191" t="e">
        <f t="shared" ca="1" si="69"/>
        <v>#NAME?</v>
      </c>
    </row>
    <row r="2192" spans="1:9" x14ac:dyDescent="0.25">
      <c r="A2192" s="2" t="s">
        <v>3686</v>
      </c>
      <c r="B2192" s="2" t="s">
        <v>39</v>
      </c>
      <c r="C2192" s="3">
        <v>41213</v>
      </c>
      <c r="D2192" t="s">
        <v>3696</v>
      </c>
      <c r="E2192" s="2" t="s">
        <v>12</v>
      </c>
      <c r="F2192" s="2" t="s">
        <v>12</v>
      </c>
      <c r="G2192" t="s">
        <v>3688</v>
      </c>
      <c r="H2192" t="str">
        <f t="shared" si="68"/>
        <v>https://videplast.com.br/consulta-imobilizado?id=11000015&amp;nome=CABO%20UTP%20CAT.5E%20CM%20(RETARDANTE%20A%20CHAMA)%20AZ</v>
      </c>
      <c r="I2192" t="e">
        <f t="shared" ca="1" si="69"/>
        <v>#NAME?</v>
      </c>
    </row>
    <row r="2193" spans="1:9" x14ac:dyDescent="0.25">
      <c r="A2193" s="2" t="s">
        <v>3686</v>
      </c>
      <c r="B2193" s="2" t="s">
        <v>126</v>
      </c>
      <c r="C2193" s="3">
        <v>41213</v>
      </c>
      <c r="D2193" t="s">
        <v>3697</v>
      </c>
      <c r="E2193" s="2" t="s">
        <v>12</v>
      </c>
      <c r="F2193" s="2" t="s">
        <v>12</v>
      </c>
      <c r="G2193" t="s">
        <v>3688</v>
      </c>
      <c r="H2193" t="str">
        <f t="shared" si="68"/>
        <v>https://videplast.com.br/consulta-imobilizado?id=11000015&amp;nome=REATOR%20ELETRONICO%20HO%202X110W%20220V</v>
      </c>
      <c r="I2193" t="e">
        <f t="shared" ca="1" si="69"/>
        <v>#NAME?</v>
      </c>
    </row>
    <row r="2194" spans="1:9" x14ac:dyDescent="0.25">
      <c r="A2194" s="2" t="s">
        <v>3686</v>
      </c>
      <c r="B2194" s="2" t="s">
        <v>127</v>
      </c>
      <c r="C2194" s="3">
        <v>41213</v>
      </c>
      <c r="D2194" t="s">
        <v>3698</v>
      </c>
      <c r="E2194" s="2" t="s">
        <v>12</v>
      </c>
      <c r="F2194" s="2" t="s">
        <v>12</v>
      </c>
      <c r="G2194" t="s">
        <v>3688</v>
      </c>
      <c r="H2194" t="str">
        <f t="shared" si="68"/>
        <v>https://videplast.com.br/consulta-imobilizado?id=11000015&amp;nome=LAMPADA%20FLUOR%20110W%20220V%20LD%20PLUS</v>
      </c>
      <c r="I2194" t="e">
        <f t="shared" ca="1" si="69"/>
        <v>#NAME?</v>
      </c>
    </row>
    <row r="2195" spans="1:9" x14ac:dyDescent="0.25">
      <c r="A2195" s="2" t="s">
        <v>3686</v>
      </c>
      <c r="B2195" s="2" t="s">
        <v>128</v>
      </c>
      <c r="C2195" s="3">
        <v>41213</v>
      </c>
      <c r="D2195" t="s">
        <v>3699</v>
      </c>
      <c r="E2195" s="2" t="s">
        <v>12</v>
      </c>
      <c r="F2195" s="2" t="s">
        <v>12</v>
      </c>
      <c r="G2195" t="s">
        <v>3688</v>
      </c>
      <c r="H2195" t="str">
        <f t="shared" si="68"/>
        <v>https://videplast.com.br/consulta-imobilizado?id=11000015&amp;nome=CURVA%20HOR%20PERFILADO%2038X38%20MM%2090%20CH18</v>
      </c>
      <c r="I2195" t="e">
        <f t="shared" ca="1" si="69"/>
        <v>#NAME?</v>
      </c>
    </row>
    <row r="2196" spans="1:9" x14ac:dyDescent="0.25">
      <c r="A2196" s="2" t="s">
        <v>3686</v>
      </c>
      <c r="B2196" s="2" t="s">
        <v>623</v>
      </c>
      <c r="C2196" s="3">
        <v>41213</v>
      </c>
      <c r="D2196" t="s">
        <v>3700</v>
      </c>
      <c r="E2196" s="2" t="s">
        <v>12</v>
      </c>
      <c r="F2196" s="2" t="s">
        <v>12</v>
      </c>
      <c r="G2196" t="s">
        <v>3688</v>
      </c>
      <c r="H2196" t="str">
        <f t="shared" si="68"/>
        <v>https://videplast.com.br/consulta-imobilizado?id=11000015&amp;nome=ELETRODUTO%20PVC%20CZ%20LEVE%203/4%20TLC-15</v>
      </c>
      <c r="I2196" t="e">
        <f t="shared" ca="1" si="69"/>
        <v>#NAME?</v>
      </c>
    </row>
    <row r="2197" spans="1:9" x14ac:dyDescent="0.25">
      <c r="A2197" s="2" t="s">
        <v>3686</v>
      </c>
      <c r="B2197" s="2" t="s">
        <v>625</v>
      </c>
      <c r="C2197" s="3">
        <v>41213</v>
      </c>
      <c r="D2197" t="s">
        <v>3701</v>
      </c>
      <c r="E2197" s="2" t="s">
        <v>12</v>
      </c>
      <c r="F2197" s="2" t="s">
        <v>12</v>
      </c>
      <c r="G2197" t="s">
        <v>3688</v>
      </c>
      <c r="H2197" t="str">
        <f t="shared" si="68"/>
        <v>https://videplast.com.br/consulta-imobilizado?id=11000015&amp;nome=FITA%20ISOLANTE%2019MM%20X%2020MM%20PRETA</v>
      </c>
      <c r="I2197" t="e">
        <f t="shared" ca="1" si="69"/>
        <v>#NAME?</v>
      </c>
    </row>
    <row r="2198" spans="1:9" x14ac:dyDescent="0.25">
      <c r="A2198" s="2" t="s">
        <v>3686</v>
      </c>
      <c r="B2198" s="2" t="s">
        <v>681</v>
      </c>
      <c r="C2198" s="3">
        <v>41213</v>
      </c>
      <c r="D2198" t="s">
        <v>3702</v>
      </c>
      <c r="E2198" s="2" t="s">
        <v>12</v>
      </c>
      <c r="F2198" s="2" t="s">
        <v>12</v>
      </c>
      <c r="G2198" t="s">
        <v>3688</v>
      </c>
      <c r="H2198" t="str">
        <f t="shared" si="68"/>
        <v>https://videplast.com.br/consulta-imobilizado?id=11000015&amp;nome=TOMADA%20SISTEMA%20RJ45%20345-EN</v>
      </c>
      <c r="I2198" t="e">
        <f t="shared" ca="1" si="69"/>
        <v>#NAME?</v>
      </c>
    </row>
    <row r="2199" spans="1:9" x14ac:dyDescent="0.25">
      <c r="A2199" s="2" t="s">
        <v>3686</v>
      </c>
      <c r="B2199" s="2" t="s">
        <v>683</v>
      </c>
      <c r="C2199" s="3">
        <v>41213</v>
      </c>
      <c r="D2199" t="s">
        <v>3703</v>
      </c>
      <c r="E2199" s="2" t="s">
        <v>12</v>
      </c>
      <c r="F2199" s="2" t="s">
        <v>12</v>
      </c>
      <c r="G2199" t="s">
        <v>3688</v>
      </c>
      <c r="H2199" t="str">
        <f t="shared" si="68"/>
        <v>https://videplast.com.br/consulta-imobilizado?id=11000015&amp;nome=INTERRUPTOR%20SIMP%202%20TC%20REALE%20807-ES</v>
      </c>
      <c r="I2199" t="e">
        <f t="shared" ca="1" si="69"/>
        <v>#NAME?</v>
      </c>
    </row>
    <row r="2200" spans="1:9" x14ac:dyDescent="0.25">
      <c r="A2200" s="2" t="s">
        <v>3686</v>
      </c>
      <c r="B2200" s="2" t="s">
        <v>685</v>
      </c>
      <c r="C2200" s="3">
        <v>41213</v>
      </c>
      <c r="D2200" t="s">
        <v>3704</v>
      </c>
      <c r="E2200" s="2" t="s">
        <v>12</v>
      </c>
      <c r="F2200" s="2" t="s">
        <v>12</v>
      </c>
      <c r="G2200" t="s">
        <v>3688</v>
      </c>
      <c r="H2200" t="str">
        <f t="shared" si="68"/>
        <v>https://videplast.com.br/consulta-imobilizado?id=11000015&amp;nome=CONDULETE%20PVC%203/4</v>
      </c>
      <c r="I2200" t="e">
        <f t="shared" ca="1" si="69"/>
        <v>#NAME?</v>
      </c>
    </row>
    <row r="2201" spans="1:9" x14ac:dyDescent="0.25">
      <c r="A2201" s="2" t="s">
        <v>3686</v>
      </c>
      <c r="B2201" s="2" t="s">
        <v>627</v>
      </c>
      <c r="C2201" s="3">
        <v>41213</v>
      </c>
      <c r="D2201" t="s">
        <v>3705</v>
      </c>
      <c r="E2201" s="2" t="s">
        <v>12</v>
      </c>
      <c r="F2201" s="2" t="s">
        <v>12</v>
      </c>
      <c r="G2201" t="s">
        <v>3688</v>
      </c>
      <c r="H2201" t="str">
        <f t="shared" si="68"/>
        <v>https://videplast.com.br/consulta-imobilizado?id=11000015&amp;nome=CONDULETE%20PVC%203/4%20T</v>
      </c>
      <c r="I2201" t="e">
        <f t="shared" ca="1" si="69"/>
        <v>#NAME?</v>
      </c>
    </row>
    <row r="2202" spans="1:9" x14ac:dyDescent="0.25">
      <c r="A2202" s="2" t="s">
        <v>3686</v>
      </c>
      <c r="B2202" s="2" t="s">
        <v>688</v>
      </c>
      <c r="C2202" s="3">
        <v>41213</v>
      </c>
      <c r="D2202" t="s">
        <v>3706</v>
      </c>
      <c r="E2202" s="2" t="s">
        <v>12</v>
      </c>
      <c r="F2202" s="2" t="s">
        <v>12</v>
      </c>
      <c r="G2202" t="s">
        <v>3688</v>
      </c>
      <c r="H2202" t="str">
        <f t="shared" si="68"/>
        <v>https://videplast.com.br/consulta-imobilizado?id=11000015&amp;nome=EMENDA%20INTERNA%20T%20PERFILADO%2038X38%20GF</v>
      </c>
      <c r="I2202" t="e">
        <f t="shared" ca="1" si="69"/>
        <v>#NAME?</v>
      </c>
    </row>
    <row r="2203" spans="1:9" x14ac:dyDescent="0.25">
      <c r="A2203" s="2" t="s">
        <v>3686</v>
      </c>
      <c r="B2203" s="2" t="s">
        <v>629</v>
      </c>
      <c r="C2203" s="3">
        <v>41213</v>
      </c>
      <c r="D2203" t="s">
        <v>3707</v>
      </c>
      <c r="E2203" s="2" t="s">
        <v>12</v>
      </c>
      <c r="F2203" s="2" t="s">
        <v>12</v>
      </c>
      <c r="G2203" t="s">
        <v>3688</v>
      </c>
      <c r="H2203" t="str">
        <f t="shared" si="68"/>
        <v>https://videplast.com.br/consulta-imobilizado?id=11000015&amp;nome=SUPORTE%20LONGO%20PERFILADO%2038X38MM%20GE</v>
      </c>
      <c r="I2203" t="e">
        <f t="shared" ca="1" si="69"/>
        <v>#NAME?</v>
      </c>
    </row>
    <row r="2204" spans="1:9" x14ac:dyDescent="0.25">
      <c r="A2204" s="2" t="s">
        <v>3686</v>
      </c>
      <c r="B2204" s="2" t="s">
        <v>691</v>
      </c>
      <c r="C2204" s="3">
        <v>41213</v>
      </c>
      <c r="D2204" t="s">
        <v>3708</v>
      </c>
      <c r="E2204" s="2" t="s">
        <v>12</v>
      </c>
      <c r="F2204" s="2" t="s">
        <v>12</v>
      </c>
      <c r="G2204" t="s">
        <v>3688</v>
      </c>
      <c r="H2204" t="str">
        <f t="shared" si="68"/>
        <v>https://videplast.com.br/consulta-imobilizado?id=11000015&amp;nome=CABO%204X10%20PT</v>
      </c>
      <c r="I2204" t="e">
        <f t="shared" ca="1" si="69"/>
        <v>#NAME?</v>
      </c>
    </row>
    <row r="2205" spans="1:9" x14ac:dyDescent="0.25">
      <c r="A2205" s="2" t="s">
        <v>3686</v>
      </c>
      <c r="B2205" s="2" t="s">
        <v>631</v>
      </c>
      <c r="C2205" s="3">
        <v>41213</v>
      </c>
      <c r="D2205" t="s">
        <v>3709</v>
      </c>
      <c r="E2205" s="2" t="s">
        <v>12</v>
      </c>
      <c r="F2205" s="2" t="s">
        <v>12</v>
      </c>
      <c r="G2205" t="s">
        <v>3688</v>
      </c>
      <c r="H2205" t="str">
        <f t="shared" si="68"/>
        <v>https://videplast.com.br/consulta-imobilizado?id=11000015&amp;nome=CABO%201,50,%20750V,%20FLEX%20PT</v>
      </c>
      <c r="I2205" t="e">
        <f t="shared" ca="1" si="69"/>
        <v>#NAME?</v>
      </c>
    </row>
    <row r="2206" spans="1:9" x14ac:dyDescent="0.25">
      <c r="A2206" s="2" t="s">
        <v>3686</v>
      </c>
      <c r="B2206" s="2" t="s">
        <v>633</v>
      </c>
      <c r="C2206" s="3">
        <v>41213</v>
      </c>
      <c r="D2206" t="s">
        <v>3710</v>
      </c>
      <c r="E2206" s="2" t="s">
        <v>12</v>
      </c>
      <c r="F2206" s="2" t="s">
        <v>12</v>
      </c>
      <c r="G2206" t="s">
        <v>3688</v>
      </c>
      <c r="H2206" t="str">
        <f t="shared" si="68"/>
        <v>https://videplast.com.br/consulta-imobilizado?id=11000015&amp;nome=ABRACADEIRA%20NYLON%20200X4,8%20(T50-R)</v>
      </c>
      <c r="I2206" t="e">
        <f t="shared" ca="1" si="69"/>
        <v>#NAME?</v>
      </c>
    </row>
    <row r="2207" spans="1:9" x14ac:dyDescent="0.25">
      <c r="A2207" s="2" t="s">
        <v>3686</v>
      </c>
      <c r="B2207" s="2" t="s">
        <v>635</v>
      </c>
      <c r="C2207" s="3">
        <v>41213</v>
      </c>
      <c r="D2207" t="s">
        <v>3711</v>
      </c>
      <c r="E2207" s="2" t="s">
        <v>12</v>
      </c>
      <c r="F2207" s="2" t="s">
        <v>12</v>
      </c>
      <c r="G2207" t="s">
        <v>3688</v>
      </c>
      <c r="H2207" t="str">
        <f t="shared" si="68"/>
        <v>https://videplast.com.br/consulta-imobilizado?id=11000015&amp;nome=EMENDA%20INTERNA%20I%2038X38%20PERFIL%20GE</v>
      </c>
      <c r="I2207" t="e">
        <f t="shared" ca="1" si="69"/>
        <v>#NAME?</v>
      </c>
    </row>
    <row r="2208" spans="1:9" x14ac:dyDescent="0.25">
      <c r="A2208" s="2" t="s">
        <v>3686</v>
      </c>
      <c r="B2208" s="2" t="s">
        <v>638</v>
      </c>
      <c r="C2208" s="3">
        <v>41213</v>
      </c>
      <c r="D2208" t="s">
        <v>3712</v>
      </c>
      <c r="E2208" s="2" t="s">
        <v>12</v>
      </c>
      <c r="F2208" s="2" t="s">
        <v>12</v>
      </c>
      <c r="G2208" t="s">
        <v>3688</v>
      </c>
      <c r="H2208" t="str">
        <f t="shared" si="68"/>
        <v>https://videplast.com.br/consulta-imobilizado?id=11000015&amp;nome=ABRACADEIRA%20PVC%20CZ%203/4%20PP</v>
      </c>
      <c r="I2208" t="e">
        <f t="shared" ca="1" si="69"/>
        <v>#NAME?</v>
      </c>
    </row>
    <row r="2209" spans="1:9" x14ac:dyDescent="0.25">
      <c r="A2209" s="2" t="s">
        <v>3686</v>
      </c>
      <c r="B2209" s="2" t="s">
        <v>697</v>
      </c>
      <c r="C2209" s="3">
        <v>41213</v>
      </c>
      <c r="D2209" t="s">
        <v>3713</v>
      </c>
      <c r="E2209" s="2" t="s">
        <v>12</v>
      </c>
      <c r="F2209" s="2" t="s">
        <v>12</v>
      </c>
      <c r="G2209" t="s">
        <v>3688</v>
      </c>
      <c r="H2209" t="str">
        <f t="shared" si="68"/>
        <v>https://videplast.com.br/consulta-imobilizado?id=11000015&amp;nome=VERGALHAO%20ROSC%201/4X3000MM</v>
      </c>
      <c r="I2209" t="e">
        <f t="shared" ca="1" si="69"/>
        <v>#NAME?</v>
      </c>
    </row>
    <row r="2210" spans="1:9" x14ac:dyDescent="0.25">
      <c r="A2210" s="2" t="s">
        <v>3686</v>
      </c>
      <c r="B2210" s="2" t="s">
        <v>699</v>
      </c>
      <c r="C2210" s="3">
        <v>41213</v>
      </c>
      <c r="D2210" t="s">
        <v>3714</v>
      </c>
      <c r="E2210" s="2" t="s">
        <v>12</v>
      </c>
      <c r="F2210" s="2" t="s">
        <v>12</v>
      </c>
      <c r="G2210" t="s">
        <v>3688</v>
      </c>
      <c r="H2210" t="str">
        <f t="shared" si="68"/>
        <v>https://videplast.com.br/consulta-imobilizado?id=11000015&amp;nome=ELETROCALHA%2050X50X3MT%20C%20PERF%20CH18%20GF</v>
      </c>
      <c r="I2210" t="e">
        <f t="shared" ca="1" si="69"/>
        <v>#NAME?</v>
      </c>
    </row>
    <row r="2211" spans="1:9" x14ac:dyDescent="0.25">
      <c r="A2211" s="2" t="s">
        <v>3686</v>
      </c>
      <c r="B2211" s="2" t="s">
        <v>701</v>
      </c>
      <c r="C2211" s="3">
        <v>41213</v>
      </c>
      <c r="D2211" t="s">
        <v>3715</v>
      </c>
      <c r="E2211" s="2" t="s">
        <v>12</v>
      </c>
      <c r="F2211" s="2" t="s">
        <v>12</v>
      </c>
      <c r="G2211" t="s">
        <v>3688</v>
      </c>
      <c r="H2211" t="str">
        <f t="shared" si="68"/>
        <v>https://videplast.com.br/consulta-imobilizado?id=11000015&amp;nome=LUMINARIA%202X100W%20LABS%20REFL%20BR%20DIF%20ACRILICO</v>
      </c>
      <c r="I2211" t="e">
        <f t="shared" ca="1" si="69"/>
        <v>#NAME?</v>
      </c>
    </row>
    <row r="2212" spans="1:9" x14ac:dyDescent="0.25">
      <c r="A2212" s="2" t="s">
        <v>3686</v>
      </c>
      <c r="B2212" s="2" t="s">
        <v>703</v>
      </c>
      <c r="C2212" s="3">
        <v>41213</v>
      </c>
      <c r="D2212" t="s">
        <v>3716</v>
      </c>
      <c r="E2212" s="2" t="s">
        <v>12</v>
      </c>
      <c r="F2212" s="2" t="s">
        <v>12</v>
      </c>
      <c r="G2212" t="s">
        <v>3688</v>
      </c>
      <c r="H2212" t="str">
        <f t="shared" si="68"/>
        <v>https://videplast.com.br/consulta-imobilizado?id=11000015&amp;nome=QUADRO%20DISTRIBUICAO%20EMB%2028%20DJ%20DIN%20100A</v>
      </c>
      <c r="I2212" t="e">
        <f t="shared" ca="1" si="69"/>
        <v>#NAME?</v>
      </c>
    </row>
    <row r="2213" spans="1:9" x14ac:dyDescent="0.25">
      <c r="A2213" s="2" t="s">
        <v>3686</v>
      </c>
      <c r="B2213" s="2" t="s">
        <v>705</v>
      </c>
      <c r="C2213" s="3">
        <v>41213</v>
      </c>
      <c r="D2213" t="s">
        <v>3717</v>
      </c>
      <c r="E2213" s="2" t="s">
        <v>12</v>
      </c>
      <c r="F2213" s="2" t="s">
        <v>12</v>
      </c>
      <c r="G2213" t="s">
        <v>3688</v>
      </c>
      <c r="H2213" t="str">
        <f t="shared" si="68"/>
        <v>https://videplast.com.br/consulta-imobilizado?id=11000015&amp;nome=CABO%202,50MM%20750%20V%20FLEX</v>
      </c>
      <c r="I2213" t="e">
        <f t="shared" ca="1" si="69"/>
        <v>#NAME?</v>
      </c>
    </row>
    <row r="2214" spans="1:9" x14ac:dyDescent="0.25">
      <c r="A2214" s="2" t="s">
        <v>3686</v>
      </c>
      <c r="B2214" s="2" t="s">
        <v>707</v>
      </c>
      <c r="C2214" s="3">
        <v>41213</v>
      </c>
      <c r="D2214" t="s">
        <v>3718</v>
      </c>
      <c r="E2214" s="2" t="s">
        <v>12</v>
      </c>
      <c r="F2214" s="2" t="s">
        <v>12</v>
      </c>
      <c r="G2214" t="s">
        <v>3688</v>
      </c>
      <c r="H2214" t="str">
        <f t="shared" si="68"/>
        <v>https://videplast.com.br/consulta-imobilizado?id=11000015&amp;nome=CABO%2010,00MM%20750V%20FLEX</v>
      </c>
      <c r="I2214" t="e">
        <f t="shared" ca="1" si="69"/>
        <v>#NAME?</v>
      </c>
    </row>
    <row r="2215" spans="1:9" x14ac:dyDescent="0.25">
      <c r="A2215" s="2" t="s">
        <v>3686</v>
      </c>
      <c r="B2215" s="2" t="s">
        <v>709</v>
      </c>
      <c r="C2215" s="3">
        <v>41213</v>
      </c>
      <c r="D2215" t="s">
        <v>3719</v>
      </c>
      <c r="E2215" s="2" t="s">
        <v>12</v>
      </c>
      <c r="F2215" s="2" t="s">
        <v>12</v>
      </c>
      <c r="G2215" t="s">
        <v>3688</v>
      </c>
      <c r="H2215" t="str">
        <f t="shared" si="68"/>
        <v>https://videplast.com.br/consulta-imobilizado?id=11000015&amp;nome=PORCA%20SEXT%201/4</v>
      </c>
      <c r="I2215" t="e">
        <f t="shared" ca="1" si="69"/>
        <v>#NAME?</v>
      </c>
    </row>
    <row r="2216" spans="1:9" x14ac:dyDescent="0.25">
      <c r="A2216" s="2" t="s">
        <v>3686</v>
      </c>
      <c r="B2216" s="2" t="s">
        <v>711</v>
      </c>
      <c r="C2216" s="3">
        <v>41213</v>
      </c>
      <c r="D2216" t="s">
        <v>3720</v>
      </c>
      <c r="E2216" s="2" t="s">
        <v>12</v>
      </c>
      <c r="F2216" s="2" t="s">
        <v>12</v>
      </c>
      <c r="G2216" t="s">
        <v>3688</v>
      </c>
      <c r="H2216" t="str">
        <f t="shared" si="68"/>
        <v>https://videplast.com.br/consulta-imobilizado?id=11000015&amp;nome=TOMADA%20VERTICAL%202P</v>
      </c>
      <c r="I2216" t="e">
        <f t="shared" ca="1" si="69"/>
        <v>#NAME?</v>
      </c>
    </row>
    <row r="2217" spans="1:9" x14ac:dyDescent="0.25">
      <c r="A2217" s="2" t="s">
        <v>3686</v>
      </c>
      <c r="B2217" s="2" t="s">
        <v>713</v>
      </c>
      <c r="C2217" s="3">
        <v>41213</v>
      </c>
      <c r="D2217" t="s">
        <v>3721</v>
      </c>
      <c r="E2217" s="2" t="s">
        <v>12</v>
      </c>
      <c r="F2217" s="2" t="s">
        <v>12</v>
      </c>
      <c r="G2217" t="s">
        <v>3688</v>
      </c>
      <c r="H2217" t="str">
        <f t="shared" si="68"/>
        <v>https://videplast.com.br/consulta-imobilizado?id=11000015&amp;nome=LUMINARIA%202X54W%20FSCP%20REFL%20BR%20DIF%20POLICARB</v>
      </c>
      <c r="I2217" t="e">
        <f t="shared" ca="1" si="69"/>
        <v>#NAME?</v>
      </c>
    </row>
    <row r="2218" spans="1:9" x14ac:dyDescent="0.25">
      <c r="A2218" s="2" t="s">
        <v>3686</v>
      </c>
      <c r="B2218" s="2" t="s">
        <v>715</v>
      </c>
      <c r="C2218" s="3">
        <v>41305</v>
      </c>
      <c r="D2218" t="s">
        <v>3722</v>
      </c>
      <c r="E2218" s="2" t="s">
        <v>12</v>
      </c>
      <c r="F2218" s="2" t="s">
        <v>12</v>
      </c>
      <c r="G2218" t="s">
        <v>3688</v>
      </c>
      <c r="H2218" t="str">
        <f t="shared" si="68"/>
        <v>https://videplast.com.br/consulta-imobilizado?id=11000015&amp;nome=CHAPA%20ACRILICO%208.0MM</v>
      </c>
      <c r="I2218" t="e">
        <f t="shared" ca="1" si="69"/>
        <v>#NAME?</v>
      </c>
    </row>
    <row r="2219" spans="1:9" x14ac:dyDescent="0.25">
      <c r="A2219" s="2" t="s">
        <v>3723</v>
      </c>
      <c r="B2219" s="2" t="s">
        <v>10</v>
      </c>
      <c r="C2219" s="3">
        <v>40421</v>
      </c>
      <c r="D2219" t="s">
        <v>3724</v>
      </c>
      <c r="E2219" s="2" t="s">
        <v>12</v>
      </c>
      <c r="F2219" s="2" t="s">
        <v>12</v>
      </c>
      <c r="G2219" t="s">
        <v>3688</v>
      </c>
      <c r="H2219" t="str">
        <f t="shared" si="68"/>
        <v>https://videplast.com.br/consulta-imobilizado?id=11000096&amp;nome=BARRACAO%20PARA%20DEPOSITO%20DE%20POLIETILENO%20682,50%20M2</v>
      </c>
      <c r="I2219" t="e">
        <f t="shared" ca="1" si="69"/>
        <v>#NAME?</v>
      </c>
    </row>
    <row r="2220" spans="1:9" x14ac:dyDescent="0.25">
      <c r="A2220" s="2" t="s">
        <v>3723</v>
      </c>
      <c r="B2220" s="2" t="s">
        <v>26</v>
      </c>
      <c r="C2220" s="3">
        <v>40451</v>
      </c>
      <c r="D2220" t="s">
        <v>3725</v>
      </c>
      <c r="E2220" s="2" t="s">
        <v>12</v>
      </c>
      <c r="F2220" s="2" t="s">
        <v>12</v>
      </c>
      <c r="G2220" t="s">
        <v>3688</v>
      </c>
      <c r="H2220" t="str">
        <f t="shared" si="68"/>
        <v>https://videplast.com.br/consulta-imobilizado?id=11000096&amp;nome=FITA%20VEDA%20ROSCA%2018%20X%2050%20E%20TINTA</v>
      </c>
      <c r="I2220" t="e">
        <f t="shared" ca="1" si="69"/>
        <v>#NAME?</v>
      </c>
    </row>
    <row r="2221" spans="1:9" x14ac:dyDescent="0.25">
      <c r="A2221" s="2" t="s">
        <v>3723</v>
      </c>
      <c r="B2221" s="2" t="s">
        <v>21</v>
      </c>
      <c r="C2221" s="3">
        <v>40451</v>
      </c>
      <c r="D2221" t="s">
        <v>3726</v>
      </c>
      <c r="E2221" s="2" t="s">
        <v>12</v>
      </c>
      <c r="F2221" s="2" t="s">
        <v>12</v>
      </c>
      <c r="G2221" t="s">
        <v>3688</v>
      </c>
      <c r="H2221" t="str">
        <f t="shared" si="68"/>
        <v>https://videplast.com.br/consulta-imobilizado?id=11000096&amp;nome=MATERIAIS%20HIDRAULICOS%20DIVERSOS%20USADO%20NA%20CONSTRUCAO</v>
      </c>
      <c r="I2221" t="e">
        <f t="shared" ca="1" si="69"/>
        <v>#NAME?</v>
      </c>
    </row>
    <row r="2222" spans="1:9" x14ac:dyDescent="0.25">
      <c r="A2222" s="2" t="s">
        <v>3723</v>
      </c>
      <c r="B2222" s="2" t="s">
        <v>29</v>
      </c>
      <c r="C2222" s="3">
        <v>40451</v>
      </c>
      <c r="D2222" t="s">
        <v>3726</v>
      </c>
      <c r="E2222" s="2" t="s">
        <v>12</v>
      </c>
      <c r="F2222" s="2" t="s">
        <v>12</v>
      </c>
      <c r="G2222" t="s">
        <v>3688</v>
      </c>
      <c r="H2222" t="str">
        <f t="shared" si="68"/>
        <v>https://videplast.com.br/consulta-imobilizado?id=11000096&amp;nome=MATERIAIS%20HIDRAULICOS%20DIVERSOS%20USADO%20NA%20CONSTRUCAO</v>
      </c>
      <c r="I2222" t="e">
        <f t="shared" ca="1" si="69"/>
        <v>#NAME?</v>
      </c>
    </row>
    <row r="2223" spans="1:9" x14ac:dyDescent="0.25">
      <c r="A2223" s="2" t="s">
        <v>3723</v>
      </c>
      <c r="B2223" s="2" t="s">
        <v>31</v>
      </c>
      <c r="C2223" s="3">
        <v>40755</v>
      </c>
      <c r="D2223" t="s">
        <v>3727</v>
      </c>
      <c r="E2223" s="2" t="s">
        <v>12</v>
      </c>
      <c r="F2223" s="2" t="s">
        <v>12</v>
      </c>
      <c r="G2223" t="s">
        <v>3688</v>
      </c>
      <c r="H2223" t="str">
        <f t="shared" si="68"/>
        <v>https://videplast.com.br/consulta-imobilizado?id=11000096&amp;nome=NIPLE%20GALVANIZADO%203%20E%20COTOVELO%20GALVANIZADO%2045X3</v>
      </c>
      <c r="I2223" t="e">
        <f t="shared" ca="1" si="69"/>
        <v>#NAME?</v>
      </c>
    </row>
    <row r="2224" spans="1:9" x14ac:dyDescent="0.25">
      <c r="A2224" s="2" t="s">
        <v>3728</v>
      </c>
      <c r="B2224" s="2" t="s">
        <v>10</v>
      </c>
      <c r="C2224" s="3">
        <v>43200</v>
      </c>
      <c r="D2224" t="s">
        <v>3729</v>
      </c>
      <c r="E2224" s="2" t="s">
        <v>12</v>
      </c>
      <c r="F2224" s="2" t="s">
        <v>12</v>
      </c>
      <c r="G2224" t="s">
        <v>3688</v>
      </c>
      <c r="H2224" t="str">
        <f t="shared" si="68"/>
        <v>https://videplast.com.br/consulta-imobilizado?id=11000151&amp;nome=CONSTRUÇÃO%20E%20MODIFICAÇÃO%20ALMOXARIFADO</v>
      </c>
      <c r="I2224" t="e">
        <f t="shared" ca="1" si="69"/>
        <v>#NAME?</v>
      </c>
    </row>
    <row r="2225" spans="1:9" x14ac:dyDescent="0.25">
      <c r="A2225" s="2" t="s">
        <v>3728</v>
      </c>
      <c r="B2225" s="2" t="s">
        <v>26</v>
      </c>
      <c r="C2225" s="3">
        <v>43830</v>
      </c>
      <c r="D2225" t="s">
        <v>3730</v>
      </c>
      <c r="E2225" s="2" t="s">
        <v>12</v>
      </c>
      <c r="F2225" s="2" t="s">
        <v>12</v>
      </c>
      <c r="G2225" t="s">
        <v>3688</v>
      </c>
      <c r="H2225" t="str">
        <f t="shared" si="68"/>
        <v>https://videplast.com.br/consulta-imobilizado?id=11000151&amp;nome=BARRACAO%20P/%20DESCARGA%20DE%20POLIETILENO</v>
      </c>
      <c r="I2225" t="e">
        <f t="shared" ca="1" si="69"/>
        <v>#NAME?</v>
      </c>
    </row>
    <row r="2226" spans="1:9" x14ac:dyDescent="0.25">
      <c r="A2226" s="2" t="s">
        <v>3731</v>
      </c>
      <c r="B2226" s="2" t="s">
        <v>10</v>
      </c>
      <c r="C2226" s="3">
        <v>45243</v>
      </c>
      <c r="D2226" t="s">
        <v>3732</v>
      </c>
      <c r="E2226" s="2" t="s">
        <v>12</v>
      </c>
      <c r="F2226" s="2" t="s">
        <v>12</v>
      </c>
      <c r="G2226" t="s">
        <v>3688</v>
      </c>
      <c r="H2226" t="str">
        <f t="shared" si="68"/>
        <v>https://videplast.com.br/consulta-imobilizado?id=11000194&amp;nome=BARRACAO%20ALMOXARIFADO%201.500M2%20C%20FECHAMENTO%20LATERAL</v>
      </c>
      <c r="I2226" t="e">
        <f t="shared" ca="1" si="69"/>
        <v>#NAME?</v>
      </c>
    </row>
    <row r="2227" spans="1:9" x14ac:dyDescent="0.25">
      <c r="A2227" s="2" t="s">
        <v>3733</v>
      </c>
      <c r="B2227" s="2" t="s">
        <v>10</v>
      </c>
      <c r="C2227" s="3">
        <v>41882</v>
      </c>
      <c r="D2227" t="s">
        <v>2713</v>
      </c>
      <c r="E2227" s="2" t="s">
        <v>3734</v>
      </c>
      <c r="F2227" s="2" t="s">
        <v>12</v>
      </c>
      <c r="G2227" t="s">
        <v>3688</v>
      </c>
      <c r="H2227" t="str">
        <f t="shared" si="68"/>
        <v>https://videplast.com.br/consulta-imobilizado?id=21000384&amp;nome=BALANCA%20ACO%20CARBONO%20BT%20008%20200%20KG</v>
      </c>
      <c r="I2227" t="e">
        <f t="shared" ca="1" si="69"/>
        <v>#NAME?</v>
      </c>
    </row>
    <row r="2228" spans="1:9" x14ac:dyDescent="0.25">
      <c r="A2228" s="2" t="s">
        <v>3735</v>
      </c>
      <c r="B2228" s="2" t="s">
        <v>10</v>
      </c>
      <c r="C2228" s="3">
        <v>41882</v>
      </c>
      <c r="D2228" t="s">
        <v>3736</v>
      </c>
      <c r="E2228" s="2" t="s">
        <v>3737</v>
      </c>
      <c r="F2228" s="2" t="s">
        <v>3738</v>
      </c>
      <c r="G2228" t="s">
        <v>3688</v>
      </c>
      <c r="H2228" t="str">
        <f t="shared" si="68"/>
        <v>https://videplast.com.br/consulta-imobilizado?id=21000386&amp;nome=AR%20CONDICIONADO%20SPLIT%20CONSUL%20INTERNO%2022K%20BTU%20220V</v>
      </c>
      <c r="I2228" t="e">
        <f t="shared" ca="1" si="69"/>
        <v>#NAME?</v>
      </c>
    </row>
    <row r="2229" spans="1:9" x14ac:dyDescent="0.25">
      <c r="A2229" s="2" t="s">
        <v>3735</v>
      </c>
      <c r="B2229" s="2" t="s">
        <v>26</v>
      </c>
      <c r="C2229" s="3">
        <v>41882</v>
      </c>
      <c r="D2229" t="s">
        <v>3739</v>
      </c>
      <c r="E2229" s="2" t="s">
        <v>3738</v>
      </c>
      <c r="F2229" s="2" t="s">
        <v>12</v>
      </c>
      <c r="G2229" t="s">
        <v>3688</v>
      </c>
      <c r="H2229" t="str">
        <f t="shared" si="68"/>
        <v>https://videplast.com.br/consulta-imobilizado?id=21000386&amp;nome=AR%20CONDICIONADO%20SPLIT%20CONSUL%20EXTERNO%2022K%20BTU%20220V</v>
      </c>
      <c r="I2229" t="e">
        <f t="shared" ca="1" si="69"/>
        <v>#NAME?</v>
      </c>
    </row>
    <row r="2230" spans="1:9" x14ac:dyDescent="0.25">
      <c r="A2230" s="2" t="s">
        <v>3740</v>
      </c>
      <c r="B2230" s="2" t="s">
        <v>10</v>
      </c>
      <c r="C2230" s="3">
        <v>41912</v>
      </c>
      <c r="D2230" t="s">
        <v>3741</v>
      </c>
      <c r="E2230" s="2" t="s">
        <v>12</v>
      </c>
      <c r="F2230" s="2" t="s">
        <v>3742</v>
      </c>
      <c r="G2230" t="s">
        <v>3688</v>
      </c>
      <c r="H2230" t="str">
        <f t="shared" si="68"/>
        <v>https://videplast.com.br/consulta-imobilizado?id=21000389&amp;nome=IMPRESSORA%20ZEBRA%20GC420%20203DPI%20EPL/ZPL.8MB%20SRAM/8MB</v>
      </c>
      <c r="I2230" t="e">
        <f t="shared" ca="1" si="69"/>
        <v>#NAME?</v>
      </c>
    </row>
    <row r="2231" spans="1:9" x14ac:dyDescent="0.25">
      <c r="A2231" s="2" t="s">
        <v>3743</v>
      </c>
      <c r="B2231" s="2" t="s">
        <v>10</v>
      </c>
      <c r="C2231" s="3">
        <v>41912</v>
      </c>
      <c r="D2231" t="s">
        <v>3744</v>
      </c>
      <c r="E2231" s="2" t="s">
        <v>12</v>
      </c>
      <c r="F2231" s="2" t="s">
        <v>12</v>
      </c>
      <c r="G2231" t="s">
        <v>3688</v>
      </c>
      <c r="H2231" t="str">
        <f t="shared" si="68"/>
        <v>https://videplast.com.br/consulta-imobilizado?id=21000390&amp;nome=MOTOR%20ELETRICO%20TRIFASICO%2075CV%2060HZ</v>
      </c>
      <c r="I2231" t="e">
        <f t="shared" ca="1" si="69"/>
        <v>#NAME?</v>
      </c>
    </row>
    <row r="2232" spans="1:9" x14ac:dyDescent="0.25">
      <c r="A2232" s="2" t="s">
        <v>253</v>
      </c>
      <c r="B2232" s="2" t="s">
        <v>10</v>
      </c>
      <c r="C2232" s="3">
        <v>40262</v>
      </c>
      <c r="D2232" t="s">
        <v>3745</v>
      </c>
      <c r="E2232" s="2" t="s">
        <v>3746</v>
      </c>
      <c r="F2232" s="2" t="s">
        <v>3747</v>
      </c>
      <c r="G2232" t="s">
        <v>3688</v>
      </c>
      <c r="H2232" t="str">
        <f t="shared" si="68"/>
        <v>https://videplast.com.br/consulta-imobilizado?id=21000616&amp;nome=EMPILHADEIRA%20HYSTER%20MOD%20H50FT/GLP%204,80M%20ELEVAÇÃO</v>
      </c>
      <c r="I2232" t="e">
        <f t="shared" ca="1" si="69"/>
        <v>#NAME?</v>
      </c>
    </row>
    <row r="2233" spans="1:9" x14ac:dyDescent="0.25">
      <c r="A2233" s="2" t="s">
        <v>3748</v>
      </c>
      <c r="B2233" s="2" t="s">
        <v>10</v>
      </c>
      <c r="C2233" s="3">
        <v>40390</v>
      </c>
      <c r="D2233" t="s">
        <v>3749</v>
      </c>
      <c r="E2233" s="2" t="s">
        <v>12</v>
      </c>
      <c r="F2233" s="2" t="s">
        <v>12</v>
      </c>
      <c r="G2233" t="s">
        <v>3688</v>
      </c>
      <c r="H2233" t="str">
        <f t="shared" si="68"/>
        <v>https://videplast.com.br/consulta-imobilizado?id=21000662&amp;nome=ALONGADOR%20DE%20GARFO%20PARA%20EMPILHADEIRA</v>
      </c>
      <c r="I2233" t="e">
        <f t="shared" ca="1" si="69"/>
        <v>#NAME?</v>
      </c>
    </row>
    <row r="2234" spans="1:9" x14ac:dyDescent="0.25">
      <c r="A2234" s="2" t="s">
        <v>3750</v>
      </c>
      <c r="B2234" s="2" t="s">
        <v>10</v>
      </c>
      <c r="C2234" s="3">
        <v>45299</v>
      </c>
      <c r="D2234" t="s">
        <v>3751</v>
      </c>
      <c r="E2234" s="2" t="s">
        <v>12</v>
      </c>
      <c r="F2234" s="2" t="s">
        <v>3752</v>
      </c>
      <c r="G2234" t="s">
        <v>3688</v>
      </c>
      <c r="H2234" t="str">
        <f t="shared" si="68"/>
        <v>https://videplast.com.br/consulta-imobilizado?id=21006426&amp;nome=PALETEIRA%20MANUAL%20CATARINENSE%20PADRAO%202.5T%20NY</v>
      </c>
      <c r="I2234" t="e">
        <f t="shared" ca="1" si="69"/>
        <v>#NAME?</v>
      </c>
    </row>
    <row r="2235" spans="1:9" x14ac:dyDescent="0.25">
      <c r="A2235" s="2" t="s">
        <v>3750</v>
      </c>
      <c r="B2235" s="2" t="s">
        <v>26</v>
      </c>
      <c r="C2235" s="3">
        <v>45299</v>
      </c>
      <c r="D2235" t="s">
        <v>3753</v>
      </c>
      <c r="E2235" s="2" t="s">
        <v>12</v>
      </c>
      <c r="F2235" s="2" t="s">
        <v>12</v>
      </c>
      <c r="G2235" t="s">
        <v>3688</v>
      </c>
      <c r="H2235" t="str">
        <f t="shared" si="68"/>
        <v>https://videplast.com.br/consulta-imobilizado?id=21006426&amp;nome=FRETE%20PALETEIRA%20MANUAL%20CATARINENSE%20PADRAO%202.5T%20NY</v>
      </c>
      <c r="I2235" t="e">
        <f t="shared" ca="1" si="69"/>
        <v>#NAME?</v>
      </c>
    </row>
    <row r="2236" spans="1:9" x14ac:dyDescent="0.25">
      <c r="A2236" s="2" t="s">
        <v>3754</v>
      </c>
      <c r="B2236" s="2" t="s">
        <v>10</v>
      </c>
      <c r="C2236" s="3">
        <v>40724</v>
      </c>
      <c r="D2236" t="s">
        <v>3755</v>
      </c>
      <c r="E2236" s="2" t="s">
        <v>12</v>
      </c>
      <c r="F2236" s="2" t="s">
        <v>12</v>
      </c>
      <c r="G2236" t="s">
        <v>3688</v>
      </c>
      <c r="H2236" t="str">
        <f t="shared" si="68"/>
        <v>https://videplast.com.br/consulta-imobilizado?id=30000106&amp;nome=04%20ESTANTES%206X1</v>
      </c>
      <c r="I2236" t="e">
        <f t="shared" ca="1" si="69"/>
        <v>#NAME?</v>
      </c>
    </row>
    <row r="2237" spans="1:9" x14ac:dyDescent="0.25">
      <c r="A2237" s="2" t="s">
        <v>3756</v>
      </c>
      <c r="B2237" s="2" t="s">
        <v>10</v>
      </c>
      <c r="C2237" s="3">
        <v>41973</v>
      </c>
      <c r="D2237" t="s">
        <v>3757</v>
      </c>
      <c r="E2237" s="2" t="s">
        <v>3758</v>
      </c>
      <c r="F2237" s="2" t="s">
        <v>12</v>
      </c>
      <c r="G2237" t="s">
        <v>3688</v>
      </c>
      <c r="H2237" t="str">
        <f t="shared" si="68"/>
        <v>https://videplast.com.br/consulta-imobilizado?id=30000148&amp;nome=MESA%20SLIM%201,2X0,6%20COM%20GAVETEIRO%20FIXO%202%20GAVETAS%20OVO</v>
      </c>
      <c r="I2237" t="e">
        <f t="shared" ca="1" si="69"/>
        <v>#NAME?</v>
      </c>
    </row>
    <row r="2238" spans="1:9" x14ac:dyDescent="0.25">
      <c r="A2238" s="2" t="s">
        <v>3759</v>
      </c>
      <c r="B2238" s="2" t="s">
        <v>10</v>
      </c>
      <c r="C2238" s="3">
        <v>42458</v>
      </c>
      <c r="D2238" t="s">
        <v>3760</v>
      </c>
      <c r="E2238" s="2" t="s">
        <v>3761</v>
      </c>
      <c r="F2238" s="2" t="s">
        <v>12</v>
      </c>
      <c r="G2238" t="s">
        <v>3688</v>
      </c>
      <c r="H2238" t="str">
        <f t="shared" si="68"/>
        <v>https://videplast.com.br/consulta-imobilizado?id=30001413&amp;nome=CADEIRA%20GIRATORIA%20SECRETARIA</v>
      </c>
      <c r="I2238" t="e">
        <f t="shared" ca="1" si="69"/>
        <v>#NAME?</v>
      </c>
    </row>
    <row r="2239" spans="1:9" x14ac:dyDescent="0.25">
      <c r="A2239" s="2" t="s">
        <v>3762</v>
      </c>
      <c r="B2239" s="2" t="s">
        <v>10</v>
      </c>
      <c r="C2239" s="3">
        <v>42458</v>
      </c>
      <c r="D2239" t="s">
        <v>3760</v>
      </c>
      <c r="E2239" s="2" t="s">
        <v>3763</v>
      </c>
      <c r="F2239" s="2" t="s">
        <v>12</v>
      </c>
      <c r="G2239" t="s">
        <v>3688</v>
      </c>
      <c r="H2239" t="str">
        <f t="shared" si="68"/>
        <v>https://videplast.com.br/consulta-imobilizado?id=30001414&amp;nome=CADEIRA%20GIRATORIA%20SECRETARIA</v>
      </c>
      <c r="I2239" t="e">
        <f t="shared" ca="1" si="69"/>
        <v>#NAME?</v>
      </c>
    </row>
    <row r="2240" spans="1:9" x14ac:dyDescent="0.25">
      <c r="A2240" s="2" t="s">
        <v>3764</v>
      </c>
      <c r="B2240" s="2" t="s">
        <v>10</v>
      </c>
      <c r="C2240" s="3">
        <v>43565</v>
      </c>
      <c r="D2240" t="s">
        <v>3765</v>
      </c>
      <c r="E2240" s="2" t="s">
        <v>12</v>
      </c>
      <c r="F2240" s="2" t="s">
        <v>12</v>
      </c>
      <c r="G2240" t="s">
        <v>3688</v>
      </c>
      <c r="H2240" t="str">
        <f t="shared" si="68"/>
        <v>https://videplast.com.br/consulta-imobilizado?id=30001878&amp;nome=ASPIRADOR%20DE%20PÓ%20BLACK%20DECKER%20AP4850</v>
      </c>
      <c r="I2240" t="e">
        <f t="shared" ca="1" si="69"/>
        <v>#NAME?</v>
      </c>
    </row>
    <row r="2241" spans="1:9" x14ac:dyDescent="0.25">
      <c r="A2241" s="2" t="s">
        <v>3766</v>
      </c>
      <c r="B2241" s="2" t="s">
        <v>10</v>
      </c>
      <c r="C2241" s="3">
        <v>43959</v>
      </c>
      <c r="D2241" t="s">
        <v>442</v>
      </c>
      <c r="E2241" s="2" t="s">
        <v>12</v>
      </c>
      <c r="F2241" s="2" t="s">
        <v>12</v>
      </c>
      <c r="G2241" t="s">
        <v>3688</v>
      </c>
      <c r="H2241" t="str">
        <f t="shared" si="68"/>
        <v>https://videplast.com.br/consulta-imobilizado?id=30002424&amp;nome=GAVETEIRO%20FIXO%20C/%202%20GAVETAS</v>
      </c>
      <c r="I2241" t="e">
        <f t="shared" ca="1" si="69"/>
        <v>#NAME?</v>
      </c>
    </row>
    <row r="2242" spans="1:9" x14ac:dyDescent="0.25">
      <c r="A2242" s="2" t="s">
        <v>3767</v>
      </c>
      <c r="B2242" s="2" t="s">
        <v>10</v>
      </c>
      <c r="C2242" s="3">
        <v>44173</v>
      </c>
      <c r="D2242" t="s">
        <v>3768</v>
      </c>
      <c r="E2242" s="2" t="s">
        <v>12</v>
      </c>
      <c r="F2242" s="2" t="s">
        <v>12</v>
      </c>
      <c r="G2242" t="s">
        <v>3688</v>
      </c>
      <c r="H2242" t="str">
        <f t="shared" ref="H2242:H2305" si="70" xml:space="preserve"> "https://videplast.com.br/consulta-imobilizado?id=" &amp; A2242 &amp; "&amp;nome=" &amp; SUBSTITUTE(D2242, " ", "%20")</f>
        <v>https://videplast.com.br/consulta-imobilizado?id=30003379&amp;nome=PURIFICADOR%20AGUA%20SOFT%20STAR%202L%20SIST%20DUPLA</v>
      </c>
      <c r="I2242" t="e">
        <f t="shared" ref="I2242:I2305" ca="1" si="71">_xlfn.IMAGE("https://chart.googleapis.com/chart?chs=150x150&amp;cht=qr&amp;chl=" &amp; H2242)</f>
        <v>#NAME?</v>
      </c>
    </row>
    <row r="2243" spans="1:9" x14ac:dyDescent="0.25">
      <c r="A2243" s="2" t="s">
        <v>3769</v>
      </c>
      <c r="B2243" s="2" t="s">
        <v>10</v>
      </c>
      <c r="C2243" s="3">
        <v>44229</v>
      </c>
      <c r="D2243" t="s">
        <v>3770</v>
      </c>
      <c r="E2243" s="2" t="s">
        <v>12</v>
      </c>
      <c r="F2243" s="2" t="s">
        <v>12</v>
      </c>
      <c r="G2243" t="s">
        <v>3688</v>
      </c>
      <c r="H2243" t="str">
        <f t="shared" si="70"/>
        <v>https://videplast.com.br/consulta-imobilizado?id=30003386&amp;nome=ASPIRADOR%20DE%20PÓ%20PROFISSIONAL%20PONCIANI%202800%20WATTS</v>
      </c>
      <c r="I2243" t="e">
        <f t="shared" ca="1" si="71"/>
        <v>#NAME?</v>
      </c>
    </row>
    <row r="2244" spans="1:9" x14ac:dyDescent="0.25">
      <c r="A2244" s="2" t="s">
        <v>3771</v>
      </c>
      <c r="B2244" s="2" t="s">
        <v>10</v>
      </c>
      <c r="C2244" s="3">
        <v>44323</v>
      </c>
      <c r="D2244" t="s">
        <v>3772</v>
      </c>
      <c r="E2244" s="2" t="s">
        <v>12</v>
      </c>
      <c r="F2244" s="2" t="s">
        <v>12</v>
      </c>
      <c r="G2244" t="s">
        <v>3688</v>
      </c>
      <c r="H2244" t="str">
        <f t="shared" si="70"/>
        <v>https://videplast.com.br/consulta-imobilizado?id=30003446&amp;nome=CARRINHO%20PLATAFORMA%20TELADO%20TIPO%20ABASTECEDOR%20300KG</v>
      </c>
      <c r="I2244" t="e">
        <f t="shared" ca="1" si="71"/>
        <v>#NAME?</v>
      </c>
    </row>
    <row r="2245" spans="1:9" x14ac:dyDescent="0.25">
      <c r="A2245" s="2" t="s">
        <v>3773</v>
      </c>
      <c r="B2245" s="2" t="s">
        <v>10</v>
      </c>
      <c r="C2245" s="3">
        <v>44354</v>
      </c>
      <c r="D2245" t="s">
        <v>3772</v>
      </c>
      <c r="E2245" s="2" t="s">
        <v>12</v>
      </c>
      <c r="F2245" s="2" t="s">
        <v>12</v>
      </c>
      <c r="G2245" t="s">
        <v>3688</v>
      </c>
      <c r="H2245" t="str">
        <f t="shared" si="70"/>
        <v>https://videplast.com.br/consulta-imobilizado?id=30003471&amp;nome=CARRINHO%20PLATAFORMA%20TELADO%20TIPO%20ABASTECEDOR%20300KG</v>
      </c>
      <c r="I2245" t="e">
        <f t="shared" ca="1" si="71"/>
        <v>#NAME?</v>
      </c>
    </row>
    <row r="2246" spans="1:9" x14ac:dyDescent="0.25">
      <c r="A2246" s="2" t="s">
        <v>3774</v>
      </c>
      <c r="B2246" s="2" t="s">
        <v>10</v>
      </c>
      <c r="C2246" s="3">
        <v>44985</v>
      </c>
      <c r="D2246" t="s">
        <v>3775</v>
      </c>
      <c r="E2246" s="2" t="s">
        <v>3776</v>
      </c>
      <c r="F2246" s="2" t="s">
        <v>12</v>
      </c>
      <c r="G2246" t="s">
        <v>3688</v>
      </c>
      <c r="H2246" t="str">
        <f t="shared" si="70"/>
        <v>https://videplast.com.br/consulta-imobilizado?id=30003809&amp;nome=VARREDEIRA%20KALA%2040L%20COM%203%20ESCOVAS%20MANUAL</v>
      </c>
      <c r="I2246" t="e">
        <f t="shared" ca="1" si="71"/>
        <v>#NAME?</v>
      </c>
    </row>
    <row r="2247" spans="1:9" x14ac:dyDescent="0.25">
      <c r="A2247" s="2" t="s">
        <v>3777</v>
      </c>
      <c r="B2247" s="2" t="s">
        <v>10</v>
      </c>
      <c r="C2247" s="3">
        <v>45184</v>
      </c>
      <c r="D2247" t="s">
        <v>3778</v>
      </c>
      <c r="E2247" s="2" t="s">
        <v>12</v>
      </c>
      <c r="F2247" s="2" t="s">
        <v>3779</v>
      </c>
      <c r="G2247" t="s">
        <v>3688</v>
      </c>
      <c r="H2247" t="str">
        <f t="shared" si="70"/>
        <v>https://videplast.com.br/consulta-imobilizado?id=30003933&amp;nome=COLETOR%20DE%20DADOS%20ZEBRA%20MC33%20GUN%20STANDARD%20ANDROID%208</v>
      </c>
      <c r="I2247" t="e">
        <f t="shared" ca="1" si="71"/>
        <v>#NAME?</v>
      </c>
    </row>
    <row r="2248" spans="1:9" x14ac:dyDescent="0.25">
      <c r="A2248" s="2" t="s">
        <v>3780</v>
      </c>
      <c r="B2248" s="2" t="s">
        <v>10</v>
      </c>
      <c r="C2248" s="3">
        <v>45244</v>
      </c>
      <c r="D2248" t="s">
        <v>462</v>
      </c>
      <c r="E2248" s="2" t="s">
        <v>12</v>
      </c>
      <c r="F2248" s="2" t="s">
        <v>3781</v>
      </c>
      <c r="G2248" t="s">
        <v>3688</v>
      </c>
      <c r="H2248" t="str">
        <f t="shared" si="70"/>
        <v>https://videplast.com.br/consulta-imobilizado?id=30003934&amp;nome=CLIMATIZADOR%20ROTOPLAST%20ROTO46%20PORTATIL</v>
      </c>
      <c r="I2248" t="e">
        <f t="shared" ca="1" si="71"/>
        <v>#NAME?</v>
      </c>
    </row>
    <row r="2249" spans="1:9" x14ac:dyDescent="0.25">
      <c r="A2249" s="2" t="s">
        <v>3782</v>
      </c>
      <c r="B2249" s="2" t="s">
        <v>10</v>
      </c>
      <c r="C2249" s="3">
        <v>45408</v>
      </c>
      <c r="D2249" t="s">
        <v>3783</v>
      </c>
      <c r="E2249" s="2" t="s">
        <v>12</v>
      </c>
      <c r="F2249" s="2" t="s">
        <v>12</v>
      </c>
      <c r="G2249" t="s">
        <v>3688</v>
      </c>
      <c r="H2249" t="str">
        <f t="shared" si="70"/>
        <v>https://videplast.com.br/consulta-imobilizado?id=30004118&amp;nome=ESTANTE%20EM%20ACO%20CINZA%20198X92X30CM%2006%20BANDEJAS</v>
      </c>
      <c r="I2249" t="e">
        <f t="shared" ca="1" si="71"/>
        <v>#NAME?</v>
      </c>
    </row>
    <row r="2250" spans="1:9" x14ac:dyDescent="0.25">
      <c r="A2250" s="2" t="s">
        <v>3784</v>
      </c>
      <c r="B2250" s="2" t="s">
        <v>10</v>
      </c>
      <c r="C2250" s="3">
        <v>45408</v>
      </c>
      <c r="D2250" t="s">
        <v>3783</v>
      </c>
      <c r="E2250" s="2" t="s">
        <v>12</v>
      </c>
      <c r="F2250" s="2" t="s">
        <v>12</v>
      </c>
      <c r="G2250" t="s">
        <v>3688</v>
      </c>
      <c r="H2250" t="str">
        <f t="shared" si="70"/>
        <v>https://videplast.com.br/consulta-imobilizado?id=30004119&amp;nome=ESTANTE%20EM%20ACO%20CINZA%20198X92X30CM%2006%20BANDEJAS</v>
      </c>
      <c r="I2250" t="e">
        <f t="shared" ca="1" si="71"/>
        <v>#NAME?</v>
      </c>
    </row>
    <row r="2251" spans="1:9" x14ac:dyDescent="0.25">
      <c r="A2251" s="2" t="s">
        <v>3785</v>
      </c>
      <c r="B2251" s="2" t="s">
        <v>10</v>
      </c>
      <c r="C2251" s="3">
        <v>45518</v>
      </c>
      <c r="D2251" t="s">
        <v>3786</v>
      </c>
      <c r="E2251" s="2" t="s">
        <v>12</v>
      </c>
      <c r="F2251" s="2" t="s">
        <v>12</v>
      </c>
      <c r="G2251" t="s">
        <v>3688</v>
      </c>
      <c r="H2251" t="str">
        <f t="shared" si="70"/>
        <v>https://videplast.com.br/consulta-imobilizado?id=30004182&amp;nome=LAVADORA%20DE%20ALTA%20PRESSAO%20WAP%20ECO%20FIT%202200/1500%20PSI</v>
      </c>
      <c r="I2251" t="e">
        <f t="shared" ca="1" si="71"/>
        <v>#NAME?</v>
      </c>
    </row>
    <row r="2252" spans="1:9" x14ac:dyDescent="0.25">
      <c r="A2252" s="2" t="s">
        <v>3787</v>
      </c>
      <c r="B2252" s="2" t="s">
        <v>10</v>
      </c>
      <c r="C2252" s="3">
        <v>44225</v>
      </c>
      <c r="D2252" t="s">
        <v>3788</v>
      </c>
      <c r="E2252" s="2" t="s">
        <v>3789</v>
      </c>
      <c r="F2252" s="2" t="s">
        <v>3790</v>
      </c>
      <c r="G2252" t="s">
        <v>3688</v>
      </c>
      <c r="H2252" t="str">
        <f t="shared" si="70"/>
        <v>https://videplast.com.br/consulta-imobilizado?id=31000238&amp;nome=EMPILHADEIRA%20COMB%20HYSTER%20H50XT%20GLP</v>
      </c>
      <c r="I2252" t="e">
        <f t="shared" ca="1" si="71"/>
        <v>#NAME?</v>
      </c>
    </row>
    <row r="2253" spans="1:9" x14ac:dyDescent="0.25">
      <c r="A2253" s="2" t="s">
        <v>3791</v>
      </c>
      <c r="B2253" s="2" t="s">
        <v>10</v>
      </c>
      <c r="C2253" s="3">
        <v>44369</v>
      </c>
      <c r="D2253" t="s">
        <v>3231</v>
      </c>
      <c r="E2253" s="2" t="s">
        <v>12</v>
      </c>
      <c r="F2253" s="2" t="s">
        <v>3792</v>
      </c>
      <c r="G2253" t="s">
        <v>3688</v>
      </c>
      <c r="H2253" t="str">
        <f t="shared" si="70"/>
        <v>https://videplast.com.br/consulta-imobilizado?id=31000244&amp;nome=TRANSPALETEIRA%20ELETRICA%20STILL%20NACIONAL%20EGU%2020%20C</v>
      </c>
      <c r="I2253" t="e">
        <f t="shared" ca="1" si="71"/>
        <v>#NAME?</v>
      </c>
    </row>
    <row r="2254" spans="1:9" x14ac:dyDescent="0.25">
      <c r="A2254" s="2" t="s">
        <v>3793</v>
      </c>
      <c r="B2254" s="2" t="s">
        <v>10</v>
      </c>
      <c r="C2254" s="3">
        <v>45518</v>
      </c>
      <c r="D2254" t="s">
        <v>3794</v>
      </c>
      <c r="E2254" s="2" t="s">
        <v>12</v>
      </c>
      <c r="F2254" s="2" t="s">
        <v>3795</v>
      </c>
      <c r="G2254" t="s">
        <v>3688</v>
      </c>
      <c r="H2254" t="str">
        <f t="shared" si="70"/>
        <v>https://videplast.com.br/consulta-imobilizado?id=31000308&amp;nome=TRANSPALETEIRA%20ELETRICA%20STILL%20EXH-SF20C%202000KG</v>
      </c>
      <c r="I2254" t="e">
        <f t="shared" ca="1" si="71"/>
        <v>#NAME?</v>
      </c>
    </row>
    <row r="2255" spans="1:9" x14ac:dyDescent="0.25">
      <c r="A2255" s="2" t="s">
        <v>3796</v>
      </c>
      <c r="B2255" s="2" t="s">
        <v>10</v>
      </c>
      <c r="C2255" s="3">
        <v>45539</v>
      </c>
      <c r="D2255" t="s">
        <v>3797</v>
      </c>
      <c r="E2255" s="2" t="s">
        <v>3798</v>
      </c>
      <c r="F2255" s="2" t="s">
        <v>3799</v>
      </c>
      <c r="G2255" t="s">
        <v>3688</v>
      </c>
      <c r="H2255" t="str">
        <f t="shared" si="70"/>
        <v>https://videplast.com.br/consulta-imobilizado?id=31000309&amp;nome=EMPILHADEIRA%20ELETRICA%20STILL%20EGV%2016%205466%20TRIPLEX</v>
      </c>
      <c r="I2255" t="e">
        <f t="shared" ca="1" si="71"/>
        <v>#NAME?</v>
      </c>
    </row>
    <row r="2256" spans="1:9" x14ac:dyDescent="0.25">
      <c r="A2256" s="2" t="s">
        <v>3800</v>
      </c>
      <c r="B2256" s="2" t="s">
        <v>10</v>
      </c>
      <c r="C2256" s="3">
        <v>45705</v>
      </c>
      <c r="D2256" t="s">
        <v>3801</v>
      </c>
      <c r="E2256" s="2" t="s">
        <v>12</v>
      </c>
      <c r="F2256" s="2" t="s">
        <v>3802</v>
      </c>
      <c r="G2256" t="s">
        <v>3688</v>
      </c>
      <c r="H2256" t="str">
        <f t="shared" si="70"/>
        <v>https://videplast.com.br/consulta-imobilizado?id=31000324&amp;nome=EMPILHADEIRA%20STILL%20DE%20CONTRAPESO%20ELETRICA%20RCE25</v>
      </c>
      <c r="I2256" t="e">
        <f t="shared" ca="1" si="71"/>
        <v>#NAME?</v>
      </c>
    </row>
    <row r="2257" spans="1:9" x14ac:dyDescent="0.25">
      <c r="A2257" s="2" t="s">
        <v>3803</v>
      </c>
      <c r="B2257" s="2" t="s">
        <v>10</v>
      </c>
      <c r="C2257" s="3">
        <v>45654</v>
      </c>
      <c r="D2257" t="s">
        <v>3801</v>
      </c>
      <c r="E2257" s="2" t="s">
        <v>12</v>
      </c>
      <c r="F2257" s="2" t="s">
        <v>3804</v>
      </c>
      <c r="G2257" t="s">
        <v>3688</v>
      </c>
      <c r="H2257" t="str">
        <f t="shared" si="70"/>
        <v>https://videplast.com.br/consulta-imobilizado?id=31000325&amp;nome=EMPILHADEIRA%20STILL%20DE%20CONTRAPESO%20ELETRICA%20RCE25</v>
      </c>
      <c r="I2257" t="e">
        <f t="shared" ca="1" si="71"/>
        <v>#NAME?</v>
      </c>
    </row>
    <row r="2258" spans="1:9" x14ac:dyDescent="0.25">
      <c r="A2258" s="2" t="s">
        <v>3805</v>
      </c>
      <c r="B2258" s="2" t="s">
        <v>10</v>
      </c>
      <c r="C2258" s="3">
        <v>41305</v>
      </c>
      <c r="D2258" t="s">
        <v>3806</v>
      </c>
      <c r="E2258" s="2" t="s">
        <v>12</v>
      </c>
      <c r="F2258" s="2" t="s">
        <v>12</v>
      </c>
      <c r="G2258" t="s">
        <v>3688</v>
      </c>
      <c r="H2258" t="str">
        <f t="shared" si="70"/>
        <v>https://videplast.com.br/consulta-imobilizado?id=32000047&amp;nome=CAIXA%20HERMETICA%2031X25X14</v>
      </c>
      <c r="I2258" t="e">
        <f t="shared" ca="1" si="71"/>
        <v>#NAME?</v>
      </c>
    </row>
    <row r="2259" spans="1:9" x14ac:dyDescent="0.25">
      <c r="A2259" s="2" t="s">
        <v>3805</v>
      </c>
      <c r="B2259" s="2" t="s">
        <v>26</v>
      </c>
      <c r="C2259" s="3">
        <v>41305</v>
      </c>
      <c r="D2259" t="s">
        <v>3807</v>
      </c>
      <c r="E2259" s="2" t="s">
        <v>12</v>
      </c>
      <c r="F2259" s="2" t="s">
        <v>12</v>
      </c>
      <c r="G2259" t="s">
        <v>3688</v>
      </c>
      <c r="H2259" t="str">
        <f t="shared" si="70"/>
        <v>https://videplast.com.br/consulta-imobilizado?id=32000047&amp;nome=PIG%20TAIL%20P/CISCO%20CABO%20RG58%20TNC%20MONTADO%20MACHO</v>
      </c>
      <c r="I2259" t="e">
        <f t="shared" ca="1" si="71"/>
        <v>#NAME?</v>
      </c>
    </row>
    <row r="2260" spans="1:9" x14ac:dyDescent="0.25">
      <c r="A2260" s="2" t="s">
        <v>3805</v>
      </c>
      <c r="B2260" s="2" t="s">
        <v>21</v>
      </c>
      <c r="C2260" s="3">
        <v>41305</v>
      </c>
      <c r="D2260" t="s">
        <v>3808</v>
      </c>
      <c r="E2260" s="2" t="s">
        <v>12</v>
      </c>
      <c r="F2260" s="2" t="s">
        <v>12</v>
      </c>
      <c r="G2260" t="s">
        <v>3688</v>
      </c>
      <c r="H2260" t="str">
        <f t="shared" si="70"/>
        <v>https://videplast.com.br/consulta-imobilizado?id=32000047&amp;nome=PONTOS%20DE%20ACESSO%20CISCO%20AIR-AP1242AG-A-K9</v>
      </c>
      <c r="I2260" t="e">
        <f t="shared" ca="1" si="71"/>
        <v>#NAME?</v>
      </c>
    </row>
    <row r="2261" spans="1:9" x14ac:dyDescent="0.25">
      <c r="A2261" s="2" t="s">
        <v>3805</v>
      </c>
      <c r="B2261" s="2" t="s">
        <v>29</v>
      </c>
      <c r="C2261" s="3">
        <v>41305</v>
      </c>
      <c r="D2261" t="s">
        <v>3809</v>
      </c>
      <c r="E2261" s="2" t="s">
        <v>12</v>
      </c>
      <c r="F2261" s="2" t="s">
        <v>12</v>
      </c>
      <c r="G2261" t="s">
        <v>3688</v>
      </c>
      <c r="H2261" t="str">
        <f t="shared" si="70"/>
        <v>https://videplast.com.br/consulta-imobilizado?id=32000047&amp;nome=ANTENAS%20OMNI%20DIRECIONAL%20DE%202.2%20DBI</v>
      </c>
      <c r="I2261" t="e">
        <f t="shared" ca="1" si="71"/>
        <v>#NAME?</v>
      </c>
    </row>
    <row r="2262" spans="1:9" x14ac:dyDescent="0.25">
      <c r="A2262" s="2" t="s">
        <v>3805</v>
      </c>
      <c r="B2262" s="2" t="s">
        <v>31</v>
      </c>
      <c r="C2262" s="3">
        <v>41305</v>
      </c>
      <c r="D2262" t="s">
        <v>3810</v>
      </c>
      <c r="E2262" s="2" t="s">
        <v>12</v>
      </c>
      <c r="F2262" s="2" t="s">
        <v>12</v>
      </c>
      <c r="G2262" t="s">
        <v>3688</v>
      </c>
      <c r="H2262" t="str">
        <f t="shared" si="70"/>
        <v>https://videplast.com.br/consulta-imobilizado?id=32000047&amp;nome=CONECTORES%20DE%20LIGACAO%20VIA%20ETHERNET</v>
      </c>
      <c r="I2262" t="e">
        <f t="shared" ca="1" si="71"/>
        <v>#NAME?</v>
      </c>
    </row>
    <row r="2263" spans="1:9" x14ac:dyDescent="0.25">
      <c r="A2263" s="2" t="s">
        <v>3805</v>
      </c>
      <c r="B2263" s="2" t="s">
        <v>33</v>
      </c>
      <c r="C2263" s="3">
        <v>41305</v>
      </c>
      <c r="D2263" t="s">
        <v>3811</v>
      </c>
      <c r="E2263" s="2" t="s">
        <v>12</v>
      </c>
      <c r="F2263" s="2" t="s">
        <v>12</v>
      </c>
      <c r="G2263" t="s">
        <v>3688</v>
      </c>
      <c r="H2263" t="str">
        <f t="shared" si="70"/>
        <v>https://videplast.com.br/consulta-imobilizado?id=32000047&amp;nome=ANTENAS%20OMNIDIRECIONAL%2012DBI%20AQUARIO</v>
      </c>
      <c r="I2263" t="e">
        <f t="shared" ca="1" si="71"/>
        <v>#NAME?</v>
      </c>
    </row>
    <row r="2264" spans="1:9" x14ac:dyDescent="0.25">
      <c r="A2264" s="2" t="s">
        <v>3805</v>
      </c>
      <c r="B2264" s="2" t="s">
        <v>35</v>
      </c>
      <c r="C2264" s="3">
        <v>41305</v>
      </c>
      <c r="D2264" t="s">
        <v>3812</v>
      </c>
      <c r="E2264" s="2" t="s">
        <v>12</v>
      </c>
      <c r="F2264" s="2" t="s">
        <v>12</v>
      </c>
      <c r="G2264" t="s">
        <v>3688</v>
      </c>
      <c r="H2264" t="str">
        <f t="shared" si="70"/>
        <v>https://videplast.com.br/consulta-imobilizado?id=32000047&amp;nome=KIT%20CABO%20RGC213/10M%20CONECTORIZADOS%20TIPO%20N</v>
      </c>
      <c r="I2264" t="e">
        <f t="shared" ca="1" si="71"/>
        <v>#NAME?</v>
      </c>
    </row>
    <row r="2265" spans="1:9" x14ac:dyDescent="0.25">
      <c r="A2265" s="2" t="s">
        <v>3805</v>
      </c>
      <c r="B2265" s="2" t="s">
        <v>37</v>
      </c>
      <c r="C2265" s="3">
        <v>41364</v>
      </c>
      <c r="D2265" t="s">
        <v>3813</v>
      </c>
      <c r="E2265" s="2" t="s">
        <v>12</v>
      </c>
      <c r="F2265" s="2" t="s">
        <v>12</v>
      </c>
      <c r="G2265" t="s">
        <v>3688</v>
      </c>
      <c r="H2265" t="str">
        <f t="shared" si="70"/>
        <v>https://videplast.com.br/consulta-imobilizado?id=32000047&amp;nome=2%20IMPRESSORA%20ZEBRA%20MZ220%20PLIS%20CPCL%20USB%20IRDA</v>
      </c>
      <c r="I2265" t="e">
        <f t="shared" ca="1" si="71"/>
        <v>#NAME?</v>
      </c>
    </row>
    <row r="2266" spans="1:9" x14ac:dyDescent="0.25">
      <c r="A2266" s="2" t="s">
        <v>3805</v>
      </c>
      <c r="B2266" s="2" t="s">
        <v>39</v>
      </c>
      <c r="C2266" s="3">
        <v>41364</v>
      </c>
      <c r="D2266" t="s">
        <v>3814</v>
      </c>
      <c r="E2266" s="2" t="s">
        <v>12</v>
      </c>
      <c r="F2266" s="2" t="s">
        <v>12</v>
      </c>
      <c r="G2266" t="s">
        <v>3688</v>
      </c>
      <c r="H2266" t="str">
        <f t="shared" si="70"/>
        <v>https://videplast.com.br/consulta-imobilizado?id=32000047&amp;nome=BATERIA%20DE%20ION%20LITIO%20P/%20IMPRESSORA%20ZEBRA</v>
      </c>
      <c r="I2266" t="e">
        <f t="shared" ca="1" si="71"/>
        <v>#NAME?</v>
      </c>
    </row>
    <row r="2267" spans="1:9" x14ac:dyDescent="0.25">
      <c r="A2267" s="2" t="s">
        <v>3805</v>
      </c>
      <c r="B2267" s="2" t="s">
        <v>126</v>
      </c>
      <c r="C2267" s="3">
        <v>41364</v>
      </c>
      <c r="D2267" t="s">
        <v>3815</v>
      </c>
      <c r="E2267" s="2" t="s">
        <v>12</v>
      </c>
      <c r="F2267" s="2" t="s">
        <v>12</v>
      </c>
      <c r="G2267" t="s">
        <v>3688</v>
      </c>
      <c r="H2267" t="str">
        <f t="shared" si="70"/>
        <v>https://videplast.com.br/consulta-imobilizado?id=32000047&amp;nome=CAPA%20PROTETORA%20COM%20ALCA%20DE%20OMBRO</v>
      </c>
      <c r="I2267" t="e">
        <f t="shared" ca="1" si="71"/>
        <v>#NAME?</v>
      </c>
    </row>
    <row r="2268" spans="1:9" x14ac:dyDescent="0.25">
      <c r="A2268" s="2" t="s">
        <v>3816</v>
      </c>
      <c r="B2268" s="2" t="s">
        <v>10</v>
      </c>
      <c r="C2268" s="3">
        <v>40908</v>
      </c>
      <c r="D2268" t="s">
        <v>3817</v>
      </c>
      <c r="E2268" s="2" t="s">
        <v>12</v>
      </c>
      <c r="F2268" s="2" t="s">
        <v>12</v>
      </c>
      <c r="G2268" t="s">
        <v>3688</v>
      </c>
      <c r="H2268" t="str">
        <f t="shared" si="70"/>
        <v>https://videplast.com.br/consulta-imobilizado?id=32000074&amp;nome=CAMERA%20DIGITAL%20SONY%20S730</v>
      </c>
      <c r="I2268" t="e">
        <f t="shared" ca="1" si="71"/>
        <v>#NAME?</v>
      </c>
    </row>
    <row r="2269" spans="1:9" x14ac:dyDescent="0.25">
      <c r="A2269" s="2" t="s">
        <v>3818</v>
      </c>
      <c r="B2269" s="2" t="s">
        <v>10</v>
      </c>
      <c r="C2269" s="3">
        <v>40390</v>
      </c>
      <c r="D2269" t="s">
        <v>3819</v>
      </c>
      <c r="E2269" s="2" t="s">
        <v>12</v>
      </c>
      <c r="F2269" s="2" t="s">
        <v>12</v>
      </c>
      <c r="G2269" t="s">
        <v>3688</v>
      </c>
      <c r="H2269" t="str">
        <f t="shared" si="70"/>
        <v>https://videplast.com.br/consulta-imobilizado?id=32000205&amp;nome=MONITOR%2018,5'%20SAMSUNG%20B1930N</v>
      </c>
      <c r="I2269" t="e">
        <f t="shared" ca="1" si="71"/>
        <v>#NAME?</v>
      </c>
    </row>
    <row r="2270" spans="1:9" x14ac:dyDescent="0.25">
      <c r="A2270" s="2" t="s">
        <v>3820</v>
      </c>
      <c r="B2270" s="2" t="s">
        <v>10</v>
      </c>
      <c r="C2270" s="3">
        <v>40543</v>
      </c>
      <c r="D2270" t="s">
        <v>3821</v>
      </c>
      <c r="E2270" s="2" t="s">
        <v>12</v>
      </c>
      <c r="F2270" s="2" t="s">
        <v>12</v>
      </c>
      <c r="G2270" t="s">
        <v>3688</v>
      </c>
      <c r="H2270" t="str">
        <f t="shared" si="70"/>
        <v>https://videplast.com.br/consulta-imobilizado?id=32000210&amp;nome=SWITCH%2024%20PORTAS%203%20COM%2010/100/1000</v>
      </c>
      <c r="I2270" t="e">
        <f t="shared" ca="1" si="71"/>
        <v>#NAME?</v>
      </c>
    </row>
    <row r="2271" spans="1:9" x14ac:dyDescent="0.25">
      <c r="A2271" s="2" t="s">
        <v>3822</v>
      </c>
      <c r="B2271" s="2" t="s">
        <v>10</v>
      </c>
      <c r="C2271" s="3">
        <v>42094</v>
      </c>
      <c r="D2271" t="s">
        <v>3823</v>
      </c>
      <c r="E2271" s="2" t="s">
        <v>12</v>
      </c>
      <c r="F2271" s="2" t="s">
        <v>12</v>
      </c>
      <c r="G2271" t="s">
        <v>3688</v>
      </c>
      <c r="H2271" t="str">
        <f t="shared" si="70"/>
        <v>https://videplast.com.br/consulta-imobilizado?id=32000216&amp;nome=NOTEBOOK%20DELL%2014"%20LED%2013%204G%201TB%20W8</v>
      </c>
      <c r="I2271" t="e">
        <f t="shared" ca="1" si="71"/>
        <v>#NAME?</v>
      </c>
    </row>
    <row r="2272" spans="1:9" x14ac:dyDescent="0.25">
      <c r="A2272" s="2" t="s">
        <v>3824</v>
      </c>
      <c r="B2272" s="2" t="s">
        <v>10</v>
      </c>
      <c r="C2272" s="3">
        <v>42094</v>
      </c>
      <c r="D2272" t="s">
        <v>3823</v>
      </c>
      <c r="E2272" s="2" t="s">
        <v>12</v>
      </c>
      <c r="F2272" s="2" t="s">
        <v>12</v>
      </c>
      <c r="G2272" t="s">
        <v>3688</v>
      </c>
      <c r="H2272" t="str">
        <f t="shared" si="70"/>
        <v>https://videplast.com.br/consulta-imobilizado?id=32000217&amp;nome=NOTEBOOK%20DELL%2014"%20LED%2013%204G%201TB%20W8</v>
      </c>
      <c r="I2272" t="e">
        <f t="shared" ca="1" si="71"/>
        <v>#NAME?</v>
      </c>
    </row>
    <row r="2273" spans="1:9" x14ac:dyDescent="0.25">
      <c r="A2273" s="2" t="s">
        <v>3825</v>
      </c>
      <c r="B2273" s="2" t="s">
        <v>10</v>
      </c>
      <c r="C2273" s="3">
        <v>43463</v>
      </c>
      <c r="D2273" t="s">
        <v>512</v>
      </c>
      <c r="E2273" s="2" t="s">
        <v>12</v>
      </c>
      <c r="F2273" s="2" t="s">
        <v>3826</v>
      </c>
      <c r="G2273" t="s">
        <v>3688</v>
      </c>
      <c r="H2273" s="5" t="str">
        <f t="shared" si="70"/>
        <v>https://videplast.com.br/consulta-imobilizado?id=32001209&amp;nome=COMPUTADOR%20DELL%20VOSTRO%20I3%208100%204C%203.6GHZ%204GB%20RAM</v>
      </c>
      <c r="I2273" t="e">
        <f t="shared" ca="1" si="71"/>
        <v>#NAME?</v>
      </c>
    </row>
    <row r="2274" spans="1:9" x14ac:dyDescent="0.25">
      <c r="A2274" s="2" t="s">
        <v>3827</v>
      </c>
      <c r="B2274" s="2" t="s">
        <v>10</v>
      </c>
      <c r="C2274" s="3">
        <v>43463</v>
      </c>
      <c r="D2274" t="s">
        <v>515</v>
      </c>
      <c r="E2274" s="2" t="s">
        <v>12</v>
      </c>
      <c r="F2274" s="2" t="s">
        <v>3828</v>
      </c>
      <c r="G2274" t="s">
        <v>3688</v>
      </c>
      <c r="H2274" t="str">
        <f t="shared" si="70"/>
        <v>https://videplast.com.br/consulta-imobilizado?id=32001213&amp;nome=MONITOR%20LED%2018,5"%20DELL%20E1916H</v>
      </c>
      <c r="I2274" t="e">
        <f t="shared" ca="1" si="71"/>
        <v>#NAME?</v>
      </c>
    </row>
    <row r="2275" spans="1:9" x14ac:dyDescent="0.25">
      <c r="A2275" s="2" t="s">
        <v>3829</v>
      </c>
      <c r="B2275" s="2" t="s">
        <v>10</v>
      </c>
      <c r="C2275" s="3">
        <v>43554</v>
      </c>
      <c r="D2275" t="s">
        <v>3830</v>
      </c>
      <c r="E2275" s="2" t="s">
        <v>12</v>
      </c>
      <c r="F2275" s="2" t="s">
        <v>12</v>
      </c>
      <c r="G2275" t="s">
        <v>3688</v>
      </c>
      <c r="H2275" t="str">
        <f t="shared" si="70"/>
        <v>https://videplast.com.br/consulta-imobilizado?id=32001339&amp;nome=APARELHO%20WIFI%20UBIQUITI%20AP%20UAP-AC-PRO</v>
      </c>
      <c r="I2275" t="e">
        <f t="shared" ca="1" si="71"/>
        <v>#NAME?</v>
      </c>
    </row>
    <row r="2276" spans="1:9" x14ac:dyDescent="0.25">
      <c r="A2276" s="2" t="s">
        <v>3831</v>
      </c>
      <c r="B2276" s="2" t="s">
        <v>10</v>
      </c>
      <c r="C2276" s="3">
        <v>43554</v>
      </c>
      <c r="D2276" t="s">
        <v>3830</v>
      </c>
      <c r="E2276" s="2" t="s">
        <v>12</v>
      </c>
      <c r="F2276" s="2" t="s">
        <v>12</v>
      </c>
      <c r="G2276" t="s">
        <v>3688</v>
      </c>
      <c r="H2276" t="str">
        <f t="shared" si="70"/>
        <v>https://videplast.com.br/consulta-imobilizado?id=32001340&amp;nome=APARELHO%20WIFI%20UBIQUITI%20AP%20UAP-AC-PRO</v>
      </c>
      <c r="I2276" t="e">
        <f t="shared" ca="1" si="71"/>
        <v>#NAME?</v>
      </c>
    </row>
    <row r="2277" spans="1:9" x14ac:dyDescent="0.25">
      <c r="A2277" s="2" t="s">
        <v>3832</v>
      </c>
      <c r="B2277" s="2" t="s">
        <v>10</v>
      </c>
      <c r="C2277" s="3">
        <v>43763</v>
      </c>
      <c r="D2277" t="s">
        <v>2294</v>
      </c>
      <c r="E2277" s="2" t="s">
        <v>12</v>
      </c>
      <c r="F2277" s="2" t="s">
        <v>3833</v>
      </c>
      <c r="G2277" t="s">
        <v>3688</v>
      </c>
      <c r="H2277" s="5" t="str">
        <f t="shared" si="70"/>
        <v>https://videplast.com.br/consulta-imobilizado?id=32001619&amp;nome=COMPUTADOR%20DELL%20VOSTRO%20I3%204GB%20HD%201TB%20W10P</v>
      </c>
      <c r="I2277" t="e">
        <f t="shared" ca="1" si="71"/>
        <v>#NAME?</v>
      </c>
    </row>
    <row r="2278" spans="1:9" x14ac:dyDescent="0.25">
      <c r="A2278" s="2" t="s">
        <v>3834</v>
      </c>
      <c r="B2278" s="2" t="s">
        <v>10</v>
      </c>
      <c r="C2278" s="3">
        <v>43763</v>
      </c>
      <c r="D2278" t="s">
        <v>2297</v>
      </c>
      <c r="E2278" s="2" t="s">
        <v>12</v>
      </c>
      <c r="F2278" s="2" t="s">
        <v>3835</v>
      </c>
      <c r="G2278" t="s">
        <v>3688</v>
      </c>
      <c r="H2278" t="str">
        <f t="shared" si="70"/>
        <v>https://videplast.com.br/consulta-imobilizado?id=32001622&amp;nome=MONITOR%20LED%2018,5"%20DELL</v>
      </c>
      <c r="I2278" t="e">
        <f t="shared" ca="1" si="71"/>
        <v>#NAME?</v>
      </c>
    </row>
    <row r="2279" spans="1:9" x14ac:dyDescent="0.25">
      <c r="A2279" s="2" t="s">
        <v>3836</v>
      </c>
      <c r="B2279" s="2" t="s">
        <v>10</v>
      </c>
      <c r="C2279" s="3">
        <v>44306</v>
      </c>
      <c r="D2279" t="s">
        <v>3837</v>
      </c>
      <c r="E2279" s="2" t="s">
        <v>12</v>
      </c>
      <c r="F2279" s="2" t="s">
        <v>3838</v>
      </c>
      <c r="G2279" t="s">
        <v>3688</v>
      </c>
      <c r="H2279" s="5" t="str">
        <f t="shared" si="70"/>
        <v>https://videplast.com.br/consulta-imobilizado?id=32002113&amp;nome=COMPUTADOR%20DELL%20OPTIPLEX%20I3%204GB%20SSD256GB%20W10P</v>
      </c>
      <c r="I2279" t="e">
        <f t="shared" ca="1" si="71"/>
        <v>#NAME?</v>
      </c>
    </row>
    <row r="2280" spans="1:9" x14ac:dyDescent="0.25">
      <c r="A2280" s="2" t="s">
        <v>3839</v>
      </c>
      <c r="B2280" s="2" t="s">
        <v>10</v>
      </c>
      <c r="C2280" s="3">
        <v>44306</v>
      </c>
      <c r="D2280" t="s">
        <v>3837</v>
      </c>
      <c r="E2280" s="2" t="s">
        <v>12</v>
      </c>
      <c r="F2280" s="2" t="s">
        <v>3840</v>
      </c>
      <c r="G2280" t="s">
        <v>3688</v>
      </c>
      <c r="H2280" s="5" t="str">
        <f t="shared" si="70"/>
        <v>https://videplast.com.br/consulta-imobilizado?id=32002114&amp;nome=COMPUTADOR%20DELL%20OPTIPLEX%20I3%204GB%20SSD256GB%20W10P</v>
      </c>
      <c r="I2280" t="e">
        <f t="shared" ca="1" si="71"/>
        <v>#NAME?</v>
      </c>
    </row>
    <row r="2281" spans="1:9" x14ac:dyDescent="0.25">
      <c r="A2281" s="2" t="s">
        <v>3841</v>
      </c>
      <c r="B2281" s="2" t="s">
        <v>10</v>
      </c>
      <c r="C2281" s="3">
        <v>44306</v>
      </c>
      <c r="D2281" t="s">
        <v>3456</v>
      </c>
      <c r="E2281" s="2" t="s">
        <v>12</v>
      </c>
      <c r="F2281" s="2" t="s">
        <v>3842</v>
      </c>
      <c r="G2281" t="s">
        <v>3688</v>
      </c>
      <c r="H2281" t="str">
        <f t="shared" si="70"/>
        <v>https://videplast.com.br/consulta-imobilizado?id=32002115&amp;nome=MONITOR%20LED%2018,5"%20DELL%20E1920H</v>
      </c>
      <c r="I2281" t="e">
        <f t="shared" ca="1" si="71"/>
        <v>#NAME?</v>
      </c>
    </row>
    <row r="2282" spans="1:9" x14ac:dyDescent="0.25">
      <c r="A2282" s="2" t="s">
        <v>3843</v>
      </c>
      <c r="B2282" s="2" t="s">
        <v>10</v>
      </c>
      <c r="C2282" s="3">
        <v>44306</v>
      </c>
      <c r="D2282" t="s">
        <v>3456</v>
      </c>
      <c r="E2282" s="2" t="s">
        <v>12</v>
      </c>
      <c r="F2282" s="2" t="s">
        <v>3844</v>
      </c>
      <c r="G2282" t="s">
        <v>3688</v>
      </c>
      <c r="H2282" t="str">
        <f t="shared" si="70"/>
        <v>https://videplast.com.br/consulta-imobilizado?id=32002116&amp;nome=MONITOR%20LED%2018,5"%20DELL%20E1920H</v>
      </c>
      <c r="I2282" t="e">
        <f t="shared" ca="1" si="71"/>
        <v>#NAME?</v>
      </c>
    </row>
    <row r="2283" spans="1:9" x14ac:dyDescent="0.25">
      <c r="A2283" s="2" t="s">
        <v>3845</v>
      </c>
      <c r="B2283" s="2" t="s">
        <v>10</v>
      </c>
      <c r="C2283" s="3">
        <v>45040</v>
      </c>
      <c r="D2283" t="s">
        <v>2348</v>
      </c>
      <c r="E2283" s="2" t="s">
        <v>12</v>
      </c>
      <c r="F2283" s="2" t="s">
        <v>3846</v>
      </c>
      <c r="G2283" t="s">
        <v>3688</v>
      </c>
      <c r="H2283" t="str">
        <f t="shared" si="70"/>
        <v>https://videplast.com.br/consulta-imobilizado?id=32002636&amp;nome=NOBREAK%20APC%20SRV%201KVA%20S/%20EXPANSAO%20SRV1KRI%20230V</v>
      </c>
      <c r="I2283" t="e">
        <f t="shared" ca="1" si="71"/>
        <v>#NAME?</v>
      </c>
    </row>
    <row r="2284" spans="1:9" x14ac:dyDescent="0.25">
      <c r="A2284" s="2" t="s">
        <v>3847</v>
      </c>
      <c r="B2284" s="2" t="s">
        <v>10</v>
      </c>
      <c r="C2284" s="3">
        <v>45274</v>
      </c>
      <c r="D2284" t="s">
        <v>3848</v>
      </c>
      <c r="E2284" s="2" t="s">
        <v>12</v>
      </c>
      <c r="F2284" s="2" t="s">
        <v>3849</v>
      </c>
      <c r="G2284" t="s">
        <v>3688</v>
      </c>
      <c r="H2284" t="str">
        <f t="shared" si="70"/>
        <v>https://videplast.com.br/consulta-imobilizado?id=32002858&amp;nome=NOTEBOOK%20DELL%20INSPIRION%2015%205000%20CORE%20I5%2016GB</v>
      </c>
      <c r="I2284" t="e">
        <f t="shared" ca="1" si="71"/>
        <v>#NAME?</v>
      </c>
    </row>
    <row r="2285" spans="1:9" x14ac:dyDescent="0.25">
      <c r="A2285" s="2" t="s">
        <v>3850</v>
      </c>
      <c r="B2285" s="2" t="s">
        <v>10</v>
      </c>
      <c r="C2285" s="3">
        <v>45463</v>
      </c>
      <c r="D2285" t="s">
        <v>2368</v>
      </c>
      <c r="E2285" s="2" t="s">
        <v>12</v>
      </c>
      <c r="F2285" s="2" t="s">
        <v>3851</v>
      </c>
      <c r="G2285" t="s">
        <v>3688</v>
      </c>
      <c r="H2285" s="5" t="str">
        <f t="shared" si="70"/>
        <v>https://videplast.com.br/consulta-imobilizado?id=32002995&amp;nome=COMPUTADOR%20DELL%20OPTIPLEX/VOSTRO%20I3%204GB%20HD%20SSD</v>
      </c>
      <c r="I2285" t="e">
        <f t="shared" ca="1" si="71"/>
        <v>#NAME?</v>
      </c>
    </row>
    <row r="2286" spans="1:9" x14ac:dyDescent="0.25">
      <c r="A2286" s="2" t="s">
        <v>3852</v>
      </c>
      <c r="B2286" s="2" t="s">
        <v>10</v>
      </c>
      <c r="C2286" s="3">
        <v>40002</v>
      </c>
      <c r="D2286" t="s">
        <v>3853</v>
      </c>
      <c r="E2286" s="2" t="s">
        <v>12</v>
      </c>
      <c r="F2286" s="2" t="s">
        <v>12</v>
      </c>
      <c r="G2286" t="s">
        <v>3854</v>
      </c>
      <c r="H2286" t="str">
        <f t="shared" si="70"/>
        <v>https://videplast.com.br/consulta-imobilizado?id=21000601&amp;nome=4%20GRUPO%20GERADOR%20GERASOL%20GMG%20500KVA%20MOTOR%20SCANIA</v>
      </c>
      <c r="I2286" t="e">
        <f t="shared" ca="1" si="71"/>
        <v>#NAME?</v>
      </c>
    </row>
    <row r="2287" spans="1:9" x14ac:dyDescent="0.25">
      <c r="A2287" s="2" t="s">
        <v>3852</v>
      </c>
      <c r="B2287" s="2" t="s">
        <v>26</v>
      </c>
      <c r="C2287" s="3">
        <v>40003</v>
      </c>
      <c r="D2287" t="s">
        <v>3855</v>
      </c>
      <c r="E2287" s="2" t="s">
        <v>12</v>
      </c>
      <c r="F2287" s="2" t="s">
        <v>12</v>
      </c>
      <c r="G2287" t="s">
        <v>3854</v>
      </c>
      <c r="H2287" t="str">
        <f t="shared" si="70"/>
        <v>https://videplast.com.br/consulta-imobilizado?id=21000601&amp;nome=ATENUADOR%20DE%20RUIDO%20ENTRADA%20DE%20AR%20FRIO%20E%20QUENTE</v>
      </c>
      <c r="I2287" t="e">
        <f t="shared" ca="1" si="71"/>
        <v>#NAME?</v>
      </c>
    </row>
    <row r="2288" spans="1:9" x14ac:dyDescent="0.25">
      <c r="A2288" s="2" t="s">
        <v>3852</v>
      </c>
      <c r="B2288" s="2" t="s">
        <v>21</v>
      </c>
      <c r="C2288" s="3">
        <v>40016</v>
      </c>
      <c r="D2288" t="s">
        <v>3856</v>
      </c>
      <c r="E2288" s="2" t="s">
        <v>12</v>
      </c>
      <c r="F2288" s="2" t="s">
        <v>12</v>
      </c>
      <c r="G2288" t="s">
        <v>3854</v>
      </c>
      <c r="H2288" t="str">
        <f t="shared" si="70"/>
        <v>https://videplast.com.br/consulta-imobilizado?id=21000601&amp;nome=VALVULA%20DE%20BOIA%20FV34-150%20PP%20180%20STM</v>
      </c>
      <c r="I2288" t="e">
        <f t="shared" ca="1" si="71"/>
        <v>#NAME?</v>
      </c>
    </row>
    <row r="2289" spans="1:9" x14ac:dyDescent="0.25">
      <c r="A2289" s="2" t="s">
        <v>3852</v>
      </c>
      <c r="B2289" s="2" t="s">
        <v>29</v>
      </c>
      <c r="C2289" s="3">
        <v>40019</v>
      </c>
      <c r="D2289" t="s">
        <v>3857</v>
      </c>
      <c r="E2289" s="2" t="s">
        <v>12</v>
      </c>
      <c r="F2289" s="2" t="s">
        <v>12</v>
      </c>
      <c r="G2289" t="s">
        <v>3854</v>
      </c>
      <c r="H2289" t="str">
        <f t="shared" si="70"/>
        <v>https://videplast.com.br/consulta-imobilizado?id=21000601&amp;nome=MANGUEIRA%20DE%20AR%20300%20PSI%20PRETA</v>
      </c>
      <c r="I2289" t="e">
        <f t="shared" ca="1" si="71"/>
        <v>#NAME?</v>
      </c>
    </row>
    <row r="2290" spans="1:9" x14ac:dyDescent="0.25">
      <c r="A2290" s="2" t="s">
        <v>3852</v>
      </c>
      <c r="B2290" s="2" t="s">
        <v>31</v>
      </c>
      <c r="C2290" s="3">
        <v>40009</v>
      </c>
      <c r="D2290" t="s">
        <v>3858</v>
      </c>
      <c r="E2290" s="2" t="s">
        <v>12</v>
      </c>
      <c r="F2290" s="2" t="s">
        <v>12</v>
      </c>
      <c r="G2290" t="s">
        <v>3854</v>
      </c>
      <c r="H2290" t="str">
        <f t="shared" si="70"/>
        <v>https://videplast.com.br/consulta-imobilizado?id=21000601&amp;nome=CABO%20MULTIF%200,6%201KV%204X16%20MM2</v>
      </c>
      <c r="I2290" t="e">
        <f t="shared" ca="1" si="71"/>
        <v>#NAME?</v>
      </c>
    </row>
    <row r="2291" spans="1:9" x14ac:dyDescent="0.25">
      <c r="A2291" s="2" t="s">
        <v>3852</v>
      </c>
      <c r="B2291" s="2" t="s">
        <v>33</v>
      </c>
      <c r="C2291" s="3">
        <v>40025</v>
      </c>
      <c r="D2291" t="s">
        <v>3859</v>
      </c>
      <c r="E2291" s="2" t="s">
        <v>12</v>
      </c>
      <c r="F2291" s="2" t="s">
        <v>12</v>
      </c>
      <c r="G2291" t="s">
        <v>3854</v>
      </c>
      <c r="H2291" t="str">
        <f t="shared" si="70"/>
        <v>https://videplast.com.br/consulta-imobilizado?id=21000601&amp;nome=TERMINAL%20TUBULAR%20300M%20E%2045M%20SINTEMAX</v>
      </c>
      <c r="I2291" t="e">
        <f t="shared" ca="1" si="71"/>
        <v>#NAME?</v>
      </c>
    </row>
    <row r="2292" spans="1:9" x14ac:dyDescent="0.25">
      <c r="A2292" s="2" t="s">
        <v>3852</v>
      </c>
      <c r="B2292" s="2" t="s">
        <v>35</v>
      </c>
      <c r="C2292" s="3">
        <v>40009</v>
      </c>
      <c r="D2292" t="s">
        <v>3860</v>
      </c>
      <c r="E2292" s="2" t="s">
        <v>12</v>
      </c>
      <c r="F2292" s="2" t="s">
        <v>12</v>
      </c>
      <c r="G2292" t="s">
        <v>3854</v>
      </c>
      <c r="H2292" t="str">
        <f t="shared" si="70"/>
        <v>https://videplast.com.br/consulta-imobilizado?id=21000601&amp;nome=FECHADURA%20DE%20SOBREPOR%20COM%20CHAVE</v>
      </c>
      <c r="I2292" t="e">
        <f t="shared" ca="1" si="71"/>
        <v>#NAME?</v>
      </c>
    </row>
    <row r="2293" spans="1:9" x14ac:dyDescent="0.25">
      <c r="A2293" s="2" t="s">
        <v>3852</v>
      </c>
      <c r="B2293" s="2" t="s">
        <v>37</v>
      </c>
      <c r="C2293" s="3">
        <v>40009</v>
      </c>
      <c r="D2293" t="s">
        <v>3861</v>
      </c>
      <c r="E2293" s="2" t="s">
        <v>12</v>
      </c>
      <c r="F2293" s="2" t="s">
        <v>12</v>
      </c>
      <c r="G2293" t="s">
        <v>3854</v>
      </c>
      <c r="H2293" t="str">
        <f t="shared" si="70"/>
        <v>https://videplast.com.br/consulta-imobilizado?id=21000601&amp;nome=VISOR%20ACUSTICO%20COMPOSTO%20DE%20VIDROS%20DUPLOS</v>
      </c>
      <c r="I2293" t="e">
        <f t="shared" ca="1" si="71"/>
        <v>#NAME?</v>
      </c>
    </row>
    <row r="2294" spans="1:9" x14ac:dyDescent="0.25">
      <c r="A2294" s="2" t="s">
        <v>3852</v>
      </c>
      <c r="B2294" s="2" t="s">
        <v>39</v>
      </c>
      <c r="C2294" s="3">
        <v>40050</v>
      </c>
      <c r="D2294" t="s">
        <v>3862</v>
      </c>
      <c r="E2294" s="2" t="s">
        <v>12</v>
      </c>
      <c r="F2294" s="2" t="s">
        <v>12</v>
      </c>
      <c r="G2294" t="s">
        <v>3854</v>
      </c>
      <c r="H2294" t="str">
        <f t="shared" si="70"/>
        <v>https://videplast.com.br/consulta-imobilizado?id=21000601&amp;nome=APARELHO%20TRANSFORMADOR%20TRIFASICO%201000%20KVA%20CLASSE</v>
      </c>
      <c r="I2294" t="e">
        <f t="shared" ca="1" si="71"/>
        <v>#NAME?</v>
      </c>
    </row>
    <row r="2295" spans="1:9" x14ac:dyDescent="0.25">
      <c r="A2295" s="2" t="s">
        <v>3852</v>
      </c>
      <c r="B2295" s="2" t="s">
        <v>126</v>
      </c>
      <c r="C2295" s="3">
        <v>40049</v>
      </c>
      <c r="D2295" t="s">
        <v>3863</v>
      </c>
      <c r="E2295" s="2" t="s">
        <v>12</v>
      </c>
      <c r="F2295" s="2" t="s">
        <v>12</v>
      </c>
      <c r="G2295" t="s">
        <v>3854</v>
      </c>
      <c r="H2295" t="str">
        <f t="shared" si="70"/>
        <v>https://videplast.com.br/consulta-imobilizado?id=21000601&amp;nome=CABO%20REI,%20PARAFUSO,%20PORCA,%20ARRUELA,%20FUSIVEL...</v>
      </c>
      <c r="I2295" t="e">
        <f t="shared" ca="1" si="71"/>
        <v>#NAME?</v>
      </c>
    </row>
    <row r="2296" spans="1:9" x14ac:dyDescent="0.25">
      <c r="A2296" s="2" t="s">
        <v>3864</v>
      </c>
      <c r="B2296" s="2" t="s">
        <v>10</v>
      </c>
      <c r="C2296" s="3">
        <v>40227</v>
      </c>
      <c r="D2296" t="s">
        <v>3865</v>
      </c>
      <c r="E2296" s="2" t="s">
        <v>12</v>
      </c>
      <c r="F2296" s="2" t="s">
        <v>12</v>
      </c>
      <c r="G2296" t="s">
        <v>3854</v>
      </c>
      <c r="H2296" t="str">
        <f t="shared" si="70"/>
        <v>https://videplast.com.br/consulta-imobilizado?id=21000612&amp;nome=DISJUNTOR%20INDUSTRIAL%20TRIF%201600A%203WL1116%202CB32%201GN4</v>
      </c>
      <c r="I2296" t="e">
        <f t="shared" ca="1" si="71"/>
        <v>#NAME?</v>
      </c>
    </row>
    <row r="2297" spans="1:9" x14ac:dyDescent="0.25">
      <c r="A2297" s="2" t="s">
        <v>3866</v>
      </c>
      <c r="B2297" s="2" t="s">
        <v>10</v>
      </c>
      <c r="C2297" s="3">
        <v>40226</v>
      </c>
      <c r="D2297" t="s">
        <v>3867</v>
      </c>
      <c r="E2297" s="2" t="s">
        <v>12</v>
      </c>
      <c r="F2297" s="2" t="s">
        <v>12</v>
      </c>
      <c r="G2297" t="s">
        <v>3854</v>
      </c>
      <c r="H2297" t="str">
        <f t="shared" si="70"/>
        <v>https://videplast.com.br/consulta-imobilizado?id=21000613&amp;nome=SERVICO%20MONTAGEM%20E%20INSTALACAO%20DE%20CONJUNTO%20ELETRICO</v>
      </c>
      <c r="I2297" t="e">
        <f t="shared" ca="1" si="71"/>
        <v>#NAME?</v>
      </c>
    </row>
    <row r="2298" spans="1:9" x14ac:dyDescent="0.25">
      <c r="A2298" s="2" t="s">
        <v>3868</v>
      </c>
      <c r="B2298" s="2" t="s">
        <v>10</v>
      </c>
      <c r="C2298" s="3">
        <v>40264</v>
      </c>
      <c r="D2298" t="s">
        <v>3869</v>
      </c>
      <c r="E2298" s="2" t="s">
        <v>12</v>
      </c>
      <c r="F2298" s="2" t="s">
        <v>12</v>
      </c>
      <c r="G2298" t="s">
        <v>3854</v>
      </c>
      <c r="H2298" t="str">
        <f t="shared" si="70"/>
        <v>https://videplast.com.br/consulta-imobilizado?id=21000615&amp;nome=QUADRO%20DE%20FORCA</v>
      </c>
      <c r="I2298" t="e">
        <f t="shared" ca="1" si="71"/>
        <v>#NAME?</v>
      </c>
    </row>
    <row r="2299" spans="1:9" x14ac:dyDescent="0.25">
      <c r="A2299" s="2" t="s">
        <v>3870</v>
      </c>
      <c r="B2299" s="2" t="s">
        <v>10</v>
      </c>
      <c r="C2299" s="3">
        <v>40329</v>
      </c>
      <c r="D2299" t="s">
        <v>3871</v>
      </c>
      <c r="E2299" s="2" t="s">
        <v>12</v>
      </c>
      <c r="F2299" s="2" t="s">
        <v>12</v>
      </c>
      <c r="G2299" t="s">
        <v>3854</v>
      </c>
      <c r="H2299" t="str">
        <f t="shared" si="70"/>
        <v>https://videplast.com.br/consulta-imobilizado?id=21000624&amp;nome=PAINEL%20DE%20ENERGIA%20-%20FABRICACAO%20INTERNA</v>
      </c>
      <c r="I2299" t="e">
        <f t="shared" ca="1" si="71"/>
        <v>#NAME?</v>
      </c>
    </row>
    <row r="2300" spans="1:9" x14ac:dyDescent="0.25">
      <c r="A2300" s="2" t="s">
        <v>3870</v>
      </c>
      <c r="B2300" s="2" t="s">
        <v>26</v>
      </c>
      <c r="C2300" s="3">
        <v>40329</v>
      </c>
      <c r="D2300" t="s">
        <v>3872</v>
      </c>
      <c r="E2300" s="2" t="s">
        <v>12</v>
      </c>
      <c r="F2300" s="2" t="s">
        <v>12</v>
      </c>
      <c r="G2300" t="s">
        <v>3854</v>
      </c>
      <c r="H2300" t="str">
        <f t="shared" si="70"/>
        <v>https://videplast.com.br/consulta-imobilizado?id=21000624&amp;nome=MATERIAIS%20DIVERSOS%20P/ELABORACAO%20DE%20UM%20PAINEL%20DE</v>
      </c>
      <c r="I2300" t="e">
        <f t="shared" ca="1" si="71"/>
        <v>#NAME?</v>
      </c>
    </row>
    <row r="2301" spans="1:9" x14ac:dyDescent="0.25">
      <c r="A2301" s="2" t="s">
        <v>3870</v>
      </c>
      <c r="B2301" s="2" t="s">
        <v>21</v>
      </c>
      <c r="C2301" s="3">
        <v>40329</v>
      </c>
      <c r="D2301" t="s">
        <v>3872</v>
      </c>
      <c r="E2301" s="2" t="s">
        <v>12</v>
      </c>
      <c r="F2301" s="2" t="s">
        <v>12</v>
      </c>
      <c r="G2301" t="s">
        <v>3854</v>
      </c>
      <c r="H2301" t="str">
        <f t="shared" si="70"/>
        <v>https://videplast.com.br/consulta-imobilizado?id=21000624&amp;nome=MATERIAIS%20DIVERSOS%20P/ELABORACAO%20DE%20UM%20PAINEL%20DE</v>
      </c>
      <c r="I2301" t="e">
        <f t="shared" ca="1" si="71"/>
        <v>#NAME?</v>
      </c>
    </row>
    <row r="2302" spans="1:9" x14ac:dyDescent="0.25">
      <c r="A2302" s="2" t="s">
        <v>3870</v>
      </c>
      <c r="B2302" s="2" t="s">
        <v>29</v>
      </c>
      <c r="C2302" s="3">
        <v>40329</v>
      </c>
      <c r="D2302" t="s">
        <v>3873</v>
      </c>
      <c r="E2302" s="2" t="s">
        <v>12</v>
      </c>
      <c r="F2302" s="2" t="s">
        <v>12</v>
      </c>
      <c r="G2302" t="s">
        <v>3854</v>
      </c>
      <c r="H2302" t="str">
        <f t="shared" si="70"/>
        <v>https://videplast.com.br/consulta-imobilizado?id=21000624&amp;nome=AQUISICAO%20DE%20MATERIAIS%20DIVERSOS%20P/ELABORACAO%20DE</v>
      </c>
      <c r="I2302" t="e">
        <f t="shared" ca="1" si="71"/>
        <v>#NAME?</v>
      </c>
    </row>
    <row r="2303" spans="1:9" x14ac:dyDescent="0.25">
      <c r="A2303" s="2" t="s">
        <v>3870</v>
      </c>
      <c r="B2303" s="2" t="s">
        <v>31</v>
      </c>
      <c r="C2303" s="3">
        <v>40329</v>
      </c>
      <c r="D2303" t="s">
        <v>3872</v>
      </c>
      <c r="E2303" s="2" t="s">
        <v>12</v>
      </c>
      <c r="F2303" s="2" t="s">
        <v>12</v>
      </c>
      <c r="G2303" t="s">
        <v>3854</v>
      </c>
      <c r="H2303" t="str">
        <f t="shared" si="70"/>
        <v>https://videplast.com.br/consulta-imobilizado?id=21000624&amp;nome=MATERIAIS%20DIVERSOS%20P/ELABORACAO%20DE%20UM%20PAINEL%20DE</v>
      </c>
      <c r="I2303" t="e">
        <f t="shared" ca="1" si="71"/>
        <v>#NAME?</v>
      </c>
    </row>
    <row r="2304" spans="1:9" x14ac:dyDescent="0.25">
      <c r="A2304" s="2" t="s">
        <v>3870</v>
      </c>
      <c r="B2304" s="2" t="s">
        <v>33</v>
      </c>
      <c r="C2304" s="3">
        <v>40329</v>
      </c>
      <c r="D2304" t="s">
        <v>3872</v>
      </c>
      <c r="E2304" s="2" t="s">
        <v>12</v>
      </c>
      <c r="F2304" s="2" t="s">
        <v>12</v>
      </c>
      <c r="G2304" t="s">
        <v>3854</v>
      </c>
      <c r="H2304" t="str">
        <f t="shared" si="70"/>
        <v>https://videplast.com.br/consulta-imobilizado?id=21000624&amp;nome=MATERIAIS%20DIVERSOS%20P/ELABORACAO%20DE%20UM%20PAINEL%20DE</v>
      </c>
      <c r="I2304" t="e">
        <f t="shared" ca="1" si="71"/>
        <v>#NAME?</v>
      </c>
    </row>
    <row r="2305" spans="1:9" x14ac:dyDescent="0.25">
      <c r="A2305" s="2" t="s">
        <v>3870</v>
      </c>
      <c r="B2305" s="2" t="s">
        <v>35</v>
      </c>
      <c r="C2305" s="3">
        <v>45509</v>
      </c>
      <c r="D2305" t="s">
        <v>3874</v>
      </c>
      <c r="E2305" s="2" t="s">
        <v>12</v>
      </c>
      <c r="F2305" s="2" t="s">
        <v>12</v>
      </c>
      <c r="G2305" t="s">
        <v>3854</v>
      </c>
      <c r="H2305" t="str">
        <f t="shared" si="70"/>
        <v>https://videplast.com.br/consulta-imobilizado?id=21000624&amp;nome=PAINEL%20MOD%201900X800X600%20COM%20TAMPA%20LATERAL</v>
      </c>
      <c r="I2305" t="e">
        <f t="shared" ca="1" si="71"/>
        <v>#NAME?</v>
      </c>
    </row>
    <row r="2306" spans="1:9" x14ac:dyDescent="0.25">
      <c r="A2306" s="2" t="s">
        <v>3875</v>
      </c>
      <c r="B2306" s="2" t="s">
        <v>10</v>
      </c>
      <c r="C2306" s="3">
        <v>42035</v>
      </c>
      <c r="D2306" t="s">
        <v>3876</v>
      </c>
      <c r="E2306" s="2" t="s">
        <v>12</v>
      </c>
      <c r="F2306" s="2" t="s">
        <v>3877</v>
      </c>
      <c r="G2306" t="s">
        <v>3854</v>
      </c>
      <c r="H2306" t="str">
        <f t="shared" ref="H2306:H2369" si="72" xml:space="preserve"> "https://videplast.com.br/consulta-imobilizado?id=" &amp; A2306 &amp; "&amp;nome=" &amp; SUBSTITUTE(D2306, " ", "%20")</f>
        <v>https://videplast.com.br/consulta-imobilizado?id=21000697&amp;nome=MOTOR%20SCANIA%20MODELO%20DC13072A</v>
      </c>
      <c r="I2306" t="e">
        <f t="shared" ref="I2306:I2369" ca="1" si="73">_xlfn.IMAGE("https://chart.googleapis.com/chart?chs=150x150&amp;cht=qr&amp;chl=" &amp; H2306)</f>
        <v>#NAME?</v>
      </c>
    </row>
    <row r="2307" spans="1:9" x14ac:dyDescent="0.25">
      <c r="A2307" s="2" t="s">
        <v>3875</v>
      </c>
      <c r="B2307" s="2" t="s">
        <v>26</v>
      </c>
      <c r="C2307" s="3">
        <v>45594</v>
      </c>
      <c r="D2307" t="s">
        <v>3878</v>
      </c>
      <c r="E2307" s="2" t="s">
        <v>12</v>
      </c>
      <c r="F2307" s="2" t="s">
        <v>12</v>
      </c>
      <c r="G2307" t="s">
        <v>3854</v>
      </c>
      <c r="H2307" t="str">
        <f t="shared" si="72"/>
        <v>https://videplast.com.br/consulta-imobilizado?id=21000697&amp;nome=REPARO%20E%20CONSERTO%20MOTOR%20SCANIA%20MODELO%20DC13072A</v>
      </c>
      <c r="I2307" t="e">
        <f t="shared" ca="1" si="73"/>
        <v>#NAME?</v>
      </c>
    </row>
    <row r="2308" spans="1:9" x14ac:dyDescent="0.25">
      <c r="A2308" s="2" t="s">
        <v>3879</v>
      </c>
      <c r="B2308" s="2" t="s">
        <v>10</v>
      </c>
      <c r="C2308" s="3">
        <v>42063</v>
      </c>
      <c r="D2308" t="s">
        <v>3880</v>
      </c>
      <c r="E2308" s="2" t="s">
        <v>3881</v>
      </c>
      <c r="F2308" s="2" t="s">
        <v>12</v>
      </c>
      <c r="G2308" t="s">
        <v>3854</v>
      </c>
      <c r="H2308" t="str">
        <f t="shared" si="72"/>
        <v>https://videplast.com.br/consulta-imobilizado?id=21000699&amp;nome=MOTOR%20SCANIA%20DC%2013072A</v>
      </c>
      <c r="I2308" t="e">
        <f t="shared" ca="1" si="73"/>
        <v>#NAME?</v>
      </c>
    </row>
    <row r="2309" spans="1:9" x14ac:dyDescent="0.25">
      <c r="A2309" s="2" t="s">
        <v>3882</v>
      </c>
      <c r="B2309" s="2" t="s">
        <v>10</v>
      </c>
      <c r="C2309" s="3">
        <v>42542</v>
      </c>
      <c r="D2309" t="s">
        <v>3883</v>
      </c>
      <c r="E2309" s="2" t="s">
        <v>3884</v>
      </c>
      <c r="F2309" s="2" t="s">
        <v>12</v>
      </c>
      <c r="G2309" t="s">
        <v>3854</v>
      </c>
      <c r="H2309" t="str">
        <f t="shared" si="72"/>
        <v>https://videplast.com.br/consulta-imobilizado?id=21002685&amp;nome=PAINEL%20DE%20MEDIÇÃO%20DE%20FATURAMENTO</v>
      </c>
      <c r="I2309" t="e">
        <f t="shared" ca="1" si="73"/>
        <v>#NAME?</v>
      </c>
    </row>
    <row r="2310" spans="1:9" x14ac:dyDescent="0.25">
      <c r="A2310" s="2" t="s">
        <v>3882</v>
      </c>
      <c r="B2310" s="2" t="s">
        <v>26</v>
      </c>
      <c r="C2310" s="3">
        <v>42482</v>
      </c>
      <c r="D2310" t="s">
        <v>3885</v>
      </c>
      <c r="E2310" s="2" t="s">
        <v>12</v>
      </c>
      <c r="F2310" s="2" t="s">
        <v>12</v>
      </c>
      <c r="G2310" t="s">
        <v>3854</v>
      </c>
      <c r="H2310" t="str">
        <f t="shared" si="72"/>
        <v>https://videplast.com.br/consulta-imobilizado?id=21002685&amp;nome=MEDIDORES%20ION8650C</v>
      </c>
      <c r="I2310" t="e">
        <f t="shared" ca="1" si="73"/>
        <v>#NAME?</v>
      </c>
    </row>
    <row r="2311" spans="1:9" x14ac:dyDescent="0.25">
      <c r="A2311" s="2" t="s">
        <v>3882</v>
      </c>
      <c r="B2311" s="2" t="s">
        <v>21</v>
      </c>
      <c r="C2311" s="3">
        <v>42604</v>
      </c>
      <c r="D2311" t="s">
        <v>3886</v>
      </c>
      <c r="E2311" s="2" t="s">
        <v>12</v>
      </c>
      <c r="F2311" s="2" t="s">
        <v>12</v>
      </c>
      <c r="G2311" t="s">
        <v>3854</v>
      </c>
      <c r="H2311" t="str">
        <f t="shared" si="72"/>
        <v>https://videplast.com.br/consulta-imobilizado?id=21002685&amp;nome=ADEQUAÇÃO%20CAVALETE%20DE%20MEDIÇÃO</v>
      </c>
      <c r="I2311" t="e">
        <f t="shared" ca="1" si="73"/>
        <v>#NAME?</v>
      </c>
    </row>
    <row r="2312" spans="1:9" x14ac:dyDescent="0.25">
      <c r="A2312" s="2" t="s">
        <v>3887</v>
      </c>
      <c r="B2312" s="2" t="s">
        <v>10</v>
      </c>
      <c r="C2312" s="3">
        <v>41759</v>
      </c>
      <c r="D2312" t="s">
        <v>3888</v>
      </c>
      <c r="E2312" s="2" t="s">
        <v>3889</v>
      </c>
      <c r="F2312" s="2" t="s">
        <v>12</v>
      </c>
      <c r="G2312" t="s">
        <v>3854</v>
      </c>
      <c r="H2312" t="str">
        <f t="shared" si="72"/>
        <v>https://videplast.com.br/consulta-imobilizado?id=30000139&amp;nome=ARMARIO%20DE%20ACO%201,98X0,90X0,40%20CINZA</v>
      </c>
      <c r="I2312" t="e">
        <f t="shared" ca="1" si="73"/>
        <v>#NAME?</v>
      </c>
    </row>
    <row r="2313" spans="1:9" x14ac:dyDescent="0.25">
      <c r="A2313" s="2" t="s">
        <v>3887</v>
      </c>
      <c r="B2313" s="2" t="s">
        <v>26</v>
      </c>
      <c r="C2313" s="3">
        <v>41759</v>
      </c>
      <c r="D2313" t="s">
        <v>3888</v>
      </c>
      <c r="E2313" s="2" t="s">
        <v>3890</v>
      </c>
      <c r="F2313" s="2" t="s">
        <v>12</v>
      </c>
      <c r="G2313" t="s">
        <v>3854</v>
      </c>
      <c r="H2313" t="str">
        <f t="shared" si="72"/>
        <v>https://videplast.com.br/consulta-imobilizado?id=30000139&amp;nome=ARMARIO%20DE%20ACO%201,98X0,90X0,40%20CINZA</v>
      </c>
      <c r="I2313" t="e">
        <f t="shared" ca="1" si="73"/>
        <v>#NAME?</v>
      </c>
    </row>
    <row r="2314" spans="1:9" x14ac:dyDescent="0.25">
      <c r="A2314" s="2" t="s">
        <v>3891</v>
      </c>
      <c r="B2314" s="2" t="s">
        <v>10</v>
      </c>
      <c r="C2314" s="3">
        <v>42815</v>
      </c>
      <c r="D2314" t="s">
        <v>3892</v>
      </c>
      <c r="E2314" s="2" t="s">
        <v>12</v>
      </c>
      <c r="F2314" s="2" t="s">
        <v>12</v>
      </c>
      <c r="G2314" t="s">
        <v>3854</v>
      </c>
      <c r="H2314" t="str">
        <f t="shared" si="72"/>
        <v>https://videplast.com.br/consulta-imobilizado?id=30001544&amp;nome=MONITOR%20DE%20TENSÃO%20CCK%204100S</v>
      </c>
      <c r="I2314" t="e">
        <f t="shared" ca="1" si="73"/>
        <v>#NAME?</v>
      </c>
    </row>
    <row r="2315" spans="1:9" x14ac:dyDescent="0.25">
      <c r="A2315" s="2" t="s">
        <v>3893</v>
      </c>
      <c r="B2315" s="2" t="s">
        <v>10</v>
      </c>
      <c r="C2315" s="3">
        <v>42886</v>
      </c>
      <c r="D2315" t="s">
        <v>3894</v>
      </c>
      <c r="E2315" s="2" t="s">
        <v>3895</v>
      </c>
      <c r="F2315" s="2" t="s">
        <v>12</v>
      </c>
      <c r="G2315" t="s">
        <v>3854</v>
      </c>
      <c r="H2315" t="str">
        <f t="shared" si="72"/>
        <v>https://videplast.com.br/consulta-imobilizado?id=30001613&amp;nome=AR%20CONDICIONADO%20SPLIT%20FUJITSU%20FRIO%20HW%2012000%20BTU</v>
      </c>
      <c r="I2315" t="e">
        <f t="shared" ca="1" si="73"/>
        <v>#NAME?</v>
      </c>
    </row>
    <row r="2316" spans="1:9" x14ac:dyDescent="0.25">
      <c r="A2316" s="2" t="s">
        <v>3896</v>
      </c>
      <c r="B2316" s="2" t="s">
        <v>10</v>
      </c>
      <c r="C2316" s="3">
        <v>43830</v>
      </c>
      <c r="D2316" t="s">
        <v>3897</v>
      </c>
      <c r="E2316" s="2" t="s">
        <v>12</v>
      </c>
      <c r="F2316" s="2" t="s">
        <v>12</v>
      </c>
      <c r="G2316" t="s">
        <v>3898</v>
      </c>
      <c r="H2316" t="str">
        <f t="shared" si="72"/>
        <v>https://videplast.com.br/consulta-imobilizado?id=12000063&amp;nome=SALA%20DE%20RESIDUOS%20P/%20PATEO</v>
      </c>
      <c r="I2316" t="e">
        <f t="shared" ca="1" si="73"/>
        <v>#NAME?</v>
      </c>
    </row>
    <row r="2317" spans="1:9" x14ac:dyDescent="0.25">
      <c r="A2317" s="2" t="s">
        <v>3899</v>
      </c>
      <c r="B2317" s="2" t="s">
        <v>10</v>
      </c>
      <c r="C2317" s="3">
        <v>41912</v>
      </c>
      <c r="D2317" t="s">
        <v>3900</v>
      </c>
      <c r="E2317" s="2" t="s">
        <v>3901</v>
      </c>
      <c r="F2317" s="2" t="s">
        <v>12</v>
      </c>
      <c r="G2317" t="s">
        <v>3898</v>
      </c>
      <c r="H2317" t="str">
        <f t="shared" si="72"/>
        <v>https://videplast.com.br/consulta-imobilizado?id=21000392&amp;nome=SOPRADOR%20STIHL%20BR420%20COSTAL%2042030111633</v>
      </c>
      <c r="I2317" t="e">
        <f t="shared" ca="1" si="73"/>
        <v>#NAME?</v>
      </c>
    </row>
    <row r="2318" spans="1:9" x14ac:dyDescent="0.25">
      <c r="A2318" s="2" t="s">
        <v>3902</v>
      </c>
      <c r="B2318" s="2" t="s">
        <v>10</v>
      </c>
      <c r="C2318" s="3">
        <v>41943</v>
      </c>
      <c r="D2318" t="s">
        <v>3903</v>
      </c>
      <c r="E2318" s="2" t="s">
        <v>3904</v>
      </c>
      <c r="F2318" s="2" t="s">
        <v>12</v>
      </c>
      <c r="G2318" t="s">
        <v>3898</v>
      </c>
      <c r="H2318" t="str">
        <f t="shared" si="72"/>
        <v>https://videplast.com.br/consulta-imobilizado?id=21000399&amp;nome=ROCADEIRA%20STHIL%20FS%20290DM300</v>
      </c>
      <c r="I2318" t="e">
        <f t="shared" ca="1" si="73"/>
        <v>#NAME?</v>
      </c>
    </row>
    <row r="2319" spans="1:9" x14ac:dyDescent="0.25">
      <c r="A2319" s="2" t="s">
        <v>3905</v>
      </c>
      <c r="B2319" s="2" t="s">
        <v>10</v>
      </c>
      <c r="C2319" s="3">
        <v>45230</v>
      </c>
      <c r="D2319" t="s">
        <v>3906</v>
      </c>
      <c r="E2319" s="2" t="s">
        <v>12</v>
      </c>
      <c r="F2319" s="2" t="s">
        <v>12</v>
      </c>
      <c r="G2319" t="s">
        <v>3898</v>
      </c>
      <c r="H2319" t="str">
        <f t="shared" si="72"/>
        <v>https://videplast.com.br/consulta-imobilizado?id=21006374&amp;nome=LIMPADORA%20DE%20PISO%20BD%20FLEX%20KARCHER%20FAIXA%20710MM</v>
      </c>
      <c r="I2319" t="e">
        <f t="shared" ca="1" si="73"/>
        <v>#NAME?</v>
      </c>
    </row>
    <row r="2320" spans="1:9" x14ac:dyDescent="0.25">
      <c r="A2320" s="2" t="s">
        <v>3907</v>
      </c>
      <c r="B2320" s="2" t="s">
        <v>10</v>
      </c>
      <c r="C2320" s="3">
        <v>42790</v>
      </c>
      <c r="D2320" t="s">
        <v>3908</v>
      </c>
      <c r="E2320" s="2" t="s">
        <v>12</v>
      </c>
      <c r="F2320" s="2" t="s">
        <v>12</v>
      </c>
      <c r="G2320" t="s">
        <v>3898</v>
      </c>
      <c r="H2320" t="str">
        <f t="shared" si="72"/>
        <v>https://videplast.com.br/consulta-imobilizado?id=30001549&amp;nome=LIXADEIRA%20EM%20CHAPAS%201000X1000X4000%20C/%20TAMPAS</v>
      </c>
      <c r="I2320" t="e">
        <f t="shared" ca="1" si="73"/>
        <v>#NAME?</v>
      </c>
    </row>
    <row r="2321" spans="1:9" x14ac:dyDescent="0.25">
      <c r="A2321" s="2" t="s">
        <v>3909</v>
      </c>
      <c r="B2321" s="2" t="s">
        <v>10</v>
      </c>
      <c r="C2321" s="3">
        <v>44517</v>
      </c>
      <c r="D2321" t="s">
        <v>3910</v>
      </c>
      <c r="E2321" s="2" t="s">
        <v>3911</v>
      </c>
      <c r="F2321" s="2" t="s">
        <v>12</v>
      </c>
      <c r="G2321" t="s">
        <v>3898</v>
      </c>
      <c r="H2321" t="str">
        <f t="shared" si="72"/>
        <v>https://videplast.com.br/consulta-imobilizado?id=30003516&amp;nome=AR%20CONDICIONADO%20INVERTER%20FRIO%20FUJITSU%2012000%20BTU</v>
      </c>
      <c r="I2321" t="e">
        <f t="shared" ca="1" si="73"/>
        <v>#NAME?</v>
      </c>
    </row>
    <row r="2322" spans="1:9" x14ac:dyDescent="0.25">
      <c r="A2322" s="2" t="s">
        <v>3912</v>
      </c>
      <c r="B2322" s="2" t="s">
        <v>10</v>
      </c>
      <c r="C2322" s="3">
        <v>42317</v>
      </c>
      <c r="D2322" t="s">
        <v>3913</v>
      </c>
      <c r="E2322" s="2" t="s">
        <v>12</v>
      </c>
      <c r="F2322" s="2" t="s">
        <v>12</v>
      </c>
      <c r="G2322" t="s">
        <v>3898</v>
      </c>
      <c r="H2322" t="str">
        <f t="shared" si="72"/>
        <v>https://videplast.com.br/consulta-imobilizado?id=32000896&amp;nome=CAMERA%20IP%20VIP%20S3120%20LENTE%203,6%20MM%2020M</v>
      </c>
      <c r="I2322" t="e">
        <f t="shared" ca="1" si="73"/>
        <v>#NAME?</v>
      </c>
    </row>
    <row r="2323" spans="1:9" x14ac:dyDescent="0.25">
      <c r="A2323" s="2" t="s">
        <v>3914</v>
      </c>
      <c r="B2323" s="2" t="s">
        <v>10</v>
      </c>
      <c r="C2323" s="3">
        <v>42317</v>
      </c>
      <c r="D2323" t="s">
        <v>3913</v>
      </c>
      <c r="E2323" s="2" t="s">
        <v>12</v>
      </c>
      <c r="F2323" s="2" t="s">
        <v>12</v>
      </c>
      <c r="G2323" t="s">
        <v>3898</v>
      </c>
      <c r="H2323" t="str">
        <f t="shared" si="72"/>
        <v>https://videplast.com.br/consulta-imobilizado?id=32000897&amp;nome=CAMERA%20IP%20VIP%20S3120%20LENTE%203,6%20MM%2020M</v>
      </c>
      <c r="I2323" t="e">
        <f t="shared" ca="1" si="73"/>
        <v>#NAME?</v>
      </c>
    </row>
    <row r="2324" spans="1:9" x14ac:dyDescent="0.25">
      <c r="A2324" s="2" t="s">
        <v>3915</v>
      </c>
      <c r="B2324" s="2" t="s">
        <v>10</v>
      </c>
      <c r="C2324" s="3">
        <v>42317</v>
      </c>
      <c r="D2324" t="s">
        <v>3913</v>
      </c>
      <c r="E2324" s="2" t="s">
        <v>12</v>
      </c>
      <c r="F2324" s="2" t="s">
        <v>12</v>
      </c>
      <c r="G2324" t="s">
        <v>3898</v>
      </c>
      <c r="H2324" t="str">
        <f t="shared" si="72"/>
        <v>https://videplast.com.br/consulta-imobilizado?id=32000898&amp;nome=CAMERA%20IP%20VIP%20S3120%20LENTE%203,6%20MM%2020M</v>
      </c>
      <c r="I2324" t="e">
        <f t="shared" ca="1" si="73"/>
        <v>#NAME?</v>
      </c>
    </row>
    <row r="2325" spans="1:9" x14ac:dyDescent="0.25">
      <c r="A2325" s="2" t="s">
        <v>3916</v>
      </c>
      <c r="B2325" s="2" t="s">
        <v>10</v>
      </c>
      <c r="C2325" s="3">
        <v>42317</v>
      </c>
      <c r="D2325" t="s">
        <v>3913</v>
      </c>
      <c r="E2325" s="2" t="s">
        <v>12</v>
      </c>
      <c r="F2325" s="2" t="s">
        <v>12</v>
      </c>
      <c r="G2325" t="s">
        <v>3898</v>
      </c>
      <c r="H2325" t="str">
        <f t="shared" si="72"/>
        <v>https://videplast.com.br/consulta-imobilizado?id=32000899&amp;nome=CAMERA%20IP%20VIP%20S3120%20LENTE%203,6%20MM%2020M</v>
      </c>
      <c r="I2325" t="e">
        <f t="shared" ca="1" si="73"/>
        <v>#NAME?</v>
      </c>
    </row>
    <row r="2326" spans="1:9" x14ac:dyDescent="0.25">
      <c r="A2326" s="2" t="s">
        <v>3917</v>
      </c>
      <c r="B2326" s="2" t="s">
        <v>10</v>
      </c>
      <c r="C2326" s="3">
        <v>42317</v>
      </c>
      <c r="D2326" t="s">
        <v>3913</v>
      </c>
      <c r="E2326" s="2" t="s">
        <v>12</v>
      </c>
      <c r="F2326" s="2" t="s">
        <v>12</v>
      </c>
      <c r="G2326" t="s">
        <v>3898</v>
      </c>
      <c r="H2326" t="str">
        <f t="shared" si="72"/>
        <v>https://videplast.com.br/consulta-imobilizado?id=32000900&amp;nome=CAMERA%20IP%20VIP%20S3120%20LENTE%203,6%20MM%2020M</v>
      </c>
      <c r="I2326" t="e">
        <f t="shared" ca="1" si="73"/>
        <v>#NAME?</v>
      </c>
    </row>
    <row r="2327" spans="1:9" x14ac:dyDescent="0.25">
      <c r="A2327" s="2" t="s">
        <v>3918</v>
      </c>
      <c r="B2327" s="2" t="s">
        <v>10</v>
      </c>
      <c r="C2327" s="3">
        <v>42317</v>
      </c>
      <c r="D2327" t="s">
        <v>3913</v>
      </c>
      <c r="E2327" s="2" t="s">
        <v>12</v>
      </c>
      <c r="F2327" s="2" t="s">
        <v>12</v>
      </c>
      <c r="G2327" t="s">
        <v>3898</v>
      </c>
      <c r="H2327" t="str">
        <f t="shared" si="72"/>
        <v>https://videplast.com.br/consulta-imobilizado?id=32000901&amp;nome=CAMERA%20IP%20VIP%20S3120%20LENTE%203,6%20MM%2020M</v>
      </c>
      <c r="I2327" t="e">
        <f t="shared" ca="1" si="73"/>
        <v>#NAME?</v>
      </c>
    </row>
    <row r="2328" spans="1:9" x14ac:dyDescent="0.25">
      <c r="A2328" s="2" t="s">
        <v>3919</v>
      </c>
      <c r="B2328" s="2" t="s">
        <v>10</v>
      </c>
      <c r="C2328" s="3">
        <v>42317</v>
      </c>
      <c r="D2328" t="s">
        <v>3913</v>
      </c>
      <c r="E2328" s="2" t="s">
        <v>12</v>
      </c>
      <c r="F2328" s="2" t="s">
        <v>12</v>
      </c>
      <c r="G2328" t="s">
        <v>3898</v>
      </c>
      <c r="H2328" t="str">
        <f t="shared" si="72"/>
        <v>https://videplast.com.br/consulta-imobilizado?id=32000902&amp;nome=CAMERA%20IP%20VIP%20S3120%20LENTE%203,6%20MM%2020M</v>
      </c>
      <c r="I2328" t="e">
        <f t="shared" ca="1" si="73"/>
        <v>#NAME?</v>
      </c>
    </row>
    <row r="2329" spans="1:9" x14ac:dyDescent="0.25">
      <c r="A2329" s="2" t="s">
        <v>3920</v>
      </c>
      <c r="B2329" s="2" t="s">
        <v>10</v>
      </c>
      <c r="C2329" s="3">
        <v>42317</v>
      </c>
      <c r="D2329" t="s">
        <v>3913</v>
      </c>
      <c r="E2329" s="2" t="s">
        <v>12</v>
      </c>
      <c r="F2329" s="2" t="s">
        <v>12</v>
      </c>
      <c r="G2329" t="s">
        <v>3898</v>
      </c>
      <c r="H2329" t="str">
        <f t="shared" si="72"/>
        <v>https://videplast.com.br/consulta-imobilizado?id=32000903&amp;nome=CAMERA%20IP%20VIP%20S3120%20LENTE%203,6%20MM%2020M</v>
      </c>
      <c r="I2329" t="e">
        <f t="shared" ca="1" si="73"/>
        <v>#NAME?</v>
      </c>
    </row>
    <row r="2330" spans="1:9" x14ac:dyDescent="0.25">
      <c r="A2330" s="2" t="s">
        <v>3921</v>
      </c>
      <c r="B2330" s="2" t="s">
        <v>10</v>
      </c>
      <c r="C2330" s="3">
        <v>36509</v>
      </c>
      <c r="D2330" t="s">
        <v>3922</v>
      </c>
      <c r="E2330" s="2" t="s">
        <v>12</v>
      </c>
      <c r="F2330" s="2" t="s">
        <v>12</v>
      </c>
      <c r="G2330" t="s">
        <v>3923</v>
      </c>
      <c r="H2330" t="str">
        <f t="shared" si="72"/>
        <v>https://videplast.com.br/consulta-imobilizado?id=10000001&amp;nome=MODULOS%201%20A%209%20AREA%2046.867,04%20M2</v>
      </c>
      <c r="I2330" t="e">
        <f t="shared" ca="1" si="73"/>
        <v>#NAME?</v>
      </c>
    </row>
    <row r="2331" spans="1:9" x14ac:dyDescent="0.25">
      <c r="A2331" s="2" t="s">
        <v>3924</v>
      </c>
      <c r="B2331" s="2" t="s">
        <v>10</v>
      </c>
      <c r="C2331" s="3">
        <v>36891</v>
      </c>
      <c r="D2331" t="s">
        <v>3925</v>
      </c>
      <c r="E2331" s="2" t="s">
        <v>12</v>
      </c>
      <c r="F2331" s="2" t="s">
        <v>12</v>
      </c>
      <c r="G2331" t="s">
        <v>3923</v>
      </c>
      <c r="H2331" t="str">
        <f t="shared" si="72"/>
        <v>https://videplast.com.br/consulta-imobilizado?id=11000002&amp;nome=CONSTRUCAO%20DE%20UM%20BARRACAO%20INDUSTRIAL</v>
      </c>
      <c r="I2331" t="e">
        <f t="shared" ca="1" si="73"/>
        <v>#NAME?</v>
      </c>
    </row>
    <row r="2332" spans="1:9" x14ac:dyDescent="0.25">
      <c r="A2332" s="2" t="s">
        <v>3926</v>
      </c>
      <c r="B2332" s="2" t="s">
        <v>10</v>
      </c>
      <c r="C2332" s="3">
        <v>40694</v>
      </c>
      <c r="D2332" t="s">
        <v>3927</v>
      </c>
      <c r="E2332" s="2" t="s">
        <v>12</v>
      </c>
      <c r="F2332" s="2" t="s">
        <v>12</v>
      </c>
      <c r="G2332" t="s">
        <v>3923</v>
      </c>
      <c r="H2332" t="str">
        <f t="shared" si="72"/>
        <v>https://videplast.com.br/consulta-imobilizado?id=11000004&amp;nome=MAO%20DE%20OBRA%20P/AJUSTE%20TANQUE%20DE%20AGUA%20REFRIGERADA</v>
      </c>
      <c r="I2332" t="e">
        <f t="shared" ca="1" si="73"/>
        <v>#NAME?</v>
      </c>
    </row>
    <row r="2333" spans="1:9" x14ac:dyDescent="0.25">
      <c r="A2333" s="2" t="s">
        <v>3928</v>
      </c>
      <c r="B2333" s="2" t="s">
        <v>10</v>
      </c>
      <c r="C2333" s="3">
        <v>40724</v>
      </c>
      <c r="D2333" t="s">
        <v>3929</v>
      </c>
      <c r="E2333" s="2" t="s">
        <v>12</v>
      </c>
      <c r="F2333" s="2" t="s">
        <v>12</v>
      </c>
      <c r="G2333" t="s">
        <v>3923</v>
      </c>
      <c r="H2333" t="str">
        <f t="shared" si="72"/>
        <v>https://videplast.com.br/consulta-imobilizado?id=11000007&amp;nome=TANQUE%20HORIZONTAL%20ACO%20CARBONO%20CAP%2030.000%20LTS</v>
      </c>
      <c r="I2333" t="e">
        <f t="shared" ca="1" si="73"/>
        <v>#NAME?</v>
      </c>
    </row>
    <row r="2334" spans="1:9" x14ac:dyDescent="0.25">
      <c r="A2334" s="2" t="s">
        <v>3930</v>
      </c>
      <c r="B2334" s="2" t="s">
        <v>10</v>
      </c>
      <c r="C2334" s="3">
        <v>40724</v>
      </c>
      <c r="D2334" t="s">
        <v>3931</v>
      </c>
      <c r="E2334" s="2" t="s">
        <v>12</v>
      </c>
      <c r="F2334" s="2" t="s">
        <v>12</v>
      </c>
      <c r="G2334" t="s">
        <v>3923</v>
      </c>
      <c r="H2334" t="str">
        <f t="shared" si="72"/>
        <v>https://videplast.com.br/consulta-imobilizado?id=11000008&amp;nome=TUBO%20E%20LUVA%20PARA%20ESGOTO%20150MMX6MT</v>
      </c>
      <c r="I2334" t="e">
        <f t="shared" ca="1" si="73"/>
        <v>#NAME?</v>
      </c>
    </row>
    <row r="2335" spans="1:9" x14ac:dyDescent="0.25">
      <c r="A2335" s="2" t="s">
        <v>3930</v>
      </c>
      <c r="B2335" s="2" t="s">
        <v>26</v>
      </c>
      <c r="C2335" s="3">
        <v>40724</v>
      </c>
      <c r="D2335" t="s">
        <v>3932</v>
      </c>
      <c r="E2335" s="2" t="s">
        <v>12</v>
      </c>
      <c r="F2335" s="2" t="s">
        <v>12</v>
      </c>
      <c r="G2335" t="s">
        <v>3923</v>
      </c>
      <c r="H2335" t="str">
        <f t="shared" si="72"/>
        <v>https://videplast.com.br/consulta-imobilizado?id=11000008&amp;nome=ARAME%20RECOZIDO%2018,%20CIMENTO%2050KG,%20TABUA%20PINUS</v>
      </c>
      <c r="I2335" t="e">
        <f t="shared" ca="1" si="73"/>
        <v>#NAME?</v>
      </c>
    </row>
    <row r="2336" spans="1:9" x14ac:dyDescent="0.25">
      <c r="A2336" s="2" t="s">
        <v>3930</v>
      </c>
      <c r="B2336" s="2" t="s">
        <v>21</v>
      </c>
      <c r="C2336" s="3">
        <v>40755</v>
      </c>
      <c r="D2336" t="s">
        <v>3933</v>
      </c>
      <c r="E2336" s="2" t="s">
        <v>12</v>
      </c>
      <c r="F2336" s="2" t="s">
        <v>12</v>
      </c>
      <c r="G2336" t="s">
        <v>3923</v>
      </c>
      <c r="H2336" t="str">
        <f t="shared" si="72"/>
        <v>https://videplast.com.br/consulta-imobilizado?id=11000008&amp;nome=SACO%20DE%20CIMENTO</v>
      </c>
      <c r="I2336" t="e">
        <f t="shared" ca="1" si="73"/>
        <v>#NAME?</v>
      </c>
    </row>
    <row r="2337" spans="1:9" x14ac:dyDescent="0.25">
      <c r="A2337" s="2" t="s">
        <v>3930</v>
      </c>
      <c r="B2337" s="2" t="s">
        <v>29</v>
      </c>
      <c r="C2337" s="3">
        <v>40755</v>
      </c>
      <c r="D2337" t="s">
        <v>3934</v>
      </c>
      <c r="E2337" s="2" t="s">
        <v>12</v>
      </c>
      <c r="F2337" s="2" t="s">
        <v>12</v>
      </c>
      <c r="G2337" t="s">
        <v>3923</v>
      </c>
      <c r="H2337" t="str">
        <f t="shared" si="72"/>
        <v>https://videplast.com.br/consulta-imobilizado?id=11000008&amp;nome=PERFIL%20ENRIJ%2075X40X15%20CH-2,00%206M</v>
      </c>
      <c r="I2337" t="e">
        <f t="shared" ca="1" si="73"/>
        <v>#NAME?</v>
      </c>
    </row>
    <row r="2338" spans="1:9" x14ac:dyDescent="0.25">
      <c r="A2338" s="2" t="s">
        <v>3930</v>
      </c>
      <c r="B2338" s="2" t="s">
        <v>31</v>
      </c>
      <c r="C2338" s="3">
        <v>40755</v>
      </c>
      <c r="D2338" t="s">
        <v>3935</v>
      </c>
      <c r="E2338" s="2" t="s">
        <v>12</v>
      </c>
      <c r="F2338" s="2" t="s">
        <v>12</v>
      </c>
      <c r="G2338" t="s">
        <v>3923</v>
      </c>
      <c r="H2338" t="str">
        <f t="shared" si="72"/>
        <v>https://videplast.com.br/consulta-imobilizado?id=11000008&amp;nome=TUBO%20LIG%20BACIA%201.1/2X25CM%20E%20SPUD%20IDEAL</v>
      </c>
      <c r="I2338" t="e">
        <f t="shared" ca="1" si="73"/>
        <v>#NAME?</v>
      </c>
    </row>
    <row r="2339" spans="1:9" x14ac:dyDescent="0.25">
      <c r="A2339" s="2" t="s">
        <v>3930</v>
      </c>
      <c r="B2339" s="2" t="s">
        <v>33</v>
      </c>
      <c r="C2339" s="3">
        <v>40755</v>
      </c>
      <c r="D2339" t="s">
        <v>3936</v>
      </c>
      <c r="E2339" s="2" t="s">
        <v>12</v>
      </c>
      <c r="F2339" s="2" t="s">
        <v>12</v>
      </c>
      <c r="G2339" t="s">
        <v>3923</v>
      </c>
      <c r="H2339" t="str">
        <f t="shared" si="72"/>
        <v>https://videplast.com.br/consulta-imobilizado?id=11000008&amp;nome=TANQUE%20ED%20MAR%20DP%201.23X62,1%20PC%20TORNEIRA%20ICO%20JD</v>
      </c>
      <c r="I2339" t="e">
        <f t="shared" ca="1" si="73"/>
        <v>#NAME?</v>
      </c>
    </row>
    <row r="2340" spans="1:9" x14ac:dyDescent="0.25">
      <c r="A2340" s="2" t="s">
        <v>3930</v>
      </c>
      <c r="B2340" s="2" t="s">
        <v>35</v>
      </c>
      <c r="C2340" s="3">
        <v>40755</v>
      </c>
      <c r="D2340" t="s">
        <v>3937</v>
      </c>
      <c r="E2340" s="2" t="s">
        <v>12</v>
      </c>
      <c r="F2340" s="2" t="s">
        <v>12</v>
      </c>
      <c r="G2340" t="s">
        <v>3923</v>
      </c>
      <c r="H2340" t="str">
        <f t="shared" si="72"/>
        <v>https://videplast.com.br/consulta-imobilizado?id=11000008&amp;nome=TUBO%20SOLDAVEL,%20LUVA%20SOL%2032%20MM,%20SIFAO%20EXTERNO</v>
      </c>
      <c r="I2340" t="e">
        <f t="shared" ca="1" si="73"/>
        <v>#NAME?</v>
      </c>
    </row>
    <row r="2341" spans="1:9" x14ac:dyDescent="0.25">
      <c r="A2341" s="2" t="s">
        <v>3930</v>
      </c>
      <c r="B2341" s="2" t="s">
        <v>37</v>
      </c>
      <c r="C2341" s="3">
        <v>40847</v>
      </c>
      <c r="D2341" t="s">
        <v>3938</v>
      </c>
      <c r="E2341" s="2" t="s">
        <v>12</v>
      </c>
      <c r="F2341" s="2" t="s">
        <v>12</v>
      </c>
      <c r="G2341" t="s">
        <v>3923</v>
      </c>
      <c r="H2341" t="str">
        <f t="shared" si="72"/>
        <v>https://videplast.com.br/consulta-imobilizado?id=11000008&amp;nome=PERFIS%20ENRIJ.%20150X40X15%20E%20150X50X17%202MM</v>
      </c>
      <c r="I2341" t="e">
        <f t="shared" ca="1" si="73"/>
        <v>#NAME?</v>
      </c>
    </row>
    <row r="2342" spans="1:9" x14ac:dyDescent="0.25">
      <c r="A2342" s="2" t="s">
        <v>3939</v>
      </c>
      <c r="B2342" s="2" t="s">
        <v>10</v>
      </c>
      <c r="C2342" s="3">
        <v>40816</v>
      </c>
      <c r="D2342" t="s">
        <v>3940</v>
      </c>
      <c r="E2342" s="2" t="s">
        <v>12</v>
      </c>
      <c r="F2342" s="2" t="s">
        <v>12</v>
      </c>
      <c r="G2342" t="s">
        <v>3923</v>
      </c>
      <c r="H2342" t="str">
        <f t="shared" si="72"/>
        <v>https://videplast.com.br/consulta-imobilizado?id=11000011&amp;nome=SERVIÇOS%20DE%20REPARO%20E%20AMPLIAÇÃO%20CIVIL</v>
      </c>
      <c r="I2342" t="e">
        <f t="shared" ca="1" si="73"/>
        <v>#NAME?</v>
      </c>
    </row>
    <row r="2343" spans="1:9" x14ac:dyDescent="0.25">
      <c r="A2343" s="2" t="s">
        <v>3941</v>
      </c>
      <c r="B2343" s="2" t="s">
        <v>10</v>
      </c>
      <c r="C2343" s="3">
        <v>40939</v>
      </c>
      <c r="D2343" t="s">
        <v>3942</v>
      </c>
      <c r="E2343" s="2" t="s">
        <v>12</v>
      </c>
      <c r="F2343" s="2" t="s">
        <v>12</v>
      </c>
      <c r="G2343" t="s">
        <v>3923</v>
      </c>
      <c r="H2343" t="str">
        <f t="shared" si="72"/>
        <v>https://videplast.com.br/consulta-imobilizado?id=11000013&amp;nome=CABO%20FLEX%201KV%204X25MM,%20ELETRODUTO%20GALV.%20FOGO%202.1/2</v>
      </c>
      <c r="I2343" t="e">
        <f t="shared" ca="1" si="73"/>
        <v>#NAME?</v>
      </c>
    </row>
    <row r="2344" spans="1:9" x14ac:dyDescent="0.25">
      <c r="A2344" s="2" t="s">
        <v>3943</v>
      </c>
      <c r="B2344" s="2" t="s">
        <v>10</v>
      </c>
      <c r="C2344" s="3">
        <v>40999</v>
      </c>
      <c r="D2344" t="s">
        <v>3944</v>
      </c>
      <c r="E2344" s="2" t="s">
        <v>12</v>
      </c>
      <c r="F2344" s="2" t="s">
        <v>12</v>
      </c>
      <c r="G2344" t="s">
        <v>3923</v>
      </c>
      <c r="H2344" t="str">
        <f t="shared" si="72"/>
        <v>https://videplast.com.br/consulta-imobilizado?id=11000014&amp;nome=SERVICO%20DE%20ATERRAMENTO%20DE%20TANQUES%20METALICOS</v>
      </c>
      <c r="I2344" t="e">
        <f t="shared" ca="1" si="73"/>
        <v>#NAME?</v>
      </c>
    </row>
    <row r="2345" spans="1:9" x14ac:dyDescent="0.25">
      <c r="A2345" s="2" t="s">
        <v>3945</v>
      </c>
      <c r="B2345" s="2" t="s">
        <v>10</v>
      </c>
      <c r="C2345" s="3">
        <v>41060</v>
      </c>
      <c r="D2345" t="s">
        <v>3946</v>
      </c>
      <c r="E2345" s="2" t="s">
        <v>12</v>
      </c>
      <c r="F2345" s="2" t="s">
        <v>12</v>
      </c>
      <c r="G2345" t="s">
        <v>3923</v>
      </c>
      <c r="H2345" t="str">
        <f t="shared" si="72"/>
        <v>https://videplast.com.br/consulta-imobilizado?id=11000016&amp;nome=QUADRO%20DE%20COMANDO%20COMPLETO%20400X400X300MM</v>
      </c>
      <c r="I2345" t="e">
        <f t="shared" ca="1" si="73"/>
        <v>#NAME?</v>
      </c>
    </row>
    <row r="2346" spans="1:9" x14ac:dyDescent="0.25">
      <c r="A2346" s="2" t="s">
        <v>3945</v>
      </c>
      <c r="B2346" s="2" t="s">
        <v>26</v>
      </c>
      <c r="C2346" s="3">
        <v>41060</v>
      </c>
      <c r="D2346" t="s">
        <v>3947</v>
      </c>
      <c r="E2346" s="2" t="s">
        <v>12</v>
      </c>
      <c r="F2346" s="2" t="s">
        <v>12</v>
      </c>
      <c r="G2346" t="s">
        <v>3923</v>
      </c>
      <c r="H2346" t="str">
        <f t="shared" si="72"/>
        <v>https://videplast.com.br/consulta-imobilizado?id=11000016&amp;nome=MAO%20FRANCESA%20SIMPLES%20100MM</v>
      </c>
      <c r="I2346" t="e">
        <f t="shared" ca="1" si="73"/>
        <v>#NAME?</v>
      </c>
    </row>
    <row r="2347" spans="1:9" x14ac:dyDescent="0.25">
      <c r="A2347" s="2" t="s">
        <v>3945</v>
      </c>
      <c r="B2347" s="2" t="s">
        <v>21</v>
      </c>
      <c r="C2347" s="3">
        <v>41060</v>
      </c>
      <c r="D2347" t="s">
        <v>3948</v>
      </c>
      <c r="E2347" s="2" t="s">
        <v>12</v>
      </c>
      <c r="F2347" s="2" t="s">
        <v>12</v>
      </c>
      <c r="G2347" t="s">
        <v>3923</v>
      </c>
      <c r="H2347" t="str">
        <f t="shared" si="72"/>
        <v>https://videplast.com.br/consulta-imobilizado?id=11000016&amp;nome=PERFILADO%2038X38X3MT%20PERF%20CH%2018%20GE</v>
      </c>
      <c r="I2347" t="e">
        <f t="shared" ca="1" si="73"/>
        <v>#NAME?</v>
      </c>
    </row>
    <row r="2348" spans="1:9" x14ac:dyDescent="0.25">
      <c r="A2348" s="2" t="s">
        <v>3945</v>
      </c>
      <c r="B2348" s="2" t="s">
        <v>29</v>
      </c>
      <c r="C2348" s="3">
        <v>41060</v>
      </c>
      <c r="D2348" t="s">
        <v>3949</v>
      </c>
      <c r="E2348" s="2" t="s">
        <v>12</v>
      </c>
      <c r="F2348" s="2" t="s">
        <v>12</v>
      </c>
      <c r="G2348" t="s">
        <v>3923</v>
      </c>
      <c r="H2348" t="str">
        <f t="shared" si="72"/>
        <v>https://videplast.com.br/consulta-imobilizado?id=11000016&amp;nome=DISJUNTOR%20MONO%20C25%20A%205SX1%20125-7%20SIEMENS</v>
      </c>
      <c r="I2348" t="e">
        <f t="shared" ca="1" si="73"/>
        <v>#NAME?</v>
      </c>
    </row>
    <row r="2349" spans="1:9" x14ac:dyDescent="0.25">
      <c r="A2349" s="2" t="s">
        <v>3945</v>
      </c>
      <c r="B2349" s="2" t="s">
        <v>31</v>
      </c>
      <c r="C2349" s="3">
        <v>41060</v>
      </c>
      <c r="D2349" t="s">
        <v>3950</v>
      </c>
      <c r="E2349" s="2" t="s">
        <v>12</v>
      </c>
      <c r="F2349" s="2" t="s">
        <v>12</v>
      </c>
      <c r="G2349" t="s">
        <v>3923</v>
      </c>
      <c r="H2349" t="str">
        <f t="shared" si="72"/>
        <v>https://videplast.com.br/consulta-imobilizado?id=11000016&amp;nome=FITA%20ISOLANTE%2019MM2%20X20M%20PRETA</v>
      </c>
      <c r="I2349" t="e">
        <f t="shared" ca="1" si="73"/>
        <v>#NAME?</v>
      </c>
    </row>
    <row r="2350" spans="1:9" x14ac:dyDescent="0.25">
      <c r="A2350" s="2" t="s">
        <v>3945</v>
      </c>
      <c r="B2350" s="2" t="s">
        <v>33</v>
      </c>
      <c r="C2350" s="3">
        <v>41060</v>
      </c>
      <c r="D2350" t="s">
        <v>3951</v>
      </c>
      <c r="E2350" s="2" t="s">
        <v>12</v>
      </c>
      <c r="F2350" s="2" t="s">
        <v>12</v>
      </c>
      <c r="G2350" t="s">
        <v>3923</v>
      </c>
      <c r="H2350" t="str">
        <f t="shared" si="72"/>
        <v>https://videplast.com.br/consulta-imobilizado?id=11000016&amp;nome=EMENDA%20EXTERNA%201%20LEVE%20PERFILADO</v>
      </c>
      <c r="I2350" t="e">
        <f t="shared" ca="1" si="73"/>
        <v>#NAME?</v>
      </c>
    </row>
    <row r="2351" spans="1:9" x14ac:dyDescent="0.25">
      <c r="A2351" s="2" t="s">
        <v>3945</v>
      </c>
      <c r="B2351" s="2" t="s">
        <v>35</v>
      </c>
      <c r="C2351" s="3">
        <v>41060</v>
      </c>
      <c r="D2351" t="s">
        <v>3952</v>
      </c>
      <c r="E2351" s="2" t="s">
        <v>12</v>
      </c>
      <c r="F2351" s="2" t="s">
        <v>12</v>
      </c>
      <c r="G2351" t="s">
        <v>3923</v>
      </c>
      <c r="H2351" t="str">
        <f t="shared" si="72"/>
        <v>https://videplast.com.br/consulta-imobilizado?id=11000016&amp;nome=EMENDA%20INTERNA%20T%20PERFILADO%2038X38</v>
      </c>
      <c r="I2351" t="e">
        <f t="shared" ca="1" si="73"/>
        <v>#NAME?</v>
      </c>
    </row>
    <row r="2352" spans="1:9" x14ac:dyDescent="0.25">
      <c r="A2352" s="2" t="s">
        <v>3945</v>
      </c>
      <c r="B2352" s="2" t="s">
        <v>37</v>
      </c>
      <c r="C2352" s="3">
        <v>41060</v>
      </c>
      <c r="D2352" t="s">
        <v>3953</v>
      </c>
      <c r="E2352" s="2" t="s">
        <v>12</v>
      </c>
      <c r="F2352" s="2" t="s">
        <v>12</v>
      </c>
      <c r="G2352" t="s">
        <v>3923</v>
      </c>
      <c r="H2352" t="str">
        <f t="shared" si="72"/>
        <v>https://videplast.com.br/consulta-imobilizado?id=11000016&amp;nome=REATOR%20%20INVERSOR%20EMERGENCIA%20220%20V%2060HZ</v>
      </c>
      <c r="I2352" t="e">
        <f t="shared" ca="1" si="73"/>
        <v>#NAME?</v>
      </c>
    </row>
    <row r="2353" spans="1:9" x14ac:dyDescent="0.25">
      <c r="A2353" s="2" t="s">
        <v>3945</v>
      </c>
      <c r="B2353" s="2" t="s">
        <v>39</v>
      </c>
      <c r="C2353" s="3">
        <v>41060</v>
      </c>
      <c r="D2353" t="s">
        <v>3954</v>
      </c>
      <c r="E2353" s="2" t="s">
        <v>12</v>
      </c>
      <c r="F2353" s="2" t="s">
        <v>12</v>
      </c>
      <c r="G2353" t="s">
        <v>3923</v>
      </c>
      <c r="H2353" t="str">
        <f t="shared" si="72"/>
        <v>https://videplast.com.br/consulta-imobilizado?id=11000016&amp;nome=CABO%202X1MM2%20750V%20FLEX%20PT</v>
      </c>
      <c r="I2353" t="e">
        <f t="shared" ca="1" si="73"/>
        <v>#NAME?</v>
      </c>
    </row>
    <row r="2354" spans="1:9" x14ac:dyDescent="0.25">
      <c r="A2354" s="2" t="s">
        <v>3945</v>
      </c>
      <c r="B2354" s="2" t="s">
        <v>126</v>
      </c>
      <c r="C2354" s="3">
        <v>41060</v>
      </c>
      <c r="D2354" t="s">
        <v>3955</v>
      </c>
      <c r="E2354" s="2" t="s">
        <v>12</v>
      </c>
      <c r="F2354" s="2" t="s">
        <v>12</v>
      </c>
      <c r="G2354" t="s">
        <v>3923</v>
      </c>
      <c r="H2354" t="str">
        <f t="shared" si="72"/>
        <v>https://videplast.com.br/consulta-imobilizado?id=11000016&amp;nome=CABO%204X4MM2%200,6%201KV%2090%20FLEX%20PT</v>
      </c>
      <c r="I2354" t="e">
        <f t="shared" ca="1" si="73"/>
        <v>#NAME?</v>
      </c>
    </row>
    <row r="2355" spans="1:9" x14ac:dyDescent="0.25">
      <c r="A2355" s="2" t="s">
        <v>3945</v>
      </c>
      <c r="B2355" s="2" t="s">
        <v>127</v>
      </c>
      <c r="C2355" s="3">
        <v>41060</v>
      </c>
      <c r="D2355" t="s">
        <v>3956</v>
      </c>
      <c r="E2355" s="2" t="s">
        <v>12</v>
      </c>
      <c r="F2355" s="2" t="s">
        <v>12</v>
      </c>
      <c r="G2355" t="s">
        <v>3923</v>
      </c>
      <c r="H2355" t="str">
        <f t="shared" si="72"/>
        <v>https://videplast.com.br/consulta-imobilizado?id=11000016&amp;nome=BUCHA%20S-8%20COM%20PARAFUSO</v>
      </c>
      <c r="I2355" t="e">
        <f t="shared" ca="1" si="73"/>
        <v>#NAME?</v>
      </c>
    </row>
    <row r="2356" spans="1:9" x14ac:dyDescent="0.25">
      <c r="A2356" s="2" t="s">
        <v>3945</v>
      </c>
      <c r="B2356" s="2" t="s">
        <v>128</v>
      </c>
      <c r="C2356" s="3">
        <v>41060</v>
      </c>
      <c r="D2356" t="s">
        <v>3957</v>
      </c>
      <c r="E2356" s="2" t="s">
        <v>12</v>
      </c>
      <c r="F2356" s="2" t="s">
        <v>12</v>
      </c>
      <c r="G2356" t="s">
        <v>3923</v>
      </c>
      <c r="H2356" t="str">
        <f t="shared" si="72"/>
        <v>https://videplast.com.br/consulta-imobilizado?id=11000016&amp;nome=CABO%202X1,50MM2,%200,6/1KV%2090%20FLEX</v>
      </c>
      <c r="I2356" t="e">
        <f t="shared" ca="1" si="73"/>
        <v>#NAME?</v>
      </c>
    </row>
    <row r="2357" spans="1:9" x14ac:dyDescent="0.25">
      <c r="A2357" s="2" t="s">
        <v>3945</v>
      </c>
      <c r="B2357" s="2" t="s">
        <v>623</v>
      </c>
      <c r="C2357" s="3">
        <v>41060</v>
      </c>
      <c r="D2357" t="s">
        <v>3958</v>
      </c>
      <c r="E2357" s="2" t="s">
        <v>12</v>
      </c>
      <c r="F2357" s="2" t="s">
        <v>12</v>
      </c>
      <c r="G2357" t="s">
        <v>3923</v>
      </c>
      <c r="H2357" t="str">
        <f t="shared" si="72"/>
        <v>https://videplast.com.br/consulta-imobilizado?id=11000016&amp;nome=VERGALHAO%20ROSC%20(TIRANTE)%201/4X3000MM</v>
      </c>
      <c r="I2357" t="e">
        <f t="shared" ca="1" si="73"/>
        <v>#NAME?</v>
      </c>
    </row>
    <row r="2358" spans="1:9" x14ac:dyDescent="0.25">
      <c r="A2358" s="2" t="s">
        <v>3945</v>
      </c>
      <c r="B2358" s="2" t="s">
        <v>625</v>
      </c>
      <c r="C2358" s="3">
        <v>41060</v>
      </c>
      <c r="D2358" t="s">
        <v>3959</v>
      </c>
      <c r="E2358" s="2" t="s">
        <v>12</v>
      </c>
      <c r="F2358" s="2" t="s">
        <v>12</v>
      </c>
      <c r="G2358" t="s">
        <v>3923</v>
      </c>
      <c r="H2358" t="str">
        <f t="shared" si="72"/>
        <v>https://videplast.com.br/consulta-imobilizado?id=11000016&amp;nome=GANCHO%20CURTO%20PERFIL</v>
      </c>
      <c r="I2358" t="e">
        <f t="shared" ca="1" si="73"/>
        <v>#NAME?</v>
      </c>
    </row>
    <row r="2359" spans="1:9" x14ac:dyDescent="0.25">
      <c r="A2359" s="2" t="s">
        <v>3945</v>
      </c>
      <c r="B2359" s="2" t="s">
        <v>681</v>
      </c>
      <c r="C2359" s="3">
        <v>41060</v>
      </c>
      <c r="D2359" t="s">
        <v>3960</v>
      </c>
      <c r="E2359" s="2" t="s">
        <v>12</v>
      </c>
      <c r="F2359" s="2" t="s">
        <v>12</v>
      </c>
      <c r="G2359" t="s">
        <v>3923</v>
      </c>
      <c r="H2359" t="str">
        <f t="shared" si="72"/>
        <v>https://videplast.com.br/consulta-imobilizado?id=11000016&amp;nome=ARRUELA%20LI%201/4%20ZB%20CISER</v>
      </c>
      <c r="I2359" t="e">
        <f t="shared" ca="1" si="73"/>
        <v>#NAME?</v>
      </c>
    </row>
    <row r="2360" spans="1:9" x14ac:dyDescent="0.25">
      <c r="A2360" s="2" t="s">
        <v>3945</v>
      </c>
      <c r="B2360" s="2" t="s">
        <v>683</v>
      </c>
      <c r="C2360" s="3">
        <v>41060</v>
      </c>
      <c r="D2360" t="s">
        <v>3961</v>
      </c>
      <c r="E2360" s="2" t="s">
        <v>12</v>
      </c>
      <c r="F2360" s="2" t="s">
        <v>12</v>
      </c>
      <c r="G2360" t="s">
        <v>3923</v>
      </c>
      <c r="H2360" t="str">
        <f t="shared" si="72"/>
        <v>https://videplast.com.br/consulta-imobilizado?id=11000016&amp;nome=PORCA%20SEX%201/4%20CISER</v>
      </c>
      <c r="I2360" t="e">
        <f t="shared" ca="1" si="73"/>
        <v>#NAME?</v>
      </c>
    </row>
    <row r="2361" spans="1:9" x14ac:dyDescent="0.25">
      <c r="A2361" s="2" t="s">
        <v>3945</v>
      </c>
      <c r="B2361" s="2" t="s">
        <v>685</v>
      </c>
      <c r="C2361" s="3">
        <v>41060</v>
      </c>
      <c r="D2361" t="s">
        <v>3962</v>
      </c>
      <c r="E2361" s="2" t="s">
        <v>12</v>
      </c>
      <c r="F2361" s="2" t="s">
        <v>12</v>
      </c>
      <c r="G2361" t="s">
        <v>3923</v>
      </c>
      <c r="H2361" t="str">
        <f t="shared" si="72"/>
        <v>https://videplast.com.br/consulta-imobilizado?id=11000016&amp;nome=PROJETOR%20COMPLETO%20400W</v>
      </c>
      <c r="I2361" t="e">
        <f t="shared" ca="1" si="73"/>
        <v>#NAME?</v>
      </c>
    </row>
    <row r="2362" spans="1:9" x14ac:dyDescent="0.25">
      <c r="A2362" s="2" t="s">
        <v>3945</v>
      </c>
      <c r="B2362" s="2" t="s">
        <v>627</v>
      </c>
      <c r="C2362" s="3">
        <v>41060</v>
      </c>
      <c r="D2362" t="s">
        <v>3963</v>
      </c>
      <c r="E2362" s="2" t="s">
        <v>12</v>
      </c>
      <c r="F2362" s="2" t="s">
        <v>12</v>
      </c>
      <c r="G2362" t="s">
        <v>3923</v>
      </c>
      <c r="H2362" t="str">
        <f t="shared" si="72"/>
        <v>https://videplast.com.br/consulta-imobilizado?id=11000016&amp;nome=CURVA%20LATERAL%20PARA%20PERFILADO</v>
      </c>
      <c r="I2362" t="e">
        <f t="shared" ca="1" si="73"/>
        <v>#NAME?</v>
      </c>
    </row>
    <row r="2363" spans="1:9" x14ac:dyDescent="0.25">
      <c r="A2363" s="2" t="s">
        <v>3945</v>
      </c>
      <c r="B2363" s="2" t="s">
        <v>688</v>
      </c>
      <c r="C2363" s="3">
        <v>41060</v>
      </c>
      <c r="D2363" t="s">
        <v>3964</v>
      </c>
      <c r="E2363" s="2" t="s">
        <v>12</v>
      </c>
      <c r="F2363" s="2" t="s">
        <v>12</v>
      </c>
      <c r="G2363" t="s">
        <v>3923</v>
      </c>
      <c r="H2363" t="str">
        <f t="shared" si="72"/>
        <v>https://videplast.com.br/consulta-imobilizado?id=11000016&amp;nome=PARAFUSO%20LENTILHA%201/4X1/2%20CISER</v>
      </c>
      <c r="I2363" t="e">
        <f t="shared" ca="1" si="73"/>
        <v>#NAME?</v>
      </c>
    </row>
    <row r="2364" spans="1:9" x14ac:dyDescent="0.25">
      <c r="A2364" s="2" t="s">
        <v>3945</v>
      </c>
      <c r="B2364" s="2" t="s">
        <v>629</v>
      </c>
      <c r="C2364" s="3">
        <v>41060</v>
      </c>
      <c r="D2364" t="s">
        <v>3965</v>
      </c>
      <c r="E2364" s="2" t="s">
        <v>12</v>
      </c>
      <c r="F2364" s="2" t="s">
        <v>12</v>
      </c>
      <c r="G2364" t="s">
        <v>3923</v>
      </c>
      <c r="H2364" t="str">
        <f t="shared" si="72"/>
        <v>https://videplast.com.br/consulta-imobilizado?id=11000016&amp;nome=SERVICO%20DE%20INSTALACAO%20DE%20SISTEMA%20QUADRO%20DE%20COMANDO</v>
      </c>
      <c r="I2364" t="e">
        <f t="shared" ca="1" si="73"/>
        <v>#NAME?</v>
      </c>
    </row>
    <row r="2365" spans="1:9" x14ac:dyDescent="0.25">
      <c r="A2365" s="2" t="s">
        <v>3945</v>
      </c>
      <c r="B2365" s="2" t="s">
        <v>691</v>
      </c>
      <c r="C2365" s="3">
        <v>41060</v>
      </c>
      <c r="D2365" t="s">
        <v>3966</v>
      </c>
      <c r="E2365" s="2" t="s">
        <v>12</v>
      </c>
      <c r="F2365" s="2" t="s">
        <v>12</v>
      </c>
      <c r="G2365" t="s">
        <v>3923</v>
      </c>
      <c r="H2365" t="str">
        <f t="shared" si="72"/>
        <v>https://videplast.com.br/consulta-imobilizado?id=11000016&amp;nome=QUADRO%20DE%20COMANDO%20400X400X250MM%20CE%2040</v>
      </c>
      <c r="I2365" t="e">
        <f t="shared" ca="1" si="73"/>
        <v>#NAME?</v>
      </c>
    </row>
    <row r="2366" spans="1:9" x14ac:dyDescent="0.25">
      <c r="A2366" s="2" t="s">
        <v>3945</v>
      </c>
      <c r="B2366" s="2" t="s">
        <v>631</v>
      </c>
      <c r="C2366" s="3">
        <v>41060</v>
      </c>
      <c r="D2366" t="s">
        <v>3967</v>
      </c>
      <c r="E2366" s="2" t="s">
        <v>12</v>
      </c>
      <c r="F2366" s="2" t="s">
        <v>12</v>
      </c>
      <c r="G2366" t="s">
        <v>3923</v>
      </c>
      <c r="H2366" t="str">
        <f t="shared" si="72"/>
        <v>https://videplast.com.br/consulta-imobilizado?id=11000016&amp;nome=SERVICO%20DE%20MAO%20DE%20OBRA</v>
      </c>
      <c r="I2366" t="e">
        <f t="shared" ca="1" si="73"/>
        <v>#NAME?</v>
      </c>
    </row>
    <row r="2367" spans="1:9" x14ac:dyDescent="0.25">
      <c r="A2367" s="2" t="s">
        <v>3945</v>
      </c>
      <c r="B2367" s="2" t="s">
        <v>633</v>
      </c>
      <c r="C2367" s="3">
        <v>41060</v>
      </c>
      <c r="D2367" t="s">
        <v>3950</v>
      </c>
      <c r="E2367" s="2" t="s">
        <v>12</v>
      </c>
      <c r="F2367" s="2" t="s">
        <v>12</v>
      </c>
      <c r="G2367" t="s">
        <v>3923</v>
      </c>
      <c r="H2367" t="str">
        <f t="shared" si="72"/>
        <v>https://videplast.com.br/consulta-imobilizado?id=11000016&amp;nome=FITA%20ISOLANTE%2019MM2%20X20M%20PRETA</v>
      </c>
      <c r="I2367" t="e">
        <f t="shared" ca="1" si="73"/>
        <v>#NAME?</v>
      </c>
    </row>
    <row r="2368" spans="1:9" x14ac:dyDescent="0.25">
      <c r="A2368" s="2" t="s">
        <v>3945</v>
      </c>
      <c r="B2368" s="2" t="s">
        <v>635</v>
      </c>
      <c r="C2368" s="3">
        <v>41060</v>
      </c>
      <c r="D2368" t="s">
        <v>3968</v>
      </c>
      <c r="E2368" s="2" t="s">
        <v>12</v>
      </c>
      <c r="F2368" s="2" t="s">
        <v>12</v>
      </c>
      <c r="G2368" t="s">
        <v>3923</v>
      </c>
      <c r="H2368" t="str">
        <f t="shared" si="72"/>
        <v>https://videplast.com.br/consulta-imobilizado?id=11000016&amp;nome=BUCHA%20DE%20ACABAMENTO%20AL%20PARA%20ELETRODUTO</v>
      </c>
      <c r="I2368" t="e">
        <f t="shared" ca="1" si="73"/>
        <v>#NAME?</v>
      </c>
    </row>
    <row r="2369" spans="1:9" x14ac:dyDescent="0.25">
      <c r="A2369" s="2" t="s">
        <v>3945</v>
      </c>
      <c r="B2369" s="2" t="s">
        <v>638</v>
      </c>
      <c r="C2369" s="3">
        <v>41060</v>
      </c>
      <c r="D2369" t="s">
        <v>3969</v>
      </c>
      <c r="E2369" s="2" t="s">
        <v>12</v>
      </c>
      <c r="F2369" s="2" t="s">
        <v>12</v>
      </c>
      <c r="G2369" t="s">
        <v>3923</v>
      </c>
      <c r="H2369" t="str">
        <f t="shared" si="72"/>
        <v>https://videplast.com.br/consulta-imobilizado?id=11000016&amp;nome=CONDULETE%20ALU%203/4</v>
      </c>
      <c r="I2369" t="e">
        <f t="shared" ca="1" si="73"/>
        <v>#NAME?</v>
      </c>
    </row>
    <row r="2370" spans="1:9" x14ac:dyDescent="0.25">
      <c r="A2370" s="2" t="s">
        <v>3945</v>
      </c>
      <c r="B2370" s="2" t="s">
        <v>697</v>
      </c>
      <c r="C2370" s="3">
        <v>41029</v>
      </c>
      <c r="D2370" t="s">
        <v>3970</v>
      </c>
      <c r="E2370" s="2" t="s">
        <v>12</v>
      </c>
      <c r="F2370" s="2" t="s">
        <v>12</v>
      </c>
      <c r="G2370" t="s">
        <v>3923</v>
      </c>
      <c r="H2370" t="str">
        <f t="shared" ref="H2370:H2433" si="74" xml:space="preserve"> "https://videplast.com.br/consulta-imobilizado?id=" &amp; A2370 &amp; "&amp;nome=" &amp; SUBSTITUTE(D2370, " ", "%20")</f>
        <v>https://videplast.com.br/consulta-imobilizado?id=11000016&amp;nome=CURVA%20ELETRODUTO%20PVC%201/2</v>
      </c>
      <c r="I2370" t="e">
        <f t="shared" ref="I2370:I2433" ca="1" si="75">_xlfn.IMAGE("https://chart.googleapis.com/chart?chs=150x150&amp;cht=qr&amp;chl=" &amp; H2370)</f>
        <v>#NAME?</v>
      </c>
    </row>
    <row r="2371" spans="1:9" x14ac:dyDescent="0.25">
      <c r="A2371" s="2" t="s">
        <v>3945</v>
      </c>
      <c r="B2371" s="2" t="s">
        <v>699</v>
      </c>
      <c r="C2371" s="3">
        <v>41060</v>
      </c>
      <c r="D2371" t="s">
        <v>3971</v>
      </c>
      <c r="E2371" s="2" t="s">
        <v>12</v>
      </c>
      <c r="F2371" s="2" t="s">
        <v>12</v>
      </c>
      <c r="G2371" t="s">
        <v>3923</v>
      </c>
      <c r="H2371" t="str">
        <f t="shared" si="74"/>
        <v>https://videplast.com.br/consulta-imobilizado?id=11000016&amp;nome=ELETRODUTO%20PVC%201/2%20PARA%20ILUMINACAO%20DE%20EMERGENCIA</v>
      </c>
      <c r="I2371" t="e">
        <f t="shared" ca="1" si="75"/>
        <v>#NAME?</v>
      </c>
    </row>
    <row r="2372" spans="1:9" x14ac:dyDescent="0.25">
      <c r="A2372" s="2" t="s">
        <v>3945</v>
      </c>
      <c r="B2372" s="2" t="s">
        <v>701</v>
      </c>
      <c r="C2372" s="3">
        <v>41060</v>
      </c>
      <c r="D2372" t="s">
        <v>3972</v>
      </c>
      <c r="E2372" s="2" t="s">
        <v>12</v>
      </c>
      <c r="F2372" s="2" t="s">
        <v>12</v>
      </c>
      <c r="G2372" t="s">
        <v>3923</v>
      </c>
      <c r="H2372" t="str">
        <f t="shared" si="74"/>
        <v>https://videplast.com.br/consulta-imobilizado?id=11000016&amp;nome=ABRACADEIRA%201/2%20TP%20COM%20PARAFUSO</v>
      </c>
      <c r="I2372" t="e">
        <f t="shared" ca="1" si="75"/>
        <v>#NAME?</v>
      </c>
    </row>
    <row r="2373" spans="1:9" x14ac:dyDescent="0.25">
      <c r="A2373" s="2" t="s">
        <v>3945</v>
      </c>
      <c r="B2373" s="2" t="s">
        <v>703</v>
      </c>
      <c r="C2373" s="3">
        <v>41060</v>
      </c>
      <c r="D2373" t="s">
        <v>3973</v>
      </c>
      <c r="E2373" s="2" t="s">
        <v>12</v>
      </c>
      <c r="F2373" s="2" t="s">
        <v>12</v>
      </c>
      <c r="G2373" t="s">
        <v>3923</v>
      </c>
      <c r="H2373" t="str">
        <f t="shared" si="74"/>
        <v>https://videplast.com.br/consulta-imobilizado?id=11000016&amp;nome=LUVA%20PARA%20ELETRODUTO%20PVC</v>
      </c>
      <c r="I2373" t="e">
        <f t="shared" ca="1" si="75"/>
        <v>#NAME?</v>
      </c>
    </row>
    <row r="2374" spans="1:9" x14ac:dyDescent="0.25">
      <c r="A2374" s="2" t="s">
        <v>3945</v>
      </c>
      <c r="B2374" s="2" t="s">
        <v>705</v>
      </c>
      <c r="C2374" s="3">
        <v>41060</v>
      </c>
      <c r="D2374" t="s">
        <v>3974</v>
      </c>
      <c r="E2374" s="2" t="s">
        <v>12</v>
      </c>
      <c r="F2374" s="2" t="s">
        <v>12</v>
      </c>
      <c r="G2374" t="s">
        <v>3923</v>
      </c>
      <c r="H2374" t="str">
        <f t="shared" si="74"/>
        <v>https://videplast.com.br/consulta-imobilizado?id=11000016&amp;nome=BUCHA%20S-6%20COM%20PARAFUSO%20CISER</v>
      </c>
      <c r="I2374" t="e">
        <f t="shared" ca="1" si="75"/>
        <v>#NAME?</v>
      </c>
    </row>
    <row r="2375" spans="1:9" x14ac:dyDescent="0.25">
      <c r="A2375" s="2" t="s">
        <v>3945</v>
      </c>
      <c r="B2375" s="2" t="s">
        <v>707</v>
      </c>
      <c r="C2375" s="3">
        <v>41060</v>
      </c>
      <c r="D2375" t="s">
        <v>3975</v>
      </c>
      <c r="E2375" s="2" t="s">
        <v>12</v>
      </c>
      <c r="F2375" s="2" t="s">
        <v>12</v>
      </c>
      <c r="G2375" t="s">
        <v>3923</v>
      </c>
      <c r="H2375" t="str">
        <f t="shared" si="74"/>
        <v>https://videplast.com.br/consulta-imobilizado?id=11000016&amp;nome=CABO%202X1,50MM2,%200,6/1KV%20FLEX%20PT</v>
      </c>
      <c r="I2375" t="e">
        <f t="shared" ca="1" si="75"/>
        <v>#NAME?</v>
      </c>
    </row>
    <row r="2376" spans="1:9" x14ac:dyDescent="0.25">
      <c r="A2376" s="2" t="s">
        <v>3945</v>
      </c>
      <c r="B2376" s="2" t="s">
        <v>709</v>
      </c>
      <c r="C2376" s="3">
        <v>41090</v>
      </c>
      <c r="D2376" t="s">
        <v>3976</v>
      </c>
      <c r="E2376" s="2" t="s">
        <v>12</v>
      </c>
      <c r="F2376" s="2" t="s">
        <v>12</v>
      </c>
      <c r="G2376" t="s">
        <v>3923</v>
      </c>
      <c r="H2376" t="str">
        <f t="shared" si="74"/>
        <v>https://videplast.com.br/consulta-imobilizado?id=11000016&amp;nome=BATERIA%20PARA%20ILUMINACAO%20DE%20EMERGENCIA</v>
      </c>
      <c r="I2376" t="e">
        <f t="shared" ca="1" si="75"/>
        <v>#NAME?</v>
      </c>
    </row>
    <row r="2377" spans="1:9" x14ac:dyDescent="0.25">
      <c r="A2377" s="2" t="s">
        <v>3977</v>
      </c>
      <c r="B2377" s="2" t="s">
        <v>10</v>
      </c>
      <c r="C2377" s="3">
        <v>41152</v>
      </c>
      <c r="D2377" t="s">
        <v>3978</v>
      </c>
      <c r="E2377" s="2" t="s">
        <v>12</v>
      </c>
      <c r="F2377" s="2" t="s">
        <v>12</v>
      </c>
      <c r="G2377" t="s">
        <v>3923</v>
      </c>
      <c r="H2377" t="str">
        <f t="shared" si="74"/>
        <v>https://videplast.com.br/consulta-imobilizado?id=11000017&amp;nome=CH%201,20%20MM%20FF%203X1,20%20SAE%20E%20PERFIL%20U%2075%20X%2040</v>
      </c>
      <c r="I2377" t="e">
        <f t="shared" ca="1" si="75"/>
        <v>#NAME?</v>
      </c>
    </row>
    <row r="2378" spans="1:9" x14ac:dyDescent="0.25">
      <c r="A2378" s="2" t="s">
        <v>3979</v>
      </c>
      <c r="B2378" s="2" t="s">
        <v>10</v>
      </c>
      <c r="C2378" s="3">
        <v>37042</v>
      </c>
      <c r="D2378" t="s">
        <v>3980</v>
      </c>
      <c r="E2378" s="2" t="s">
        <v>12</v>
      </c>
      <c r="F2378" s="2" t="s">
        <v>12</v>
      </c>
      <c r="G2378" t="s">
        <v>3923</v>
      </c>
      <c r="H2378" t="str">
        <f t="shared" si="74"/>
        <v>https://videplast.com.br/consulta-imobilizado?id=11000019&amp;nome=MAO%20DE%20OBRA%20P/%20PERFURACAO%20POCO%20ARTESIANO</v>
      </c>
      <c r="I2378" t="e">
        <f t="shared" ca="1" si="75"/>
        <v>#NAME?</v>
      </c>
    </row>
    <row r="2379" spans="1:9" x14ac:dyDescent="0.25">
      <c r="A2379" s="2" t="s">
        <v>3981</v>
      </c>
      <c r="B2379" s="2" t="s">
        <v>10</v>
      </c>
      <c r="C2379" s="3">
        <v>37894</v>
      </c>
      <c r="D2379" t="s">
        <v>3982</v>
      </c>
      <c r="E2379" s="2" t="s">
        <v>12</v>
      </c>
      <c r="F2379" s="2" t="s">
        <v>12</v>
      </c>
      <c r="G2379" t="s">
        <v>3923</v>
      </c>
      <c r="H2379" t="str">
        <f t="shared" si="74"/>
        <v>https://videplast.com.br/consulta-imobilizado?id=11000020&amp;nome=AMPLIACAO%20NA%20FABRICA</v>
      </c>
      <c r="I2379" t="e">
        <f t="shared" ca="1" si="75"/>
        <v>#NAME?</v>
      </c>
    </row>
    <row r="2380" spans="1:9" x14ac:dyDescent="0.25">
      <c r="A2380" s="2" t="s">
        <v>3983</v>
      </c>
      <c r="B2380" s="2" t="s">
        <v>10</v>
      </c>
      <c r="C2380" s="3">
        <v>37680</v>
      </c>
      <c r="D2380" t="s">
        <v>3984</v>
      </c>
      <c r="E2380" s="2" t="s">
        <v>12</v>
      </c>
      <c r="F2380" s="2" t="s">
        <v>12</v>
      </c>
      <c r="G2380" t="s">
        <v>3923</v>
      </c>
      <c r="H2380" t="str">
        <f t="shared" si="74"/>
        <v>https://videplast.com.br/consulta-imobilizado?id=11000021&amp;nome=AMPLIACAO%20DA%20FABRICA</v>
      </c>
      <c r="I2380" t="e">
        <f t="shared" ca="1" si="75"/>
        <v>#NAME?</v>
      </c>
    </row>
    <row r="2381" spans="1:9" x14ac:dyDescent="0.25">
      <c r="A2381" s="2" t="s">
        <v>3985</v>
      </c>
      <c r="B2381" s="2" t="s">
        <v>10</v>
      </c>
      <c r="C2381" s="3">
        <v>38046</v>
      </c>
      <c r="D2381" t="s">
        <v>3984</v>
      </c>
      <c r="E2381" s="2" t="s">
        <v>12</v>
      </c>
      <c r="F2381" s="2" t="s">
        <v>12</v>
      </c>
      <c r="G2381" t="s">
        <v>3923</v>
      </c>
      <c r="H2381" t="str">
        <f t="shared" si="74"/>
        <v>https://videplast.com.br/consulta-imobilizado?id=11000022&amp;nome=AMPLIACAO%20DA%20FABRICA</v>
      </c>
      <c r="I2381" t="e">
        <f t="shared" ca="1" si="75"/>
        <v>#NAME?</v>
      </c>
    </row>
    <row r="2382" spans="1:9" x14ac:dyDescent="0.25">
      <c r="A2382" s="2" t="s">
        <v>3986</v>
      </c>
      <c r="B2382" s="2" t="s">
        <v>10</v>
      </c>
      <c r="C2382" s="3">
        <v>38411</v>
      </c>
      <c r="D2382" t="s">
        <v>3987</v>
      </c>
      <c r="E2382" s="2" t="s">
        <v>12</v>
      </c>
      <c r="F2382" s="2" t="s">
        <v>12</v>
      </c>
      <c r="G2382" t="s">
        <v>3923</v>
      </c>
      <c r="H2382" t="str">
        <f t="shared" si="74"/>
        <v>https://videplast.com.br/consulta-imobilizado?id=11000023&amp;nome=ESTRUTURA%20METALICA%2020,6X5,60M</v>
      </c>
      <c r="I2382" t="e">
        <f t="shared" ca="1" si="75"/>
        <v>#NAME?</v>
      </c>
    </row>
    <row r="2383" spans="1:9" x14ac:dyDescent="0.25">
      <c r="A2383" s="2" t="s">
        <v>3988</v>
      </c>
      <c r="B2383" s="2" t="s">
        <v>10</v>
      </c>
      <c r="C2383" s="3">
        <v>38472</v>
      </c>
      <c r="D2383" t="s">
        <v>3989</v>
      </c>
      <c r="E2383" s="2" t="s">
        <v>12</v>
      </c>
      <c r="F2383" s="2" t="s">
        <v>12</v>
      </c>
      <c r="G2383" t="s">
        <v>3923</v>
      </c>
      <c r="H2383" t="str">
        <f t="shared" si="74"/>
        <v>https://videplast.com.br/consulta-imobilizado?id=11000024&amp;nome=SERVICOS%20E%20MATERIAS%20PARA%20CONSERTO%20DA%20TUBULACAO</v>
      </c>
      <c r="I2383" t="e">
        <f t="shared" ca="1" si="75"/>
        <v>#NAME?</v>
      </c>
    </row>
    <row r="2384" spans="1:9" x14ac:dyDescent="0.25">
      <c r="A2384" s="2" t="s">
        <v>3990</v>
      </c>
      <c r="B2384" s="2" t="s">
        <v>10</v>
      </c>
      <c r="C2384" s="3">
        <v>38472</v>
      </c>
      <c r="D2384" t="s">
        <v>3991</v>
      </c>
      <c r="E2384" s="2" t="s">
        <v>12</v>
      </c>
      <c r="F2384" s="2" t="s">
        <v>12</v>
      </c>
      <c r="G2384" t="s">
        <v>3923</v>
      </c>
      <c r="H2384" t="str">
        <f t="shared" si="74"/>
        <v>https://videplast.com.br/consulta-imobilizado?id=11000025&amp;nome=MATERIAS%20PARA%20INSTALACAO%20REDE%20DE%20INCENDIO</v>
      </c>
      <c r="I2384" t="e">
        <f t="shared" ca="1" si="75"/>
        <v>#NAME?</v>
      </c>
    </row>
    <row r="2385" spans="1:9" x14ac:dyDescent="0.25">
      <c r="A2385" s="2" t="s">
        <v>3992</v>
      </c>
      <c r="B2385" s="2" t="s">
        <v>10</v>
      </c>
      <c r="C2385" s="3">
        <v>38472</v>
      </c>
      <c r="D2385" t="s">
        <v>3993</v>
      </c>
      <c r="E2385" s="2" t="s">
        <v>12</v>
      </c>
      <c r="F2385" s="2" t="s">
        <v>12</v>
      </c>
      <c r="G2385" t="s">
        <v>3923</v>
      </c>
      <c r="H2385" t="str">
        <f t="shared" si="74"/>
        <v>https://videplast.com.br/consulta-imobilizado?id=11000026&amp;nome=MAO%20DE%20OBRA%20E%20SERVICOS%20P/%20INSTALACAO%20REDE%20INCENDIO</v>
      </c>
      <c r="I2385" t="e">
        <f t="shared" ca="1" si="75"/>
        <v>#NAME?</v>
      </c>
    </row>
    <row r="2386" spans="1:9" x14ac:dyDescent="0.25">
      <c r="A2386" s="2" t="s">
        <v>3994</v>
      </c>
      <c r="B2386" s="2" t="s">
        <v>10</v>
      </c>
      <c r="C2386" s="3">
        <v>38564</v>
      </c>
      <c r="D2386" t="s">
        <v>3995</v>
      </c>
      <c r="E2386" s="2" t="s">
        <v>12</v>
      </c>
      <c r="F2386" s="2" t="s">
        <v>12</v>
      </c>
      <c r="G2386" t="s">
        <v>3923</v>
      </c>
      <c r="H2386" t="str">
        <f t="shared" si="74"/>
        <v>https://videplast.com.br/consulta-imobilizado?id=11000027&amp;nome=BARRACAO%20COM%202.500%20M2</v>
      </c>
      <c r="I2386" t="e">
        <f t="shared" ca="1" si="75"/>
        <v>#NAME?</v>
      </c>
    </row>
    <row r="2387" spans="1:9" x14ac:dyDescent="0.25">
      <c r="A2387" s="2" t="s">
        <v>3994</v>
      </c>
      <c r="B2387" s="2" t="s">
        <v>26</v>
      </c>
      <c r="C2387" s="3">
        <v>43684</v>
      </c>
      <c r="D2387" t="s">
        <v>3996</v>
      </c>
      <c r="E2387" s="2" t="s">
        <v>12</v>
      </c>
      <c r="F2387" s="2" t="s">
        <v>12</v>
      </c>
      <c r="G2387" t="s">
        <v>3923</v>
      </c>
      <c r="H2387" t="str">
        <f t="shared" si="74"/>
        <v>https://videplast.com.br/consulta-imobilizado?id=11000027&amp;nome=AMPLIAÇÃO%20BARRACÃO%202.500M2%20E%20ACESSORIOS</v>
      </c>
      <c r="I2387" t="e">
        <f t="shared" ca="1" si="75"/>
        <v>#NAME?</v>
      </c>
    </row>
    <row r="2388" spans="1:9" x14ac:dyDescent="0.25">
      <c r="A2388" s="2" t="s">
        <v>3997</v>
      </c>
      <c r="B2388" s="2" t="s">
        <v>10</v>
      </c>
      <c r="C2388" s="3">
        <v>38595</v>
      </c>
      <c r="D2388" t="s">
        <v>3998</v>
      </c>
      <c r="E2388" s="2" t="s">
        <v>12</v>
      </c>
      <c r="F2388" s="2" t="s">
        <v>12</v>
      </c>
      <c r="G2388" t="s">
        <v>3923</v>
      </c>
      <c r="H2388" t="str">
        <f t="shared" si="74"/>
        <v>https://videplast.com.br/consulta-imobilizado?id=11000028&amp;nome=TINTAS%20PARA%20PINTURA%20DA%20FABRICA</v>
      </c>
      <c r="I2388" t="e">
        <f t="shared" ca="1" si="75"/>
        <v>#NAME?</v>
      </c>
    </row>
    <row r="2389" spans="1:9" x14ac:dyDescent="0.25">
      <c r="A2389" s="2" t="s">
        <v>3999</v>
      </c>
      <c r="B2389" s="2" t="s">
        <v>10</v>
      </c>
      <c r="C2389" s="3">
        <v>38595</v>
      </c>
      <c r="D2389" t="s">
        <v>4000</v>
      </c>
      <c r="E2389" s="2" t="s">
        <v>12</v>
      </c>
      <c r="F2389" s="2" t="s">
        <v>12</v>
      </c>
      <c r="G2389" t="s">
        <v>3923</v>
      </c>
      <c r="H2389" t="str">
        <f t="shared" si="74"/>
        <v>https://videplast.com.br/consulta-imobilizado?id=11000029&amp;nome=MATERIAIS%20P/INSTALACOES%20ELETRICAS%20NA%20FABRICA</v>
      </c>
      <c r="I2389" t="e">
        <f t="shared" ca="1" si="75"/>
        <v>#NAME?</v>
      </c>
    </row>
    <row r="2390" spans="1:9" x14ac:dyDescent="0.25">
      <c r="A2390" s="2" t="s">
        <v>4001</v>
      </c>
      <c r="B2390" s="2" t="s">
        <v>10</v>
      </c>
      <c r="C2390" s="3">
        <v>38595</v>
      </c>
      <c r="D2390" t="s">
        <v>4000</v>
      </c>
      <c r="E2390" s="2" t="s">
        <v>12</v>
      </c>
      <c r="F2390" s="2" t="s">
        <v>12</v>
      </c>
      <c r="G2390" t="s">
        <v>3923</v>
      </c>
      <c r="H2390" t="str">
        <f t="shared" si="74"/>
        <v>https://videplast.com.br/consulta-imobilizado?id=11000030&amp;nome=MATERIAIS%20P/INSTALACOES%20ELETRICAS%20NA%20FABRICA</v>
      </c>
      <c r="I2390" t="e">
        <f t="shared" ca="1" si="75"/>
        <v>#NAME?</v>
      </c>
    </row>
    <row r="2391" spans="1:9" x14ac:dyDescent="0.25">
      <c r="A2391" s="2" t="s">
        <v>4002</v>
      </c>
      <c r="B2391" s="2" t="s">
        <v>10</v>
      </c>
      <c r="C2391" s="3">
        <v>38595</v>
      </c>
      <c r="D2391" t="s">
        <v>4003</v>
      </c>
      <c r="E2391" s="2" t="s">
        <v>12</v>
      </c>
      <c r="F2391" s="2" t="s">
        <v>12</v>
      </c>
      <c r="G2391" t="s">
        <v>3923</v>
      </c>
      <c r="H2391" t="str">
        <f t="shared" si="74"/>
        <v>https://videplast.com.br/consulta-imobilizado?id=11000031&amp;nome=PORTAS%20DE%20BOX%20PARA%20BANHEIROS%20DA%20FABRICA</v>
      </c>
      <c r="I2391" t="e">
        <f t="shared" ca="1" si="75"/>
        <v>#NAME?</v>
      </c>
    </row>
    <row r="2392" spans="1:9" x14ac:dyDescent="0.25">
      <c r="A2392" s="2" t="s">
        <v>4004</v>
      </c>
      <c r="B2392" s="2" t="s">
        <v>10</v>
      </c>
      <c r="C2392" s="3">
        <v>39202</v>
      </c>
      <c r="D2392" t="s">
        <v>4005</v>
      </c>
      <c r="E2392" s="2" t="s">
        <v>12</v>
      </c>
      <c r="F2392" s="2" t="s">
        <v>12</v>
      </c>
      <c r="G2392" t="s">
        <v>3923</v>
      </c>
      <c r="H2392" t="str">
        <f t="shared" si="74"/>
        <v>https://videplast.com.br/consulta-imobilizado?id=11000033&amp;nome=MATEIRIAS%20DE%20CONSTRUCAO%20PARA%20APLICACAO%20NA%20FABRICA</v>
      </c>
      <c r="I2392" t="e">
        <f t="shared" ca="1" si="75"/>
        <v>#NAME?</v>
      </c>
    </row>
    <row r="2393" spans="1:9" x14ac:dyDescent="0.25">
      <c r="A2393" s="2" t="s">
        <v>4006</v>
      </c>
      <c r="B2393" s="2" t="s">
        <v>10</v>
      </c>
      <c r="C2393" s="3">
        <v>39202</v>
      </c>
      <c r="D2393" t="s">
        <v>4005</v>
      </c>
      <c r="E2393" s="2" t="s">
        <v>12</v>
      </c>
      <c r="F2393" s="2" t="s">
        <v>12</v>
      </c>
      <c r="G2393" t="s">
        <v>3923</v>
      </c>
      <c r="H2393" t="str">
        <f t="shared" si="74"/>
        <v>https://videplast.com.br/consulta-imobilizado?id=11000034&amp;nome=MATEIRIAS%20DE%20CONSTRUCAO%20PARA%20APLICACAO%20NA%20FABRICA</v>
      </c>
      <c r="I2393" t="e">
        <f t="shared" ca="1" si="75"/>
        <v>#NAME?</v>
      </c>
    </row>
    <row r="2394" spans="1:9" x14ac:dyDescent="0.25">
      <c r="A2394" s="2" t="s">
        <v>4007</v>
      </c>
      <c r="B2394" s="2" t="s">
        <v>10</v>
      </c>
      <c r="C2394" s="3">
        <v>39202</v>
      </c>
      <c r="D2394" t="s">
        <v>4008</v>
      </c>
      <c r="E2394" s="2" t="s">
        <v>12</v>
      </c>
      <c r="F2394" s="2" t="s">
        <v>12</v>
      </c>
      <c r="G2394" t="s">
        <v>3923</v>
      </c>
      <c r="H2394" t="str">
        <f t="shared" si="74"/>
        <v>https://videplast.com.br/consulta-imobilizado?id=11000035&amp;nome=SERVICO%20RETORESCAVADEIRA%20APLICADO%20NA%20FABRICA</v>
      </c>
      <c r="I2394" t="e">
        <f t="shared" ca="1" si="75"/>
        <v>#NAME?</v>
      </c>
    </row>
    <row r="2395" spans="1:9" x14ac:dyDescent="0.25">
      <c r="A2395" s="2" t="s">
        <v>4009</v>
      </c>
      <c r="B2395" s="2" t="s">
        <v>10</v>
      </c>
      <c r="C2395" s="3">
        <v>39233</v>
      </c>
      <c r="D2395" t="s">
        <v>4010</v>
      </c>
      <c r="E2395" s="2" t="s">
        <v>12</v>
      </c>
      <c r="F2395" s="2" t="s">
        <v>12</v>
      </c>
      <c r="G2395" t="s">
        <v>3923</v>
      </c>
      <c r="H2395" t="str">
        <f t="shared" si="74"/>
        <v>https://videplast.com.br/consulta-imobilizado?id=11000036&amp;nome=SILO%20SUBTERRANEO%20P/ARMAZENAMENTO%20DE%20AGUA%20P%20FABRICA</v>
      </c>
      <c r="I2395" t="e">
        <f t="shared" ca="1" si="75"/>
        <v>#NAME?</v>
      </c>
    </row>
    <row r="2396" spans="1:9" x14ac:dyDescent="0.25">
      <c r="A2396" s="2" t="s">
        <v>4011</v>
      </c>
      <c r="B2396" s="2" t="s">
        <v>10</v>
      </c>
      <c r="C2396" s="3">
        <v>39263</v>
      </c>
      <c r="D2396" t="s">
        <v>4012</v>
      </c>
      <c r="E2396" s="2" t="s">
        <v>12</v>
      </c>
      <c r="F2396" s="2" t="s">
        <v>12</v>
      </c>
      <c r="G2396" t="s">
        <v>3923</v>
      </c>
      <c r="H2396" t="str">
        <f t="shared" si="74"/>
        <v>https://videplast.com.br/consulta-imobilizado?id=11000037&amp;nome=SACO%20DE%20CIMENTO%20P/%20BLOQUETES%20NO%20PATIO%20DA%20FABRICA</v>
      </c>
      <c r="I2396" t="e">
        <f t="shared" ca="1" si="75"/>
        <v>#NAME?</v>
      </c>
    </row>
    <row r="2397" spans="1:9" x14ac:dyDescent="0.25">
      <c r="A2397" s="2" t="s">
        <v>4013</v>
      </c>
      <c r="B2397" s="2" t="s">
        <v>10</v>
      </c>
      <c r="C2397" s="3">
        <v>39263</v>
      </c>
      <c r="D2397" t="s">
        <v>4014</v>
      </c>
      <c r="E2397" s="2" t="s">
        <v>12</v>
      </c>
      <c r="F2397" s="2" t="s">
        <v>12</v>
      </c>
      <c r="G2397" t="s">
        <v>3923</v>
      </c>
      <c r="H2397" t="str">
        <f t="shared" si="74"/>
        <v>https://videplast.com.br/consulta-imobilizado?id=11000038&amp;nome=BRITA,%20AREIA%20GROSSA%20E%20BRITA%201</v>
      </c>
      <c r="I2397" t="e">
        <f t="shared" ca="1" si="75"/>
        <v>#NAME?</v>
      </c>
    </row>
    <row r="2398" spans="1:9" x14ac:dyDescent="0.25">
      <c r="A2398" s="2" t="s">
        <v>4015</v>
      </c>
      <c r="B2398" s="2" t="s">
        <v>10</v>
      </c>
      <c r="C2398" s="3">
        <v>39294</v>
      </c>
      <c r="D2398" t="s">
        <v>4016</v>
      </c>
      <c r="E2398" s="2" t="s">
        <v>12</v>
      </c>
      <c r="F2398" s="2" t="s">
        <v>12</v>
      </c>
      <c r="G2398" t="s">
        <v>3923</v>
      </c>
      <c r="H2398" t="str">
        <f t="shared" si="74"/>
        <v>https://videplast.com.br/consulta-imobilizado?id=11000039&amp;nome=PO%20DE%20BRITA%20P/%20BLOQUETES%20NO%20PATIO</v>
      </c>
      <c r="I2398" t="e">
        <f t="shared" ca="1" si="75"/>
        <v>#NAME?</v>
      </c>
    </row>
    <row r="2399" spans="1:9" x14ac:dyDescent="0.25">
      <c r="A2399" s="2" t="s">
        <v>4017</v>
      </c>
      <c r="B2399" s="2" t="s">
        <v>10</v>
      </c>
      <c r="C2399" s="3">
        <v>39294</v>
      </c>
      <c r="D2399" t="s">
        <v>4016</v>
      </c>
      <c r="E2399" s="2" t="s">
        <v>12</v>
      </c>
      <c r="F2399" s="2" t="s">
        <v>12</v>
      </c>
      <c r="G2399" t="s">
        <v>3923</v>
      </c>
      <c r="H2399" t="str">
        <f t="shared" si="74"/>
        <v>https://videplast.com.br/consulta-imobilizado?id=11000040&amp;nome=PO%20DE%20BRITA%20P/%20BLOQUETES%20NO%20PATIO</v>
      </c>
      <c r="I2399" t="e">
        <f t="shared" ca="1" si="75"/>
        <v>#NAME?</v>
      </c>
    </row>
    <row r="2400" spans="1:9" x14ac:dyDescent="0.25">
      <c r="A2400" s="2" t="s">
        <v>4018</v>
      </c>
      <c r="B2400" s="2" t="s">
        <v>10</v>
      </c>
      <c r="C2400" s="3">
        <v>39294</v>
      </c>
      <c r="D2400" t="s">
        <v>4019</v>
      </c>
      <c r="E2400" s="2" t="s">
        <v>12</v>
      </c>
      <c r="F2400" s="2" t="s">
        <v>12</v>
      </c>
      <c r="G2400" t="s">
        <v>3923</v>
      </c>
      <c r="H2400" t="str">
        <f t="shared" si="74"/>
        <v>https://videplast.com.br/consulta-imobilizado?id=11000041&amp;nome=MATERIAL%20USADO%20AMPLIACAO%20PATIO%20DO%20FUNDO%20DA%20FABRICA</v>
      </c>
      <c r="I2400" t="e">
        <f t="shared" ca="1" si="75"/>
        <v>#NAME?</v>
      </c>
    </row>
    <row r="2401" spans="1:9" x14ac:dyDescent="0.25">
      <c r="A2401" s="2" t="s">
        <v>4020</v>
      </c>
      <c r="B2401" s="2" t="s">
        <v>10</v>
      </c>
      <c r="C2401" s="3">
        <v>39294</v>
      </c>
      <c r="D2401" t="s">
        <v>4021</v>
      </c>
      <c r="E2401" s="2" t="s">
        <v>12</v>
      </c>
      <c r="F2401" s="2" t="s">
        <v>12</v>
      </c>
      <c r="G2401" t="s">
        <v>3923</v>
      </c>
      <c r="H2401" t="str">
        <f t="shared" si="74"/>
        <v>https://videplast.com.br/consulta-imobilizado?id=11000042&amp;nome=MATERIAL%20P/CONSTRUCAO%20ATERRAMENTO%20NOVO%20BARRACAO</v>
      </c>
      <c r="I2401" t="e">
        <f t="shared" ca="1" si="75"/>
        <v>#NAME?</v>
      </c>
    </row>
    <row r="2402" spans="1:9" x14ac:dyDescent="0.25">
      <c r="A2402" s="2" t="s">
        <v>4022</v>
      </c>
      <c r="B2402" s="2" t="s">
        <v>10</v>
      </c>
      <c r="C2402" s="3">
        <v>39325</v>
      </c>
      <c r="D2402" t="s">
        <v>4023</v>
      </c>
      <c r="E2402" s="2" t="s">
        <v>12</v>
      </c>
      <c r="F2402" s="2" t="s">
        <v>12</v>
      </c>
      <c r="G2402" t="s">
        <v>3923</v>
      </c>
      <c r="H2402" t="str">
        <f t="shared" si="74"/>
        <v>https://videplast.com.br/consulta-imobilizado?id=11000043&amp;nome=CABO%20DE%20COBRE%20E%202198M%20DE%20CABO%20A/C%20FLEX</v>
      </c>
      <c r="I2402" t="e">
        <f t="shared" ca="1" si="75"/>
        <v>#NAME?</v>
      </c>
    </row>
    <row r="2403" spans="1:9" x14ac:dyDescent="0.25">
      <c r="A2403" s="2" t="s">
        <v>4024</v>
      </c>
      <c r="B2403" s="2" t="s">
        <v>10</v>
      </c>
      <c r="C2403" s="3">
        <v>39325</v>
      </c>
      <c r="D2403" t="s">
        <v>4025</v>
      </c>
      <c r="E2403" s="2" t="s">
        <v>12</v>
      </c>
      <c r="F2403" s="2" t="s">
        <v>12</v>
      </c>
      <c r="G2403" t="s">
        <v>3923</v>
      </c>
      <c r="H2403" t="str">
        <f t="shared" si="74"/>
        <v>https://videplast.com.br/consulta-imobilizado?id=11000044&amp;nome=PO%20DE%20BRITA%20E%20SACOS%20DE%20CIMENTO</v>
      </c>
      <c r="I2403" t="e">
        <f t="shared" ca="1" si="75"/>
        <v>#NAME?</v>
      </c>
    </row>
    <row r="2404" spans="1:9" x14ac:dyDescent="0.25">
      <c r="A2404" s="2" t="s">
        <v>4026</v>
      </c>
      <c r="B2404" s="2" t="s">
        <v>10</v>
      </c>
      <c r="C2404" s="3">
        <v>39325</v>
      </c>
      <c r="D2404" t="s">
        <v>4027</v>
      </c>
      <c r="E2404" s="2" t="s">
        <v>12</v>
      </c>
      <c r="F2404" s="2" t="s">
        <v>12</v>
      </c>
      <c r="G2404" t="s">
        <v>3923</v>
      </c>
      <c r="H2404" t="str">
        <f t="shared" si="74"/>
        <v>https://videplast.com.br/consulta-imobilizado?id=11000045&amp;nome=PO%20DE%20BRITA%20PARA%20CONSTRUCAO%20BLOQUETES</v>
      </c>
      <c r="I2404" t="e">
        <f t="shared" ca="1" si="75"/>
        <v>#NAME?</v>
      </c>
    </row>
    <row r="2405" spans="1:9" x14ac:dyDescent="0.25">
      <c r="A2405" s="2" t="s">
        <v>4028</v>
      </c>
      <c r="B2405" s="2" t="s">
        <v>10</v>
      </c>
      <c r="C2405" s="3">
        <v>39325</v>
      </c>
      <c r="D2405" t="s">
        <v>4029</v>
      </c>
      <c r="E2405" s="2" t="s">
        <v>12</v>
      </c>
      <c r="F2405" s="2" t="s">
        <v>12</v>
      </c>
      <c r="G2405" t="s">
        <v>3923</v>
      </c>
      <c r="H2405" t="str">
        <f t="shared" si="74"/>
        <v>https://videplast.com.br/consulta-imobilizado?id=11000046&amp;nome=SUBESTACAO%2013,8KV%20500KVA%20P/AMPIACAO%20SUBST.%20FABRICA</v>
      </c>
      <c r="I2405" t="e">
        <f t="shared" ca="1" si="75"/>
        <v>#NAME?</v>
      </c>
    </row>
    <row r="2406" spans="1:9" x14ac:dyDescent="0.25">
      <c r="A2406" s="2" t="s">
        <v>4030</v>
      </c>
      <c r="B2406" s="2" t="s">
        <v>10</v>
      </c>
      <c r="C2406" s="3">
        <v>39355</v>
      </c>
      <c r="D2406" t="s">
        <v>4031</v>
      </c>
      <c r="E2406" s="2" t="s">
        <v>12</v>
      </c>
      <c r="F2406" s="2" t="s">
        <v>12</v>
      </c>
      <c r="G2406" t="s">
        <v>3923</v>
      </c>
      <c r="H2406" t="str">
        <f t="shared" si="74"/>
        <v>https://videplast.com.br/consulta-imobilizado?id=11000047&amp;nome=MALHA%20DE%20ATERRAMENTO%20DE%20PARARAIO%20P/%20ATERRAMENTO</v>
      </c>
      <c r="I2406" t="e">
        <f t="shared" ca="1" si="75"/>
        <v>#NAME?</v>
      </c>
    </row>
    <row r="2407" spans="1:9" x14ac:dyDescent="0.25">
      <c r="A2407" s="2" t="s">
        <v>4032</v>
      </c>
      <c r="B2407" s="2" t="s">
        <v>10</v>
      </c>
      <c r="C2407" s="3">
        <v>39355</v>
      </c>
      <c r="D2407" t="s">
        <v>4033</v>
      </c>
      <c r="E2407" s="2" t="s">
        <v>12</v>
      </c>
      <c r="F2407" s="2" t="s">
        <v>12</v>
      </c>
      <c r="G2407" t="s">
        <v>3923</v>
      </c>
      <c r="H2407" t="str">
        <f t="shared" si="74"/>
        <v>https://videplast.com.br/consulta-imobilizado?id=11000048&amp;nome=AREIA%20GROSSA%20P/CONSTRUCAO%20BLOQUETES%20FABRICA</v>
      </c>
      <c r="I2407" t="e">
        <f t="shared" ca="1" si="75"/>
        <v>#NAME?</v>
      </c>
    </row>
    <row r="2408" spans="1:9" x14ac:dyDescent="0.25">
      <c r="A2408" s="2" t="s">
        <v>4034</v>
      </c>
      <c r="B2408" s="2" t="s">
        <v>10</v>
      </c>
      <c r="C2408" s="3">
        <v>39355</v>
      </c>
      <c r="D2408" t="s">
        <v>4035</v>
      </c>
      <c r="E2408" s="2" t="s">
        <v>12</v>
      </c>
      <c r="F2408" s="2" t="s">
        <v>12</v>
      </c>
      <c r="G2408" t="s">
        <v>3923</v>
      </c>
      <c r="H2408" t="str">
        <f t="shared" si="74"/>
        <v>https://videplast.com.br/consulta-imobilizado?id=11000049&amp;nome=AREIA%20GROSSA,%20BRITA%20E%20SACOS%20DE%20CIMENTO</v>
      </c>
      <c r="I2408" t="e">
        <f t="shared" ca="1" si="75"/>
        <v>#NAME?</v>
      </c>
    </row>
    <row r="2409" spans="1:9" x14ac:dyDescent="0.25">
      <c r="A2409" s="2" t="s">
        <v>4036</v>
      </c>
      <c r="B2409" s="2" t="s">
        <v>10</v>
      </c>
      <c r="C2409" s="3">
        <v>39447</v>
      </c>
      <c r="D2409" t="s">
        <v>4037</v>
      </c>
      <c r="E2409" s="2" t="s">
        <v>12</v>
      </c>
      <c r="F2409" s="2" t="s">
        <v>12</v>
      </c>
      <c r="G2409" t="s">
        <v>3923</v>
      </c>
      <c r="H2409" t="str">
        <f t="shared" si="74"/>
        <v>https://videplast.com.br/consulta-imobilizado?id=11000050&amp;nome=PO%20DE%20BRITA%20E%20SACOS%20DE%20CIMENTO%20P/%20BLOQUETES</v>
      </c>
      <c r="I2409" t="e">
        <f t="shared" ca="1" si="75"/>
        <v>#NAME?</v>
      </c>
    </row>
    <row r="2410" spans="1:9" x14ac:dyDescent="0.25">
      <c r="A2410" s="2" t="s">
        <v>4038</v>
      </c>
      <c r="B2410" s="2" t="s">
        <v>10</v>
      </c>
      <c r="C2410" s="3">
        <v>39447</v>
      </c>
      <c r="D2410" t="s">
        <v>4039</v>
      </c>
      <c r="E2410" s="2" t="s">
        <v>12</v>
      </c>
      <c r="F2410" s="2" t="s">
        <v>12</v>
      </c>
      <c r="G2410" t="s">
        <v>3923</v>
      </c>
      <c r="H2410" t="str">
        <f t="shared" si="74"/>
        <v>https://videplast.com.br/consulta-imobilizado?id=11000051&amp;nome=SISTEMA%20ILUMINACAO%20E%20ATERRAMENTO%20GALPÕES</v>
      </c>
      <c r="I2410" t="e">
        <f t="shared" ca="1" si="75"/>
        <v>#NAME?</v>
      </c>
    </row>
    <row r="2411" spans="1:9" x14ac:dyDescent="0.25">
      <c r="A2411" s="2" t="s">
        <v>4040</v>
      </c>
      <c r="B2411" s="2" t="s">
        <v>10</v>
      </c>
      <c r="C2411" s="3">
        <v>39478</v>
      </c>
      <c r="D2411" t="s">
        <v>4041</v>
      </c>
      <c r="E2411" s="2" t="s">
        <v>12</v>
      </c>
      <c r="F2411" s="2" t="s">
        <v>12</v>
      </c>
      <c r="G2411" t="s">
        <v>3923</v>
      </c>
      <c r="H2411" t="str">
        <f t="shared" si="74"/>
        <v>https://videplast.com.br/consulta-imobilizado?id=11000053&amp;nome=CHAPA%20EXPANDIDA%20320,10%20FERRO%20CANTONEIRA%201/8%20E</v>
      </c>
      <c r="I2411" t="e">
        <f t="shared" ca="1" si="75"/>
        <v>#NAME?</v>
      </c>
    </row>
    <row r="2412" spans="1:9" x14ac:dyDescent="0.25">
      <c r="A2412" s="2" t="s">
        <v>4042</v>
      </c>
      <c r="B2412" s="2" t="s">
        <v>10</v>
      </c>
      <c r="C2412" s="3">
        <v>39507</v>
      </c>
      <c r="D2412" t="s">
        <v>4043</v>
      </c>
      <c r="E2412" s="2" t="s">
        <v>12</v>
      </c>
      <c r="F2412" s="2" t="s">
        <v>12</v>
      </c>
      <c r="G2412" t="s">
        <v>3923</v>
      </c>
      <c r="H2412" t="str">
        <f t="shared" si="74"/>
        <v>https://videplast.com.br/consulta-imobilizado?id=11000059&amp;nome=LUVA,%20BOX,%20ABRACADEIRA,%20TUBO%20E%20CURVA%20P%20REDE%20INCEND</v>
      </c>
      <c r="I2412" t="e">
        <f t="shared" ca="1" si="75"/>
        <v>#NAME?</v>
      </c>
    </row>
    <row r="2413" spans="1:9" x14ac:dyDescent="0.25">
      <c r="A2413" s="2" t="s">
        <v>4044</v>
      </c>
      <c r="B2413" s="2" t="s">
        <v>10</v>
      </c>
      <c r="C2413" s="3">
        <v>39507</v>
      </c>
      <c r="D2413" t="s">
        <v>4045</v>
      </c>
      <c r="E2413" s="2" t="s">
        <v>12</v>
      </c>
      <c r="F2413" s="2" t="s">
        <v>12</v>
      </c>
      <c r="G2413" t="s">
        <v>3923</v>
      </c>
      <c r="H2413" t="str">
        <f t="shared" si="74"/>
        <v>https://videplast.com.br/consulta-imobilizado?id=11000060&amp;nome=MATERIAL%20P/INSTALACAO%20REDE%20DE%20INCENDIO%20DA%20FABRICA</v>
      </c>
      <c r="I2413" t="e">
        <f t="shared" ca="1" si="75"/>
        <v>#NAME?</v>
      </c>
    </row>
    <row r="2414" spans="1:9" x14ac:dyDescent="0.25">
      <c r="A2414" s="2" t="s">
        <v>4046</v>
      </c>
      <c r="B2414" s="2" t="s">
        <v>10</v>
      </c>
      <c r="C2414" s="3">
        <v>39507</v>
      </c>
      <c r="D2414" t="s">
        <v>4047</v>
      </c>
      <c r="E2414" s="2" t="s">
        <v>12</v>
      </c>
      <c r="F2414" s="2" t="s">
        <v>12</v>
      </c>
      <c r="G2414" t="s">
        <v>3923</v>
      </c>
      <c r="H2414" t="str">
        <f t="shared" si="74"/>
        <v>https://videplast.com.br/consulta-imobilizado?id=11000061&amp;nome=CABO%2030%20MODULO%2010%20CONECTOR%20INST.%20CAMERAS</v>
      </c>
      <c r="I2414" t="e">
        <f t="shared" ca="1" si="75"/>
        <v>#NAME?</v>
      </c>
    </row>
    <row r="2415" spans="1:9" x14ac:dyDescent="0.25">
      <c r="A2415" s="2" t="s">
        <v>4048</v>
      </c>
      <c r="B2415" s="2" t="s">
        <v>10</v>
      </c>
      <c r="C2415" s="3">
        <v>39507</v>
      </c>
      <c r="D2415" t="s">
        <v>4049</v>
      </c>
      <c r="E2415" s="2" t="s">
        <v>12</v>
      </c>
      <c r="F2415" s="2" t="s">
        <v>12</v>
      </c>
      <c r="G2415" t="s">
        <v>3923</v>
      </c>
      <c r="H2415" t="str">
        <f t="shared" si="74"/>
        <v>https://videplast.com.br/consulta-imobilizado?id=11000062&amp;nome=BATERIA%2045A%20ILUMINACAO%20DE%20EMERGENCIA%20DA%20FABRICA</v>
      </c>
      <c r="I2415" t="e">
        <f t="shared" ca="1" si="75"/>
        <v>#NAME?</v>
      </c>
    </row>
    <row r="2416" spans="1:9" x14ac:dyDescent="0.25">
      <c r="A2416" s="2" t="s">
        <v>4050</v>
      </c>
      <c r="B2416" s="2" t="s">
        <v>10</v>
      </c>
      <c r="C2416" s="3">
        <v>39507</v>
      </c>
      <c r="D2416" t="s">
        <v>4051</v>
      </c>
      <c r="E2416" s="2" t="s">
        <v>12</v>
      </c>
      <c r="F2416" s="2" t="s">
        <v>12</v>
      </c>
      <c r="G2416" t="s">
        <v>3923</v>
      </c>
      <c r="H2416" t="str">
        <f t="shared" si="74"/>
        <v>https://videplast.com.br/consulta-imobilizado?id=11000063&amp;nome=FRETE%20TRANSPORTE%20TANQUE%20ARMAZEM%20DE%20COMBUSTIVEL</v>
      </c>
      <c r="I2416" t="e">
        <f t="shared" ca="1" si="75"/>
        <v>#NAME?</v>
      </c>
    </row>
    <row r="2417" spans="1:9" x14ac:dyDescent="0.25">
      <c r="A2417" s="2" t="s">
        <v>4052</v>
      </c>
      <c r="B2417" s="2" t="s">
        <v>10</v>
      </c>
      <c r="C2417" s="3">
        <v>39507</v>
      </c>
      <c r="D2417" t="s">
        <v>4053</v>
      </c>
      <c r="E2417" s="2" t="s">
        <v>12</v>
      </c>
      <c r="F2417" s="2" t="s">
        <v>12</v>
      </c>
      <c r="G2417" t="s">
        <v>3923</v>
      </c>
      <c r="H2417" t="str">
        <f t="shared" si="74"/>
        <v>https://videplast.com.br/consulta-imobilizado?id=11000064&amp;nome=TANQUE%20PARA%20ARMAZEM%20DE%20COMBUSTIVEL</v>
      </c>
      <c r="I2417" t="e">
        <f t="shared" ca="1" si="75"/>
        <v>#NAME?</v>
      </c>
    </row>
    <row r="2418" spans="1:9" x14ac:dyDescent="0.25">
      <c r="A2418" s="2" t="s">
        <v>4054</v>
      </c>
      <c r="B2418" s="2" t="s">
        <v>10</v>
      </c>
      <c r="C2418" s="3">
        <v>39507</v>
      </c>
      <c r="D2418" t="s">
        <v>4055</v>
      </c>
      <c r="E2418" s="2" t="s">
        <v>12</v>
      </c>
      <c r="F2418" s="2" t="s">
        <v>12</v>
      </c>
      <c r="G2418" t="s">
        <v>3923</v>
      </c>
      <c r="H2418" t="str">
        <f t="shared" si="74"/>
        <v>https://videplast.com.br/consulta-imobilizado?id=11000065&amp;nome=FRETE%20TRANSPORTE%20DE%2010%20BLOCO%20AUTONOMO</v>
      </c>
      <c r="I2418" t="e">
        <f t="shared" ca="1" si="75"/>
        <v>#NAME?</v>
      </c>
    </row>
    <row r="2419" spans="1:9" x14ac:dyDescent="0.25">
      <c r="A2419" s="2" t="s">
        <v>4056</v>
      </c>
      <c r="B2419" s="2" t="s">
        <v>10</v>
      </c>
      <c r="C2419" s="3">
        <v>39507</v>
      </c>
      <c r="D2419" t="s">
        <v>4057</v>
      </c>
      <c r="E2419" s="2" t="s">
        <v>12</v>
      </c>
      <c r="F2419" s="2" t="s">
        <v>12</v>
      </c>
      <c r="G2419" t="s">
        <v>3923</v>
      </c>
      <c r="H2419" t="str">
        <f t="shared" si="74"/>
        <v>https://videplast.com.br/consulta-imobilizado?id=11000066&amp;nome=BLOCO%20AUTONOMO%20PARA%20FABRICA</v>
      </c>
      <c r="I2419" t="e">
        <f t="shared" ca="1" si="75"/>
        <v>#NAME?</v>
      </c>
    </row>
    <row r="2420" spans="1:9" x14ac:dyDescent="0.25">
      <c r="A2420" s="2" t="s">
        <v>4058</v>
      </c>
      <c r="B2420" s="2" t="s">
        <v>10</v>
      </c>
      <c r="C2420" s="3">
        <v>39538</v>
      </c>
      <c r="D2420" t="s">
        <v>4059</v>
      </c>
      <c r="E2420" s="2" t="s">
        <v>12</v>
      </c>
      <c r="F2420" s="2" t="s">
        <v>12</v>
      </c>
      <c r="G2420" t="s">
        <v>3923</v>
      </c>
      <c r="H2420" t="str">
        <f t="shared" si="74"/>
        <v>https://videplast.com.br/consulta-imobilizado?id=11000067&amp;nome=ALTERACAO%20ELETROCALHA%20SAIDA%20SALA%20QGBT</v>
      </c>
      <c r="I2420" t="e">
        <f t="shared" ca="1" si="75"/>
        <v>#NAME?</v>
      </c>
    </row>
    <row r="2421" spans="1:9" x14ac:dyDescent="0.25">
      <c r="A2421" s="2" t="s">
        <v>4060</v>
      </c>
      <c r="B2421" s="2" t="s">
        <v>10</v>
      </c>
      <c r="C2421" s="3">
        <v>39538</v>
      </c>
      <c r="D2421" t="s">
        <v>4061</v>
      </c>
      <c r="E2421" s="2" t="s">
        <v>12</v>
      </c>
      <c r="F2421" s="2" t="s">
        <v>12</v>
      </c>
      <c r="G2421" t="s">
        <v>3923</v>
      </c>
      <c r="H2421" t="str">
        <f t="shared" si="74"/>
        <v>https://videplast.com.br/consulta-imobilizado?id=11000068&amp;nome=CABO%20FLEX%20ANTICHAMA%20E%20117%20MODULO%20ENDERECAMENTO</v>
      </c>
      <c r="I2421" t="e">
        <f t="shared" ca="1" si="75"/>
        <v>#NAME?</v>
      </c>
    </row>
    <row r="2422" spans="1:9" x14ac:dyDescent="0.25">
      <c r="A2422" s="2" t="s">
        <v>4062</v>
      </c>
      <c r="B2422" s="2" t="s">
        <v>10</v>
      </c>
      <c r="C2422" s="3">
        <v>39538</v>
      </c>
      <c r="D2422" t="s">
        <v>4063</v>
      </c>
      <c r="E2422" s="2" t="s">
        <v>12</v>
      </c>
      <c r="F2422" s="2" t="s">
        <v>12</v>
      </c>
      <c r="G2422" t="s">
        <v>3923</v>
      </c>
      <c r="H2422" t="str">
        <f t="shared" si="74"/>
        <v>https://videplast.com.br/consulta-imobilizado?id=11000069&amp;nome=CABO%20BLINDADO%202X0,75%20MM</v>
      </c>
      <c r="I2422" t="e">
        <f t="shared" ca="1" si="75"/>
        <v>#NAME?</v>
      </c>
    </row>
    <row r="2423" spans="1:9" x14ac:dyDescent="0.25">
      <c r="A2423" s="2" t="s">
        <v>4064</v>
      </c>
      <c r="B2423" s="2" t="s">
        <v>10</v>
      </c>
      <c r="C2423" s="3">
        <v>39568</v>
      </c>
      <c r="D2423" t="s">
        <v>4065</v>
      </c>
      <c r="E2423" s="2" t="s">
        <v>12</v>
      </c>
      <c r="F2423" s="2" t="s">
        <v>12</v>
      </c>
      <c r="G2423" t="s">
        <v>3923</v>
      </c>
      <c r="H2423" t="str">
        <f t="shared" si="74"/>
        <v>https://videplast.com.br/consulta-imobilizado?id=11000070&amp;nome=ELETROCALHA,%20CURVA%20VERTICAL,%20TUBO,%20LUVA</v>
      </c>
      <c r="I2423" t="e">
        <f t="shared" ca="1" si="75"/>
        <v>#NAME?</v>
      </c>
    </row>
    <row r="2424" spans="1:9" x14ac:dyDescent="0.25">
      <c r="A2424" s="2" t="s">
        <v>4066</v>
      </c>
      <c r="B2424" s="2" t="s">
        <v>10</v>
      </c>
      <c r="C2424" s="3">
        <v>39568</v>
      </c>
      <c r="D2424" t="s">
        <v>4067</v>
      </c>
      <c r="E2424" s="2" t="s">
        <v>12</v>
      </c>
      <c r="F2424" s="2" t="s">
        <v>12</v>
      </c>
      <c r="G2424" t="s">
        <v>3923</v>
      </c>
      <c r="H2424" t="str">
        <f t="shared" si="74"/>
        <v>https://videplast.com.br/consulta-imobilizado?id=11000071&amp;nome=ACIONADOR%20END.%20E%20DETECTOR%20DE%20FUMACA%20ENGESUL</v>
      </c>
      <c r="I2424" t="e">
        <f t="shared" ca="1" si="75"/>
        <v>#NAME?</v>
      </c>
    </row>
    <row r="2425" spans="1:9" x14ac:dyDescent="0.25">
      <c r="A2425" s="2" t="s">
        <v>4068</v>
      </c>
      <c r="B2425" s="2" t="s">
        <v>10</v>
      </c>
      <c r="C2425" s="3">
        <v>39568</v>
      </c>
      <c r="D2425" t="s">
        <v>4069</v>
      </c>
      <c r="E2425" s="2" t="s">
        <v>12</v>
      </c>
      <c r="F2425" s="2" t="s">
        <v>12</v>
      </c>
      <c r="G2425" t="s">
        <v>3923</v>
      </c>
      <c r="H2425" t="str">
        <f t="shared" si="74"/>
        <v>https://videplast.com.br/consulta-imobilizado?id=11000072&amp;nome=AUDIO%20VISUAL%20CONVENCIONAL,%20CENTRAL%20DE%20ALARMES,</v>
      </c>
      <c r="I2425" t="e">
        <f t="shared" ca="1" si="75"/>
        <v>#NAME?</v>
      </c>
    </row>
    <row r="2426" spans="1:9" x14ac:dyDescent="0.25">
      <c r="A2426" s="2" t="s">
        <v>4070</v>
      </c>
      <c r="B2426" s="2" t="s">
        <v>10</v>
      </c>
      <c r="C2426" s="3">
        <v>39568</v>
      </c>
      <c r="D2426" t="s">
        <v>4071</v>
      </c>
      <c r="E2426" s="2" t="s">
        <v>12</v>
      </c>
      <c r="F2426" s="2" t="s">
        <v>12</v>
      </c>
      <c r="G2426" t="s">
        <v>3923</v>
      </c>
      <c r="H2426" t="str">
        <f t="shared" si="74"/>
        <v>https://videplast.com.br/consulta-imobilizado?id=11000073&amp;nome=LUMINARIA%202X40%20WT%20PARA%20FABRICA</v>
      </c>
      <c r="I2426" t="e">
        <f t="shared" ca="1" si="75"/>
        <v>#NAME?</v>
      </c>
    </row>
    <row r="2427" spans="1:9" x14ac:dyDescent="0.25">
      <c r="A2427" s="2" t="s">
        <v>4072</v>
      </c>
      <c r="B2427" s="2" t="s">
        <v>10</v>
      </c>
      <c r="C2427" s="3">
        <v>39599</v>
      </c>
      <c r="D2427" t="s">
        <v>4073</v>
      </c>
      <c r="E2427" s="2" t="s">
        <v>12</v>
      </c>
      <c r="F2427" s="2" t="s">
        <v>12</v>
      </c>
      <c r="G2427" t="s">
        <v>3923</v>
      </c>
      <c r="H2427" t="str">
        <f t="shared" si="74"/>
        <v>https://videplast.com.br/consulta-imobilizado?id=11000076&amp;nome=SUPER%20FILITO,%20COLUNA%20DE%20FERRO%20E%20VIGA%20PARA%20FOSSA</v>
      </c>
      <c r="I2427" t="e">
        <f t="shared" ca="1" si="75"/>
        <v>#NAME?</v>
      </c>
    </row>
    <row r="2428" spans="1:9" x14ac:dyDescent="0.25">
      <c r="A2428" s="2" t="s">
        <v>4074</v>
      </c>
      <c r="B2428" s="2" t="s">
        <v>10</v>
      </c>
      <c r="C2428" s="3">
        <v>39599</v>
      </c>
      <c r="D2428" t="s">
        <v>4075</v>
      </c>
      <c r="E2428" s="2" t="s">
        <v>12</v>
      </c>
      <c r="F2428" s="2" t="s">
        <v>12</v>
      </c>
      <c r="G2428" t="s">
        <v>3923</v>
      </c>
      <c r="H2428" t="str">
        <f t="shared" si="74"/>
        <v>https://videplast.com.br/consulta-imobilizado?id=11000077&amp;nome=TIJOLO,%20AREIA%20GR,%20SACO%20DE%20CIMENTO,%20FERRO...</v>
      </c>
      <c r="I2428" t="e">
        <f t="shared" ca="1" si="75"/>
        <v>#NAME?</v>
      </c>
    </row>
    <row r="2429" spans="1:9" x14ac:dyDescent="0.25">
      <c r="A2429" s="2" t="s">
        <v>4076</v>
      </c>
      <c r="B2429" s="2" t="s">
        <v>10</v>
      </c>
      <c r="C2429" s="3">
        <v>39752</v>
      </c>
      <c r="D2429" t="s">
        <v>4077</v>
      </c>
      <c r="E2429" s="2" t="s">
        <v>12</v>
      </c>
      <c r="F2429" s="2" t="s">
        <v>12</v>
      </c>
      <c r="G2429" t="s">
        <v>3923</v>
      </c>
      <c r="H2429" t="str">
        <f t="shared" si="74"/>
        <v>https://videplast.com.br/consulta-imobilizado?id=11000078&amp;nome=15%20EXAUSTOR%20EM50%20PAS%20INOX%20220/380V%20P/A%20FABRICA</v>
      </c>
      <c r="I2429" t="e">
        <f t="shared" ca="1" si="75"/>
        <v>#NAME?</v>
      </c>
    </row>
    <row r="2430" spans="1:9" x14ac:dyDescent="0.25">
      <c r="A2430" s="2" t="s">
        <v>4076</v>
      </c>
      <c r="B2430" s="2" t="s">
        <v>26</v>
      </c>
      <c r="C2430" s="3">
        <v>39752</v>
      </c>
      <c r="D2430" t="s">
        <v>4078</v>
      </c>
      <c r="E2430" s="2" t="s">
        <v>12</v>
      </c>
      <c r="F2430" s="2" t="s">
        <v>12</v>
      </c>
      <c r="G2430" t="s">
        <v>3923</v>
      </c>
      <c r="H2430" t="str">
        <f t="shared" si="74"/>
        <v>https://videplast.com.br/consulta-imobilizado?id=11000078&amp;nome=CHAPA%20E%20FERRO%20CANTONEIRA%20PARA%20A%20FABRICA</v>
      </c>
      <c r="I2430" t="e">
        <f t="shared" ca="1" si="75"/>
        <v>#NAME?</v>
      </c>
    </row>
    <row r="2431" spans="1:9" x14ac:dyDescent="0.25">
      <c r="A2431" s="2" t="s">
        <v>4076</v>
      </c>
      <c r="B2431" s="2" t="s">
        <v>21</v>
      </c>
      <c r="C2431" s="3">
        <v>39752</v>
      </c>
      <c r="D2431" t="s">
        <v>4079</v>
      </c>
      <c r="E2431" s="2" t="s">
        <v>12</v>
      </c>
      <c r="F2431" s="2" t="s">
        <v>12</v>
      </c>
      <c r="G2431" t="s">
        <v>3923</v>
      </c>
      <c r="H2431" t="str">
        <f t="shared" si="74"/>
        <v>https://videplast.com.br/consulta-imobilizado?id=11000078&amp;nome=QUADRO%20DE%20COMANDO,%20TRILHO%20E%20PERFILADO</v>
      </c>
      <c r="I2431" t="e">
        <f t="shared" ca="1" si="75"/>
        <v>#NAME?</v>
      </c>
    </row>
    <row r="2432" spans="1:9" x14ac:dyDescent="0.25">
      <c r="A2432" s="2" t="s">
        <v>4076</v>
      </c>
      <c r="B2432" s="2" t="s">
        <v>29</v>
      </c>
      <c r="C2432" s="3">
        <v>39752</v>
      </c>
      <c r="D2432" t="s">
        <v>4080</v>
      </c>
      <c r="E2432" s="2" t="s">
        <v>12</v>
      </c>
      <c r="F2432" s="2" t="s">
        <v>12</v>
      </c>
      <c r="G2432" t="s">
        <v>3923</v>
      </c>
      <c r="H2432" t="str">
        <f t="shared" si="74"/>
        <v>https://videplast.com.br/consulta-imobilizado?id=11000078&amp;nome=CHAPA%20ZINCO%20PARA%20A%20FABRICA</v>
      </c>
      <c r="I2432" t="e">
        <f t="shared" ca="1" si="75"/>
        <v>#NAME?</v>
      </c>
    </row>
    <row r="2433" spans="1:9" x14ac:dyDescent="0.25">
      <c r="A2433" s="2" t="s">
        <v>4076</v>
      </c>
      <c r="B2433" s="2" t="s">
        <v>31</v>
      </c>
      <c r="C2433" s="3">
        <v>39752</v>
      </c>
      <c r="D2433" t="s">
        <v>4081</v>
      </c>
      <c r="E2433" s="2" t="s">
        <v>12</v>
      </c>
      <c r="F2433" s="2" t="s">
        <v>12</v>
      </c>
      <c r="G2433" t="s">
        <v>3923</v>
      </c>
      <c r="H2433" t="str">
        <f t="shared" si="74"/>
        <v>https://videplast.com.br/consulta-imobilizado?id=11000078&amp;nome=EXAUSTOR%20COM%20PAS%20DE%20INOX%20220/380V</v>
      </c>
      <c r="I2433" t="e">
        <f t="shared" ca="1" si="75"/>
        <v>#NAME?</v>
      </c>
    </row>
    <row r="2434" spans="1:9" x14ac:dyDescent="0.25">
      <c r="A2434" s="2" t="s">
        <v>4076</v>
      </c>
      <c r="B2434" s="2" t="s">
        <v>33</v>
      </c>
      <c r="C2434" s="3">
        <v>39752</v>
      </c>
      <c r="D2434" t="s">
        <v>4082</v>
      </c>
      <c r="E2434" s="2" t="s">
        <v>12</v>
      </c>
      <c r="F2434" s="2" t="s">
        <v>12</v>
      </c>
      <c r="G2434" t="s">
        <v>3923</v>
      </c>
      <c r="H2434" t="str">
        <f t="shared" ref="H2434:H2497" si="76" xml:space="preserve"> "https://videplast.com.br/consulta-imobilizado?id=" &amp; A2434 &amp; "&amp;nome=" &amp; SUBSTITUTE(D2434, " ", "%20")</f>
        <v>https://videplast.com.br/consulta-imobilizado?id=11000078&amp;nome=CABO%20MULTIF</v>
      </c>
      <c r="I2434" t="e">
        <f t="shared" ref="I2434:I2497" ca="1" si="77">_xlfn.IMAGE("https://chart.googleapis.com/chart?chs=150x150&amp;cht=qr&amp;chl=" &amp; H2434)</f>
        <v>#NAME?</v>
      </c>
    </row>
    <row r="2435" spans="1:9" x14ac:dyDescent="0.25">
      <c r="A2435" s="2" t="s">
        <v>4076</v>
      </c>
      <c r="B2435" s="2" t="s">
        <v>35</v>
      </c>
      <c r="C2435" s="3">
        <v>39752</v>
      </c>
      <c r="D2435" t="s">
        <v>4083</v>
      </c>
      <c r="E2435" s="2" t="s">
        <v>12</v>
      </c>
      <c r="F2435" s="2" t="s">
        <v>12</v>
      </c>
      <c r="G2435" t="s">
        <v>3923</v>
      </c>
      <c r="H2435" t="str">
        <f t="shared" si="76"/>
        <v>https://videplast.com.br/consulta-imobilizado?id=11000078&amp;nome=SERVICO%20DE%20CORTAR%20E%20DESDOBRAR%20CHAPAS</v>
      </c>
      <c r="I2435" t="e">
        <f t="shared" ca="1" si="77"/>
        <v>#NAME?</v>
      </c>
    </row>
    <row r="2436" spans="1:9" x14ac:dyDescent="0.25">
      <c r="A2436" s="2" t="s">
        <v>4076</v>
      </c>
      <c r="B2436" s="2" t="s">
        <v>37</v>
      </c>
      <c r="C2436" s="3">
        <v>39752</v>
      </c>
      <c r="D2436" t="s">
        <v>4084</v>
      </c>
      <c r="E2436" s="2" t="s">
        <v>12</v>
      </c>
      <c r="F2436" s="2" t="s">
        <v>12</v>
      </c>
      <c r="G2436" t="s">
        <v>3923</v>
      </c>
      <c r="H2436" t="str">
        <f t="shared" si="76"/>
        <v>https://videplast.com.br/consulta-imobilizado?id=11000078&amp;nome=SERVICO%20DE%20CORTE%20E%20DOBRA%20DE%20PECAS</v>
      </c>
      <c r="I2436" t="e">
        <f t="shared" ca="1" si="77"/>
        <v>#NAME?</v>
      </c>
    </row>
    <row r="2437" spans="1:9" x14ac:dyDescent="0.25">
      <c r="A2437" s="2" t="s">
        <v>4076</v>
      </c>
      <c r="B2437" s="2" t="s">
        <v>39</v>
      </c>
      <c r="C2437" s="3">
        <v>39782</v>
      </c>
      <c r="D2437" t="s">
        <v>4085</v>
      </c>
      <c r="E2437" s="2" t="s">
        <v>12</v>
      </c>
      <c r="F2437" s="2" t="s">
        <v>12</v>
      </c>
      <c r="G2437" t="s">
        <v>3923</v>
      </c>
      <c r="H2437" t="str">
        <f t="shared" si="76"/>
        <v>https://videplast.com.br/consulta-imobilizado?id=11000078&amp;nome=SINALEIRO,%20LAMPADA,%20BOTAO,%20CONTADOR...</v>
      </c>
      <c r="I2437" t="e">
        <f t="shared" ca="1" si="77"/>
        <v>#NAME?</v>
      </c>
    </row>
    <row r="2438" spans="1:9" x14ac:dyDescent="0.25">
      <c r="A2438" s="2" t="s">
        <v>4076</v>
      </c>
      <c r="B2438" s="2" t="s">
        <v>126</v>
      </c>
      <c r="C2438" s="3">
        <v>39782</v>
      </c>
      <c r="D2438" t="s">
        <v>4086</v>
      </c>
      <c r="E2438" s="2" t="s">
        <v>12</v>
      </c>
      <c r="F2438" s="2" t="s">
        <v>12</v>
      </c>
      <c r="G2438" t="s">
        <v>3923</v>
      </c>
      <c r="H2438" t="str">
        <f t="shared" si="76"/>
        <v>https://videplast.com.br/consulta-imobilizado?id=11000078&amp;nome=CABO%20FLEXIVEL</v>
      </c>
      <c r="I2438" t="e">
        <f t="shared" ca="1" si="77"/>
        <v>#NAME?</v>
      </c>
    </row>
    <row r="2439" spans="1:9" x14ac:dyDescent="0.25">
      <c r="A2439" s="2" t="s">
        <v>4076</v>
      </c>
      <c r="B2439" s="2" t="s">
        <v>127</v>
      </c>
      <c r="C2439" s="3">
        <v>39782</v>
      </c>
      <c r="D2439" t="s">
        <v>4087</v>
      </c>
      <c r="E2439" s="2" t="s">
        <v>12</v>
      </c>
      <c r="F2439" s="2" t="s">
        <v>12</v>
      </c>
      <c r="G2439" t="s">
        <v>3923</v>
      </c>
      <c r="H2439" t="str">
        <f t="shared" si="76"/>
        <v>https://videplast.com.br/consulta-imobilizado?id=11000078&amp;nome=FRETE%20PARA%20TRANSPORTE%20DE%204%20EXAUSTOR</v>
      </c>
      <c r="I2439" t="e">
        <f t="shared" ca="1" si="77"/>
        <v>#NAME?</v>
      </c>
    </row>
    <row r="2440" spans="1:9" x14ac:dyDescent="0.25">
      <c r="A2440" s="2" t="s">
        <v>4076</v>
      </c>
      <c r="B2440" s="2" t="s">
        <v>128</v>
      </c>
      <c r="C2440" s="3">
        <v>39782</v>
      </c>
      <c r="D2440" t="s">
        <v>4088</v>
      </c>
      <c r="E2440" s="2" t="s">
        <v>12</v>
      </c>
      <c r="F2440" s="2" t="s">
        <v>12</v>
      </c>
      <c r="G2440" t="s">
        <v>3923</v>
      </c>
      <c r="H2440" t="str">
        <f t="shared" si="76"/>
        <v>https://videplast.com.br/consulta-imobilizado?id=11000078&amp;nome=EXAUSTOR%20AXIAL%20ED24%20MOTOR%200,5%20H%20P/4P%2060%20HZ</v>
      </c>
      <c r="I2440" t="e">
        <f t="shared" ca="1" si="77"/>
        <v>#NAME?</v>
      </c>
    </row>
    <row r="2441" spans="1:9" x14ac:dyDescent="0.25">
      <c r="A2441" s="2" t="s">
        <v>4076</v>
      </c>
      <c r="B2441" s="2" t="s">
        <v>623</v>
      </c>
      <c r="C2441" s="3">
        <v>39782</v>
      </c>
      <c r="D2441" t="s">
        <v>4089</v>
      </c>
      <c r="E2441" s="2" t="s">
        <v>12</v>
      </c>
      <c r="F2441" s="2" t="s">
        <v>12</v>
      </c>
      <c r="G2441" t="s">
        <v>3923</v>
      </c>
      <c r="H2441" t="str">
        <f t="shared" si="76"/>
        <v>https://videplast.com.br/consulta-imobilizado?id=11000078&amp;nome=CONTATOR,%20BOTAO,%20BLOCO,%20DISJUNTOR...</v>
      </c>
      <c r="I2441" t="e">
        <f t="shared" ca="1" si="77"/>
        <v>#NAME?</v>
      </c>
    </row>
    <row r="2442" spans="1:9" x14ac:dyDescent="0.25">
      <c r="A2442" s="2" t="s">
        <v>4076</v>
      </c>
      <c r="B2442" s="2" t="s">
        <v>625</v>
      </c>
      <c r="C2442" s="3">
        <v>39782</v>
      </c>
      <c r="D2442" t="s">
        <v>4090</v>
      </c>
      <c r="E2442" s="2" t="s">
        <v>12</v>
      </c>
      <c r="F2442" s="2" t="s">
        <v>12</v>
      </c>
      <c r="G2442" t="s">
        <v>3923</v>
      </c>
      <c r="H2442" t="str">
        <f t="shared" si="76"/>
        <v>https://videplast.com.br/consulta-imobilizado?id=11000078&amp;nome=FRETE%20PARA%20TRANSPORTE%20DE%20160%20MT%20ISOL.</v>
      </c>
      <c r="I2442" t="e">
        <f t="shared" ca="1" si="77"/>
        <v>#NAME?</v>
      </c>
    </row>
    <row r="2443" spans="1:9" x14ac:dyDescent="0.25">
      <c r="A2443" s="2" t="s">
        <v>4076</v>
      </c>
      <c r="B2443" s="2" t="s">
        <v>681</v>
      </c>
      <c r="C2443" s="3">
        <v>39782</v>
      </c>
      <c r="D2443" t="s">
        <v>4091</v>
      </c>
      <c r="E2443" s="2" t="s">
        <v>12</v>
      </c>
      <c r="F2443" s="2" t="s">
        <v>12</v>
      </c>
      <c r="G2443" t="s">
        <v>3923</v>
      </c>
      <c r="H2443" t="str">
        <f t="shared" si="76"/>
        <v>https://videplast.com.br/consulta-imobilizado?id=11000078&amp;nome=ISOLANTES%20TERMICOS%20E%204%20RL</v>
      </c>
      <c r="I2443" t="e">
        <f t="shared" ca="1" si="77"/>
        <v>#NAME?</v>
      </c>
    </row>
    <row r="2444" spans="1:9" x14ac:dyDescent="0.25">
      <c r="A2444" s="2" t="s">
        <v>4076</v>
      </c>
      <c r="B2444" s="2" t="s">
        <v>683</v>
      </c>
      <c r="C2444" s="3">
        <v>39782</v>
      </c>
      <c r="D2444" t="s">
        <v>4092</v>
      </c>
      <c r="E2444" s="2" t="s">
        <v>12</v>
      </c>
      <c r="F2444" s="2" t="s">
        <v>12</v>
      </c>
      <c r="G2444" t="s">
        <v>3923</v>
      </c>
      <c r="H2444" t="str">
        <f t="shared" si="76"/>
        <v>https://videplast.com.br/consulta-imobilizado?id=11000078&amp;nome=CABO%20FLEXIVEL,%20DISJUNTOR...</v>
      </c>
      <c r="I2444" t="e">
        <f t="shared" ca="1" si="77"/>
        <v>#NAME?</v>
      </c>
    </row>
    <row r="2445" spans="1:9" x14ac:dyDescent="0.25">
      <c r="A2445" s="2" t="s">
        <v>4076</v>
      </c>
      <c r="B2445" s="2" t="s">
        <v>685</v>
      </c>
      <c r="C2445" s="3">
        <v>39782</v>
      </c>
      <c r="D2445" t="s">
        <v>4093</v>
      </c>
      <c r="E2445" s="2" t="s">
        <v>12</v>
      </c>
      <c r="F2445" s="2" t="s">
        <v>12</v>
      </c>
      <c r="G2445" t="s">
        <v>3923</v>
      </c>
      <c r="H2445" t="str">
        <f t="shared" si="76"/>
        <v>https://videplast.com.br/consulta-imobilizado?id=11000078&amp;nome=CHAPA%20ZC%20REV%20SISTEMA%20DE%20EXAUSTAO%20DA</v>
      </c>
      <c r="I2445" t="e">
        <f t="shared" ca="1" si="77"/>
        <v>#NAME?</v>
      </c>
    </row>
    <row r="2446" spans="1:9" x14ac:dyDescent="0.25">
      <c r="A2446" s="2" t="s">
        <v>4076</v>
      </c>
      <c r="B2446" s="2" t="s">
        <v>627</v>
      </c>
      <c r="C2446" s="3">
        <v>39813</v>
      </c>
      <c r="D2446" t="s">
        <v>4094</v>
      </c>
      <c r="E2446" s="2" t="s">
        <v>12</v>
      </c>
      <c r="F2446" s="2" t="s">
        <v>12</v>
      </c>
      <c r="G2446" t="s">
        <v>3923</v>
      </c>
      <c r="H2446" t="str">
        <f t="shared" si="76"/>
        <v>https://videplast.com.br/consulta-imobilizado?id=11000078&amp;nome=CAMPANHA%20ALTA%20POTENCIA,%20PORTA%201478%20LAMP,</v>
      </c>
      <c r="I2446" t="e">
        <f t="shared" ca="1" si="77"/>
        <v>#NAME?</v>
      </c>
    </row>
    <row r="2447" spans="1:9" x14ac:dyDescent="0.25">
      <c r="A2447" s="2" t="s">
        <v>4076</v>
      </c>
      <c r="B2447" s="2" t="s">
        <v>688</v>
      </c>
      <c r="C2447" s="3">
        <v>39813</v>
      </c>
      <c r="D2447" t="s">
        <v>4095</v>
      </c>
      <c r="E2447" s="2" t="s">
        <v>12</v>
      </c>
      <c r="F2447" s="2" t="s">
        <v>12</v>
      </c>
      <c r="G2447" t="s">
        <v>3923</v>
      </c>
      <c r="H2447" t="str">
        <f t="shared" si="76"/>
        <v>https://videplast.com.br/consulta-imobilizado?id=11000078&amp;nome=ROLO%20DE%20MANTA%20ASFAL%20P/O%20SISTEMA%20DE%20EXAUSTAO</v>
      </c>
      <c r="I2447" t="e">
        <f t="shared" ca="1" si="77"/>
        <v>#NAME?</v>
      </c>
    </row>
    <row r="2448" spans="1:9" x14ac:dyDescent="0.25">
      <c r="A2448" s="2" t="s">
        <v>4076</v>
      </c>
      <c r="B2448" s="2" t="s">
        <v>629</v>
      </c>
      <c r="C2448" s="3">
        <v>39813</v>
      </c>
      <c r="D2448" t="s">
        <v>4096</v>
      </c>
      <c r="E2448" s="2" t="s">
        <v>12</v>
      </c>
      <c r="F2448" s="2" t="s">
        <v>12</v>
      </c>
      <c r="G2448" t="s">
        <v>3923</v>
      </c>
      <c r="H2448" t="str">
        <f t="shared" si="76"/>
        <v>https://videplast.com.br/consulta-imobilizado?id=11000078&amp;nome=COLA%20E%20GALAO%20DE%20TINTA%20P/O%20SISTEMA%20DE%20EXAUSTAO</v>
      </c>
      <c r="I2448" t="e">
        <f t="shared" ca="1" si="77"/>
        <v>#NAME?</v>
      </c>
    </row>
    <row r="2449" spans="1:9" x14ac:dyDescent="0.25">
      <c r="A2449" s="2" t="s">
        <v>4076</v>
      </c>
      <c r="B2449" s="2" t="s">
        <v>691</v>
      </c>
      <c r="C2449" s="3">
        <v>39813</v>
      </c>
      <c r="D2449" t="s">
        <v>4097</v>
      </c>
      <c r="E2449" s="2" t="s">
        <v>12</v>
      </c>
      <c r="F2449" s="2" t="s">
        <v>12</v>
      </c>
      <c r="G2449" t="s">
        <v>3923</v>
      </c>
      <c r="H2449" t="str">
        <f t="shared" si="76"/>
        <v>https://videplast.com.br/consulta-imobilizado?id=11000078&amp;nome=CATRACA%20P%20ARAME%20LISO%20P/O%20SISTEMA%20DE</v>
      </c>
      <c r="I2449" t="e">
        <f t="shared" ca="1" si="77"/>
        <v>#NAME?</v>
      </c>
    </row>
    <row r="2450" spans="1:9" x14ac:dyDescent="0.25">
      <c r="A2450" s="2" t="s">
        <v>4076</v>
      </c>
      <c r="B2450" s="2" t="s">
        <v>631</v>
      </c>
      <c r="C2450" s="3">
        <v>39813</v>
      </c>
      <c r="D2450" t="s">
        <v>4098</v>
      </c>
      <c r="E2450" s="2" t="s">
        <v>12</v>
      </c>
      <c r="F2450" s="2" t="s">
        <v>12</v>
      </c>
      <c r="G2450" t="s">
        <v>3923</v>
      </c>
      <c r="H2450" t="str">
        <f t="shared" si="76"/>
        <v>https://videplast.com.br/consulta-imobilizado?id=11000078&amp;nome=FRETE%20P/TRANSP%20DE%2030%20UNIFOIL%20FITA</v>
      </c>
      <c r="I2450" t="e">
        <f t="shared" ca="1" si="77"/>
        <v>#NAME?</v>
      </c>
    </row>
    <row r="2451" spans="1:9" x14ac:dyDescent="0.25">
      <c r="A2451" s="2" t="s">
        <v>4076</v>
      </c>
      <c r="B2451" s="2" t="s">
        <v>633</v>
      </c>
      <c r="C2451" s="3">
        <v>39813</v>
      </c>
      <c r="D2451" t="s">
        <v>4099</v>
      </c>
      <c r="E2451" s="2" t="s">
        <v>12</v>
      </c>
      <c r="F2451" s="2" t="s">
        <v>12</v>
      </c>
      <c r="G2451" t="s">
        <v>3923</v>
      </c>
      <c r="H2451" t="str">
        <f t="shared" si="76"/>
        <v>https://videplast.com.br/consulta-imobilizado?id=11000078&amp;nome=UNIFOIL%20FITA%20ADESIVA,%20ISOLANTE%20TERMICO%20TOP.</v>
      </c>
      <c r="I2451" t="e">
        <f t="shared" ca="1" si="77"/>
        <v>#NAME?</v>
      </c>
    </row>
    <row r="2452" spans="1:9" x14ac:dyDescent="0.25">
      <c r="A2452" s="2" t="s">
        <v>4076</v>
      </c>
      <c r="B2452" s="2" t="s">
        <v>635</v>
      </c>
      <c r="C2452" s="3">
        <v>39844</v>
      </c>
      <c r="D2452" t="s">
        <v>4100</v>
      </c>
      <c r="E2452" s="2" t="s">
        <v>12</v>
      </c>
      <c r="F2452" s="2" t="s">
        <v>12</v>
      </c>
      <c r="G2452" t="s">
        <v>3923</v>
      </c>
      <c r="H2452" t="str">
        <f t="shared" si="76"/>
        <v>https://videplast.com.br/consulta-imobilizado?id=11000078&amp;nome=CLORODIFLUORMETANO,%20FILTRO%20SEC%20E%201%20UC</v>
      </c>
      <c r="I2452" t="e">
        <f t="shared" ca="1" si="77"/>
        <v>#NAME?</v>
      </c>
    </row>
    <row r="2453" spans="1:9" x14ac:dyDescent="0.25">
      <c r="A2453" s="2" t="s">
        <v>4101</v>
      </c>
      <c r="B2453" s="2" t="s">
        <v>10</v>
      </c>
      <c r="C2453" s="3">
        <v>39782</v>
      </c>
      <c r="D2453" t="s">
        <v>4102</v>
      </c>
      <c r="E2453" s="2" t="s">
        <v>12</v>
      </c>
      <c r="F2453" s="2" t="s">
        <v>12</v>
      </c>
      <c r="G2453" t="s">
        <v>3923</v>
      </c>
      <c r="H2453" t="str">
        <f t="shared" si="76"/>
        <v>https://videplast.com.br/consulta-imobilizado?id=11000079&amp;nome=FRETE%20TRANSPORTE%20DE%206%20ARMADILHA%20ADESIVA%20LX-90/220</v>
      </c>
      <c r="I2453" t="e">
        <f t="shared" ca="1" si="77"/>
        <v>#NAME?</v>
      </c>
    </row>
    <row r="2454" spans="1:9" x14ac:dyDescent="0.25">
      <c r="A2454" s="2" t="s">
        <v>4103</v>
      </c>
      <c r="B2454" s="2" t="s">
        <v>10</v>
      </c>
      <c r="C2454" s="3">
        <v>39782</v>
      </c>
      <c r="D2454" t="s">
        <v>4104</v>
      </c>
      <c r="E2454" s="2" t="s">
        <v>12</v>
      </c>
      <c r="F2454" s="2" t="s">
        <v>12</v>
      </c>
      <c r="G2454" t="s">
        <v>3923</v>
      </c>
      <c r="H2454" t="str">
        <f t="shared" si="76"/>
        <v>https://videplast.com.br/consulta-imobilizado?id=11000080&amp;nome=ARMADILHA%20ADESIVA%20LATEX%20LX-90/220</v>
      </c>
      <c r="I2454" t="e">
        <f t="shared" ca="1" si="77"/>
        <v>#NAME?</v>
      </c>
    </row>
    <row r="2455" spans="1:9" x14ac:dyDescent="0.25">
      <c r="A2455" s="2" t="s">
        <v>4105</v>
      </c>
      <c r="B2455" s="2" t="s">
        <v>10</v>
      </c>
      <c r="C2455" s="3">
        <v>39844</v>
      </c>
      <c r="D2455" t="s">
        <v>4106</v>
      </c>
      <c r="E2455" s="2" t="s">
        <v>12</v>
      </c>
      <c r="F2455" s="2" t="s">
        <v>12</v>
      </c>
      <c r="G2455" t="s">
        <v>3923</v>
      </c>
      <c r="H2455" t="str">
        <f t="shared" si="76"/>
        <v>https://videplast.com.br/consulta-imobilizado?id=11000081&amp;nome=ARMADILHA%20ADESIVA%20LATERAL</v>
      </c>
      <c r="I2455" t="e">
        <f t="shared" ca="1" si="77"/>
        <v>#NAME?</v>
      </c>
    </row>
    <row r="2456" spans="1:9" x14ac:dyDescent="0.25">
      <c r="A2456" s="2" t="s">
        <v>4105</v>
      </c>
      <c r="B2456" s="2" t="s">
        <v>26</v>
      </c>
      <c r="C2456" s="3">
        <v>39844</v>
      </c>
      <c r="D2456" t="s">
        <v>4107</v>
      </c>
      <c r="E2456" s="2" t="s">
        <v>12</v>
      </c>
      <c r="F2456" s="2" t="s">
        <v>12</v>
      </c>
      <c r="G2456" t="s">
        <v>3923</v>
      </c>
      <c r="H2456" t="str">
        <f t="shared" si="76"/>
        <v>https://videplast.com.br/consulta-imobilizado?id=11000081&amp;nome=FRETE%20PARATRANSPORTE%20DE%203%20ARMADILHA%20ADESIVA%20LATERA</v>
      </c>
      <c r="I2456" t="e">
        <f t="shared" ca="1" si="77"/>
        <v>#NAME?</v>
      </c>
    </row>
    <row r="2457" spans="1:9" x14ac:dyDescent="0.25">
      <c r="A2457" s="2" t="s">
        <v>4108</v>
      </c>
      <c r="B2457" s="2" t="s">
        <v>10</v>
      </c>
      <c r="C2457" s="3">
        <v>39872</v>
      </c>
      <c r="D2457" t="s">
        <v>4109</v>
      </c>
      <c r="E2457" s="2" t="s">
        <v>12</v>
      </c>
      <c r="F2457" s="2" t="s">
        <v>12</v>
      </c>
      <c r="G2457" t="s">
        <v>3923</v>
      </c>
      <c r="H2457" t="str">
        <f t="shared" si="76"/>
        <v>https://videplast.com.br/consulta-imobilizado?id=11000082&amp;nome=PAINEL%20EVAPORATIVO%20CELDEK%2012X60X180%20CM</v>
      </c>
      <c r="I2457" t="e">
        <f t="shared" ca="1" si="77"/>
        <v>#NAME?</v>
      </c>
    </row>
    <row r="2458" spans="1:9" x14ac:dyDescent="0.25">
      <c r="A2458" s="2" t="s">
        <v>4110</v>
      </c>
      <c r="B2458" s="2" t="s">
        <v>10</v>
      </c>
      <c r="C2458" s="3">
        <v>39933</v>
      </c>
      <c r="D2458" t="s">
        <v>4111</v>
      </c>
      <c r="E2458" s="2" t="s">
        <v>12</v>
      </c>
      <c r="F2458" s="2" t="s">
        <v>12</v>
      </c>
      <c r="G2458" t="s">
        <v>3923</v>
      </c>
      <c r="H2458" t="str">
        <f t="shared" si="76"/>
        <v>https://videplast.com.br/consulta-imobilizado?id=11000085&amp;nome=CABO%20OPTICO%20MONOMODO,%20CONVERSOR,%20MODULO</v>
      </c>
      <c r="I2458" t="e">
        <f t="shared" ca="1" si="77"/>
        <v>#NAME?</v>
      </c>
    </row>
    <row r="2459" spans="1:9" x14ac:dyDescent="0.25">
      <c r="A2459" s="2" t="s">
        <v>4110</v>
      </c>
      <c r="B2459" s="2" t="s">
        <v>26</v>
      </c>
      <c r="C2459" s="3">
        <v>39933</v>
      </c>
      <c r="D2459" t="s">
        <v>4112</v>
      </c>
      <c r="E2459" s="2" t="s">
        <v>12</v>
      </c>
      <c r="F2459" s="2" t="s">
        <v>12</v>
      </c>
      <c r="G2459" t="s">
        <v>3923</v>
      </c>
      <c r="H2459" t="str">
        <f t="shared" si="76"/>
        <v>https://videplast.com.br/consulta-imobilizado?id=11000085&amp;nome=FRETE%20P/TRANSPORTE%20DE%20%20DE%20490%20MTS%20DE%20CABO%20OPTICO</v>
      </c>
      <c r="I2459" t="e">
        <f t="shared" ca="1" si="77"/>
        <v>#NAME?</v>
      </c>
    </row>
    <row r="2460" spans="1:9" x14ac:dyDescent="0.25">
      <c r="A2460" s="2" t="s">
        <v>4113</v>
      </c>
      <c r="B2460" s="2" t="s">
        <v>10</v>
      </c>
      <c r="C2460" s="3">
        <v>39964</v>
      </c>
      <c r="D2460" t="s">
        <v>4114</v>
      </c>
      <c r="E2460" s="2" t="s">
        <v>12</v>
      </c>
      <c r="F2460" s="2" t="s">
        <v>12</v>
      </c>
      <c r="G2460" t="s">
        <v>3923</v>
      </c>
      <c r="H2460" t="str">
        <f t="shared" si="76"/>
        <v>https://videplast.com.br/consulta-imobilizado?id=11000086&amp;nome=CABO%20MULTILAN-FLEX</v>
      </c>
      <c r="I2460" t="e">
        <f t="shared" ca="1" si="77"/>
        <v>#NAME?</v>
      </c>
    </row>
    <row r="2461" spans="1:9" x14ac:dyDescent="0.25">
      <c r="A2461" s="2" t="s">
        <v>4115</v>
      </c>
      <c r="B2461" s="2" t="s">
        <v>10</v>
      </c>
      <c r="C2461" s="3">
        <v>39964</v>
      </c>
      <c r="D2461" t="s">
        <v>4116</v>
      </c>
      <c r="E2461" s="2" t="s">
        <v>12</v>
      </c>
      <c r="F2461" s="2" t="s">
        <v>12</v>
      </c>
      <c r="G2461" t="s">
        <v>3923</v>
      </c>
      <c r="H2461" t="str">
        <f t="shared" si="76"/>
        <v>https://videplast.com.br/consulta-imobilizado?id=11000087&amp;nome=GALOES%20DE%20TINTA%20ESM.</v>
      </c>
      <c r="I2461" t="e">
        <f t="shared" ca="1" si="77"/>
        <v>#NAME?</v>
      </c>
    </row>
    <row r="2462" spans="1:9" x14ac:dyDescent="0.25">
      <c r="A2462" s="2" t="s">
        <v>4117</v>
      </c>
      <c r="B2462" s="2" t="s">
        <v>10</v>
      </c>
      <c r="C2462" s="3">
        <v>39994</v>
      </c>
      <c r="D2462" t="s">
        <v>4118</v>
      </c>
      <c r="E2462" s="2" t="s">
        <v>12</v>
      </c>
      <c r="F2462" s="2" t="s">
        <v>12</v>
      </c>
      <c r="G2462" t="s">
        <v>3923</v>
      </c>
      <c r="H2462" t="str">
        <f t="shared" si="76"/>
        <v>https://videplast.com.br/consulta-imobilizado?id=11000088&amp;nome=GALOES%20ESM.%20EPOXI%20CORAL%20E%20DILUENTE</v>
      </c>
      <c r="I2462" t="e">
        <f t="shared" ca="1" si="77"/>
        <v>#NAME?</v>
      </c>
    </row>
    <row r="2463" spans="1:9" x14ac:dyDescent="0.25">
      <c r="A2463" s="2" t="s">
        <v>4119</v>
      </c>
      <c r="B2463" s="2" t="s">
        <v>10</v>
      </c>
      <c r="C2463" s="3">
        <v>39994</v>
      </c>
      <c r="D2463" t="s">
        <v>4120</v>
      </c>
      <c r="E2463" s="2" t="s">
        <v>12</v>
      </c>
      <c r="F2463" s="2" t="s">
        <v>12</v>
      </c>
      <c r="G2463" t="s">
        <v>3923</v>
      </c>
      <c r="H2463" t="str">
        <f t="shared" si="76"/>
        <v>https://videplast.com.br/consulta-imobilizado?id=11000089&amp;nome=CAIXA%20D'AGUA%20FIBRA%20BAXOF%20PARA%20FABRICA</v>
      </c>
      <c r="I2463" t="e">
        <f t="shared" ca="1" si="77"/>
        <v>#NAME?</v>
      </c>
    </row>
    <row r="2464" spans="1:9" x14ac:dyDescent="0.25">
      <c r="A2464" s="2" t="s">
        <v>4119</v>
      </c>
      <c r="B2464" s="2" t="s">
        <v>26</v>
      </c>
      <c r="C2464" s="3">
        <v>40025</v>
      </c>
      <c r="D2464" t="s">
        <v>4121</v>
      </c>
      <c r="E2464" s="2" t="s">
        <v>12</v>
      </c>
      <c r="F2464" s="2" t="s">
        <v>12</v>
      </c>
      <c r="G2464" t="s">
        <v>3923</v>
      </c>
      <c r="H2464" t="str">
        <f t="shared" si="76"/>
        <v>https://videplast.com.br/consulta-imobilizado?id=11000089&amp;nome=TUBO,%20JOELHO,%20NIPEL,%20VALVULA...</v>
      </c>
      <c r="I2464" t="e">
        <f t="shared" ca="1" si="77"/>
        <v>#NAME?</v>
      </c>
    </row>
    <row r="2465" spans="1:9" x14ac:dyDescent="0.25">
      <c r="A2465" s="2" t="s">
        <v>4119</v>
      </c>
      <c r="B2465" s="2" t="s">
        <v>21</v>
      </c>
      <c r="C2465" s="3">
        <v>40025</v>
      </c>
      <c r="D2465" t="s">
        <v>4122</v>
      </c>
      <c r="E2465" s="2" t="s">
        <v>12</v>
      </c>
      <c r="F2465" s="2" t="s">
        <v>12</v>
      </c>
      <c r="G2465" t="s">
        <v>3923</v>
      </c>
      <c r="H2465" t="str">
        <f t="shared" si="76"/>
        <v>https://videplast.com.br/consulta-imobilizado?id=11000089&amp;nome=SACOS%20DE%20CIMENTO,%20TIJOLOS,%20AREIA,%20BARRA</v>
      </c>
      <c r="I2465" t="e">
        <f t="shared" ca="1" si="77"/>
        <v>#NAME?</v>
      </c>
    </row>
    <row r="2466" spans="1:9" x14ac:dyDescent="0.25">
      <c r="A2466" s="2" t="s">
        <v>4123</v>
      </c>
      <c r="B2466" s="2" t="s">
        <v>10</v>
      </c>
      <c r="C2466" s="3">
        <v>39994</v>
      </c>
      <c r="D2466" t="s">
        <v>4124</v>
      </c>
      <c r="E2466" s="2" t="s">
        <v>12</v>
      </c>
      <c r="F2466" s="2" t="s">
        <v>12</v>
      </c>
      <c r="G2466" t="s">
        <v>3923</v>
      </c>
      <c r="H2466" t="str">
        <f t="shared" si="76"/>
        <v>https://videplast.com.br/consulta-imobilizado?id=11000090&amp;nome=TUBO%20E%20CHAPA%20P/%20CONST.%20DA%20RAMPA%20DE%20DESCARGA</v>
      </c>
      <c r="I2466" t="e">
        <f t="shared" ca="1" si="77"/>
        <v>#NAME?</v>
      </c>
    </row>
    <row r="2467" spans="1:9" x14ac:dyDescent="0.25">
      <c r="A2467" s="2" t="s">
        <v>4123</v>
      </c>
      <c r="B2467" s="2" t="s">
        <v>26</v>
      </c>
      <c r="C2467" s="3">
        <v>39994</v>
      </c>
      <c r="D2467" t="s">
        <v>4125</v>
      </c>
      <c r="E2467" s="2" t="s">
        <v>12</v>
      </c>
      <c r="F2467" s="2" t="s">
        <v>12</v>
      </c>
      <c r="G2467" t="s">
        <v>3923</v>
      </c>
      <c r="H2467" t="str">
        <f t="shared" si="76"/>
        <v>https://videplast.com.br/consulta-imobilizado?id=11000090&amp;nome=CHAPA%20EXP%20PARA%20CONSTRUCAO%20DA%20RAMPA%20DE%20DESCARGA</v>
      </c>
      <c r="I2467" t="e">
        <f t="shared" ca="1" si="77"/>
        <v>#NAME?</v>
      </c>
    </row>
    <row r="2468" spans="1:9" x14ac:dyDescent="0.25">
      <c r="A2468" s="2" t="s">
        <v>4126</v>
      </c>
      <c r="B2468" s="2" t="s">
        <v>10</v>
      </c>
      <c r="C2468" s="3">
        <v>40147</v>
      </c>
      <c r="D2468" t="s">
        <v>4127</v>
      </c>
      <c r="E2468" s="2" t="s">
        <v>12</v>
      </c>
      <c r="F2468" s="2" t="s">
        <v>12</v>
      </c>
      <c r="G2468" t="s">
        <v>3923</v>
      </c>
      <c r="H2468" t="str">
        <f t="shared" si="76"/>
        <v>https://videplast.com.br/consulta-imobilizado?id=11000092&amp;nome=PERFIL,%20TELHA%20GAL.%20E%20CUMEIRA</v>
      </c>
      <c r="I2468" t="e">
        <f t="shared" ca="1" si="77"/>
        <v>#NAME?</v>
      </c>
    </row>
    <row r="2469" spans="1:9" x14ac:dyDescent="0.25">
      <c r="A2469" s="2" t="s">
        <v>4126</v>
      </c>
      <c r="B2469" s="2" t="s">
        <v>26</v>
      </c>
      <c r="C2469" s="3">
        <v>40147</v>
      </c>
      <c r="D2469" t="s">
        <v>4128</v>
      </c>
      <c r="E2469" s="2" t="s">
        <v>12</v>
      </c>
      <c r="F2469" s="2" t="s">
        <v>12</v>
      </c>
      <c r="G2469" t="s">
        <v>3923</v>
      </c>
      <c r="H2469" t="str">
        <f t="shared" si="76"/>
        <v>https://videplast.com.br/consulta-imobilizado?id=11000092&amp;nome=SERVICO%20PARA%20CONSTRUCAO%20DA%20SALA%20DE%20SOLVENTE</v>
      </c>
      <c r="I2469" t="e">
        <f t="shared" ca="1" si="77"/>
        <v>#NAME?</v>
      </c>
    </row>
    <row r="2470" spans="1:9" x14ac:dyDescent="0.25">
      <c r="A2470" s="2" t="s">
        <v>4126</v>
      </c>
      <c r="B2470" s="2" t="s">
        <v>21</v>
      </c>
      <c r="C2470" s="3">
        <v>40147</v>
      </c>
      <c r="D2470" t="s">
        <v>4129</v>
      </c>
      <c r="E2470" s="2" t="s">
        <v>12</v>
      </c>
      <c r="F2470" s="2" t="s">
        <v>12</v>
      </c>
      <c r="G2470" t="s">
        <v>3923</v>
      </c>
      <c r="H2470" t="str">
        <f t="shared" si="76"/>
        <v>https://videplast.com.br/consulta-imobilizado?id=11000092&amp;nome=CANTONEIRA,%20DISCO,%20ELET,%20FECHO%20DE%20FE,%20PARAFUSO</v>
      </c>
      <c r="I2470" t="e">
        <f t="shared" ca="1" si="77"/>
        <v>#NAME?</v>
      </c>
    </row>
    <row r="2471" spans="1:9" x14ac:dyDescent="0.25">
      <c r="A2471" s="2" t="s">
        <v>4126</v>
      </c>
      <c r="B2471" s="2" t="s">
        <v>29</v>
      </c>
      <c r="C2471" s="3">
        <v>40147</v>
      </c>
      <c r="D2471" t="s">
        <v>4130</v>
      </c>
      <c r="E2471" s="2" t="s">
        <v>12</v>
      </c>
      <c r="F2471" s="2" t="s">
        <v>12</v>
      </c>
      <c r="G2471" t="s">
        <v>3923</v>
      </c>
      <c r="H2471" t="str">
        <f t="shared" si="76"/>
        <v>https://videplast.com.br/consulta-imobilizado?id=11000092&amp;nome=PARAFUSO%20P/CONSTRUCAO%20DO%20GALPAO</v>
      </c>
      <c r="I2471" t="e">
        <f t="shared" ca="1" si="77"/>
        <v>#NAME?</v>
      </c>
    </row>
    <row r="2472" spans="1:9" x14ac:dyDescent="0.25">
      <c r="A2472" s="2" t="s">
        <v>4126</v>
      </c>
      <c r="B2472" s="2" t="s">
        <v>31</v>
      </c>
      <c r="C2472" s="3">
        <v>40147</v>
      </c>
      <c r="D2472" t="s">
        <v>4128</v>
      </c>
      <c r="E2472" s="2" t="s">
        <v>12</v>
      </c>
      <c r="F2472" s="2" t="s">
        <v>12</v>
      </c>
      <c r="G2472" t="s">
        <v>3923</v>
      </c>
      <c r="H2472" t="str">
        <f t="shared" si="76"/>
        <v>https://videplast.com.br/consulta-imobilizado?id=11000092&amp;nome=SERVICO%20PARA%20CONSTRUCAO%20DA%20SALA%20DE%20SOLVENTE</v>
      </c>
      <c r="I2472" t="e">
        <f t="shared" ca="1" si="77"/>
        <v>#NAME?</v>
      </c>
    </row>
    <row r="2473" spans="1:9" x14ac:dyDescent="0.25">
      <c r="A2473" s="2" t="s">
        <v>4126</v>
      </c>
      <c r="B2473" s="2" t="s">
        <v>33</v>
      </c>
      <c r="C2473" s="3">
        <v>40178</v>
      </c>
      <c r="D2473" t="s">
        <v>4131</v>
      </c>
      <c r="E2473" s="2" t="s">
        <v>12</v>
      </c>
      <c r="F2473" s="2" t="s">
        <v>12</v>
      </c>
      <c r="G2473" t="s">
        <v>3923</v>
      </c>
      <c r="H2473" t="str">
        <f t="shared" si="76"/>
        <v>https://videplast.com.br/consulta-imobilizado?id=11000092&amp;nome=BARRA%20ROSCADA%20,%20PA%20AUTO%20-%20BROCANTE%2012%20X%203/4</v>
      </c>
      <c r="I2473" t="e">
        <f t="shared" ca="1" si="77"/>
        <v>#NAME?</v>
      </c>
    </row>
    <row r="2474" spans="1:9" x14ac:dyDescent="0.25">
      <c r="A2474" s="2" t="s">
        <v>4126</v>
      </c>
      <c r="B2474" s="2" t="s">
        <v>35</v>
      </c>
      <c r="C2474" s="3">
        <v>40178</v>
      </c>
      <c r="D2474" t="s">
        <v>4132</v>
      </c>
      <c r="E2474" s="2" t="s">
        <v>12</v>
      </c>
      <c r="F2474" s="2" t="s">
        <v>12</v>
      </c>
      <c r="G2474" t="s">
        <v>3923</v>
      </c>
      <c r="H2474" t="str">
        <f t="shared" si="76"/>
        <v>https://videplast.com.br/consulta-imobilizado?id=11000092&amp;nome=BOBININHA%20ZINC.0.50%20X%20400</v>
      </c>
      <c r="I2474" t="e">
        <f t="shared" ca="1" si="77"/>
        <v>#NAME?</v>
      </c>
    </row>
    <row r="2475" spans="1:9" x14ac:dyDescent="0.25">
      <c r="A2475" s="2" t="s">
        <v>4126</v>
      </c>
      <c r="B2475" s="2" t="s">
        <v>37</v>
      </c>
      <c r="C2475" s="3">
        <v>40178</v>
      </c>
      <c r="D2475" t="s">
        <v>4133</v>
      </c>
      <c r="E2475" s="2" t="s">
        <v>12</v>
      </c>
      <c r="F2475" s="2" t="s">
        <v>12</v>
      </c>
      <c r="G2475" t="s">
        <v>3923</v>
      </c>
      <c r="H2475" t="str">
        <f t="shared" si="76"/>
        <v>https://videplast.com.br/consulta-imobilizado?id=11000092&amp;nome=TELHA%20PARA%20CONSTRUCAO%20DO%20BARRACAO%20DE%20SOLVENTE</v>
      </c>
      <c r="I2475" t="e">
        <f t="shared" ca="1" si="77"/>
        <v>#NAME?</v>
      </c>
    </row>
    <row r="2476" spans="1:9" x14ac:dyDescent="0.25">
      <c r="A2476" s="2" t="s">
        <v>4126</v>
      </c>
      <c r="B2476" s="2" t="s">
        <v>39</v>
      </c>
      <c r="C2476" s="3">
        <v>40178</v>
      </c>
      <c r="D2476" t="s">
        <v>4133</v>
      </c>
      <c r="E2476" s="2" t="s">
        <v>12</v>
      </c>
      <c r="F2476" s="2" t="s">
        <v>12</v>
      </c>
      <c r="G2476" t="s">
        <v>3923</v>
      </c>
      <c r="H2476" t="str">
        <f t="shared" si="76"/>
        <v>https://videplast.com.br/consulta-imobilizado?id=11000092&amp;nome=TELHA%20PARA%20CONSTRUCAO%20DO%20BARRACAO%20DE%20SOLVENTE</v>
      </c>
      <c r="I2476" t="e">
        <f t="shared" ca="1" si="77"/>
        <v>#NAME?</v>
      </c>
    </row>
    <row r="2477" spans="1:9" x14ac:dyDescent="0.25">
      <c r="A2477" s="2" t="s">
        <v>4126</v>
      </c>
      <c r="B2477" s="2" t="s">
        <v>126</v>
      </c>
      <c r="C2477" s="3">
        <v>40178</v>
      </c>
      <c r="D2477" t="s">
        <v>4134</v>
      </c>
      <c r="E2477" s="2" t="s">
        <v>12</v>
      </c>
      <c r="F2477" s="2" t="s">
        <v>12</v>
      </c>
      <c r="G2477" t="s">
        <v>3923</v>
      </c>
      <c r="H2477" t="str">
        <f t="shared" si="76"/>
        <v>https://videplast.com.br/consulta-imobilizado?id=11000092&amp;nome=SERVICO%20DE%20MONTAGEM%20DE%20BARRACAO%20DE%20SOLVENTE</v>
      </c>
      <c r="I2477" t="e">
        <f t="shared" ca="1" si="77"/>
        <v>#NAME?</v>
      </c>
    </row>
    <row r="2478" spans="1:9" x14ac:dyDescent="0.25">
      <c r="A2478" s="2" t="s">
        <v>4126</v>
      </c>
      <c r="B2478" s="2" t="s">
        <v>127</v>
      </c>
      <c r="C2478" s="3">
        <v>40178</v>
      </c>
      <c r="D2478" t="s">
        <v>4135</v>
      </c>
      <c r="E2478" s="2" t="s">
        <v>12</v>
      </c>
      <c r="F2478" s="2" t="s">
        <v>12</v>
      </c>
      <c r="G2478" t="s">
        <v>3923</v>
      </c>
      <c r="H2478" t="str">
        <f t="shared" si="76"/>
        <v>https://videplast.com.br/consulta-imobilizado?id=11000092&amp;nome=PERFIL,%20CHAPA,%20FERRO,%20CANTONEIRA</v>
      </c>
      <c r="I2478" t="e">
        <f t="shared" ca="1" si="77"/>
        <v>#NAME?</v>
      </c>
    </row>
    <row r="2479" spans="1:9" x14ac:dyDescent="0.25">
      <c r="A2479" s="2" t="s">
        <v>4126</v>
      </c>
      <c r="B2479" s="2" t="s">
        <v>128</v>
      </c>
      <c r="C2479" s="3">
        <v>40178</v>
      </c>
      <c r="D2479" t="s">
        <v>4136</v>
      </c>
      <c r="E2479" s="2" t="s">
        <v>12</v>
      </c>
      <c r="F2479" s="2" t="s">
        <v>12</v>
      </c>
      <c r="G2479" t="s">
        <v>3923</v>
      </c>
      <c r="H2479" t="str">
        <f t="shared" si="76"/>
        <v>https://videplast.com.br/consulta-imobilizado?id=11000092&amp;nome=MANTA%20ALUMINIZADA%20E%20DISCO%20DE%20CORTE</v>
      </c>
      <c r="I2479" t="e">
        <f t="shared" ca="1" si="77"/>
        <v>#NAME?</v>
      </c>
    </row>
    <row r="2480" spans="1:9" x14ac:dyDescent="0.25">
      <c r="A2480" s="2" t="s">
        <v>4126</v>
      </c>
      <c r="B2480" s="2" t="s">
        <v>623</v>
      </c>
      <c r="C2480" s="3">
        <v>40178</v>
      </c>
      <c r="D2480" t="s">
        <v>4137</v>
      </c>
      <c r="E2480" s="2" t="s">
        <v>12</v>
      </c>
      <c r="F2480" s="2" t="s">
        <v>12</v>
      </c>
      <c r="G2480" t="s">
        <v>3923</v>
      </c>
      <c r="H2480" t="str">
        <f t="shared" si="76"/>
        <v>https://videplast.com.br/consulta-imobilizado?id=11000092&amp;nome=COLA,%20DISCO,%20REBITE,%20ARRUELA%20LISA</v>
      </c>
      <c r="I2480" t="e">
        <f t="shared" ca="1" si="77"/>
        <v>#NAME?</v>
      </c>
    </row>
    <row r="2481" spans="1:9" x14ac:dyDescent="0.25">
      <c r="A2481" s="2" t="s">
        <v>4138</v>
      </c>
      <c r="B2481" s="2" t="s">
        <v>10</v>
      </c>
      <c r="C2481" s="3">
        <v>40237</v>
      </c>
      <c r="D2481" t="s">
        <v>4139</v>
      </c>
      <c r="E2481" s="2" t="s">
        <v>12</v>
      </c>
      <c r="F2481" s="2" t="s">
        <v>12</v>
      </c>
      <c r="G2481" t="s">
        <v>3923</v>
      </c>
      <c r="H2481" t="str">
        <f t="shared" si="76"/>
        <v>https://videplast.com.br/consulta-imobilizado?id=11000093&amp;nome=BRITA%20PARA%20CONSTRUCAO%20DE%20BLOQUETES%20PATIO%20FABRICA</v>
      </c>
      <c r="I2481" t="e">
        <f t="shared" ca="1" si="77"/>
        <v>#NAME?</v>
      </c>
    </row>
    <row r="2482" spans="1:9" x14ac:dyDescent="0.25">
      <c r="A2482" s="2" t="s">
        <v>4138</v>
      </c>
      <c r="B2482" s="2" t="s">
        <v>26</v>
      </c>
      <c r="C2482" s="3">
        <v>40237</v>
      </c>
      <c r="D2482" t="s">
        <v>4140</v>
      </c>
      <c r="E2482" s="2" t="s">
        <v>12</v>
      </c>
      <c r="F2482" s="2" t="s">
        <v>12</v>
      </c>
      <c r="G2482" t="s">
        <v>3923</v>
      </c>
      <c r="H2482" t="str">
        <f t="shared" si="76"/>
        <v>https://videplast.com.br/consulta-imobilizado?id=11000093&amp;nome=PO%20BRITA%20PARA%20CONSTRUCAO%20DE%20BLOQUETES%20PATIO%20FABRIC</v>
      </c>
      <c r="I2482" t="e">
        <f t="shared" ca="1" si="77"/>
        <v>#NAME?</v>
      </c>
    </row>
    <row r="2483" spans="1:9" x14ac:dyDescent="0.25">
      <c r="A2483" s="2" t="s">
        <v>4138</v>
      </c>
      <c r="B2483" s="2" t="s">
        <v>21</v>
      </c>
      <c r="C2483" s="3">
        <v>40237</v>
      </c>
      <c r="D2483" t="s">
        <v>4141</v>
      </c>
      <c r="E2483" s="2" t="s">
        <v>12</v>
      </c>
      <c r="F2483" s="2" t="s">
        <v>12</v>
      </c>
      <c r="G2483" t="s">
        <v>3923</v>
      </c>
      <c r="H2483" t="str">
        <f t="shared" si="76"/>
        <v>https://videplast.com.br/consulta-imobilizado?id=11000093&amp;nome=BRITA%203/4</v>
      </c>
      <c r="I2483" t="e">
        <f t="shared" ca="1" si="77"/>
        <v>#NAME?</v>
      </c>
    </row>
    <row r="2484" spans="1:9" x14ac:dyDescent="0.25">
      <c r="A2484" s="2" t="s">
        <v>4138</v>
      </c>
      <c r="B2484" s="2" t="s">
        <v>29</v>
      </c>
      <c r="C2484" s="3">
        <v>40237</v>
      </c>
      <c r="D2484" t="s">
        <v>4142</v>
      </c>
      <c r="E2484" s="2" t="s">
        <v>12</v>
      </c>
      <c r="F2484" s="2" t="s">
        <v>12</v>
      </c>
      <c r="G2484" t="s">
        <v>3923</v>
      </c>
      <c r="H2484" t="str">
        <f t="shared" si="76"/>
        <v>https://videplast.com.br/consulta-imobilizado?id=11000093&amp;nome=MANGUEIRA%20JARD%20BARIFLEX%20VERDE1/2%20X%202,0</v>
      </c>
      <c r="I2484" t="e">
        <f t="shared" ca="1" si="77"/>
        <v>#NAME?</v>
      </c>
    </row>
    <row r="2485" spans="1:9" x14ac:dyDescent="0.25">
      <c r="A2485" s="2" t="s">
        <v>4138</v>
      </c>
      <c r="B2485" s="2" t="s">
        <v>31</v>
      </c>
      <c r="C2485" s="3">
        <v>40237</v>
      </c>
      <c r="D2485" t="s">
        <v>4143</v>
      </c>
      <c r="E2485" s="2" t="s">
        <v>12</v>
      </c>
      <c r="F2485" s="2" t="s">
        <v>12</v>
      </c>
      <c r="G2485" t="s">
        <v>3923</v>
      </c>
      <c r="H2485" t="str">
        <f t="shared" si="76"/>
        <v>https://videplast.com.br/consulta-imobilizado?id=11000093&amp;nome=SACOS%20DE%20CIMENTO%20CIMPOR%2050KG</v>
      </c>
      <c r="I2485" t="e">
        <f t="shared" ca="1" si="77"/>
        <v>#NAME?</v>
      </c>
    </row>
    <row r="2486" spans="1:9" x14ac:dyDescent="0.25">
      <c r="A2486" s="2" t="s">
        <v>4138</v>
      </c>
      <c r="B2486" s="2" t="s">
        <v>33</v>
      </c>
      <c r="C2486" s="3">
        <v>40237</v>
      </c>
      <c r="D2486" t="s">
        <v>4143</v>
      </c>
      <c r="E2486" s="2" t="s">
        <v>12</v>
      </c>
      <c r="F2486" s="2" t="s">
        <v>12</v>
      </c>
      <c r="G2486" t="s">
        <v>3923</v>
      </c>
      <c r="H2486" t="str">
        <f t="shared" si="76"/>
        <v>https://videplast.com.br/consulta-imobilizado?id=11000093&amp;nome=SACOS%20DE%20CIMENTO%20CIMPOR%2050KG</v>
      </c>
      <c r="I2486" t="e">
        <f t="shared" ca="1" si="77"/>
        <v>#NAME?</v>
      </c>
    </row>
    <row r="2487" spans="1:9" x14ac:dyDescent="0.25">
      <c r="A2487" s="2" t="s">
        <v>4138</v>
      </c>
      <c r="B2487" s="2" t="s">
        <v>35</v>
      </c>
      <c r="C2487" s="3">
        <v>40237</v>
      </c>
      <c r="D2487" t="s">
        <v>4141</v>
      </c>
      <c r="E2487" s="2" t="s">
        <v>12</v>
      </c>
      <c r="F2487" s="2" t="s">
        <v>12</v>
      </c>
      <c r="G2487" t="s">
        <v>3923</v>
      </c>
      <c r="H2487" t="str">
        <f t="shared" si="76"/>
        <v>https://videplast.com.br/consulta-imobilizado?id=11000093&amp;nome=BRITA%203/4</v>
      </c>
      <c r="I2487" t="e">
        <f t="shared" ca="1" si="77"/>
        <v>#NAME?</v>
      </c>
    </row>
    <row r="2488" spans="1:9" x14ac:dyDescent="0.25">
      <c r="A2488" s="2" t="s">
        <v>4138</v>
      </c>
      <c r="B2488" s="2" t="s">
        <v>37</v>
      </c>
      <c r="C2488" s="3">
        <v>40237</v>
      </c>
      <c r="D2488" t="s">
        <v>4144</v>
      </c>
      <c r="E2488" s="2" t="s">
        <v>12</v>
      </c>
      <c r="F2488" s="2" t="s">
        <v>12</v>
      </c>
      <c r="G2488" t="s">
        <v>3923</v>
      </c>
      <c r="H2488" t="str">
        <f t="shared" si="76"/>
        <v>https://videplast.com.br/consulta-imobilizado?id=11000093&amp;nome=AREIA%20GROSSA</v>
      </c>
      <c r="I2488" t="e">
        <f t="shared" ca="1" si="77"/>
        <v>#NAME?</v>
      </c>
    </row>
    <row r="2489" spans="1:9" x14ac:dyDescent="0.25">
      <c r="A2489" s="2" t="s">
        <v>4138</v>
      </c>
      <c r="B2489" s="2" t="s">
        <v>39</v>
      </c>
      <c r="C2489" s="3">
        <v>40237</v>
      </c>
      <c r="D2489" t="s">
        <v>4144</v>
      </c>
      <c r="E2489" s="2" t="s">
        <v>12</v>
      </c>
      <c r="F2489" s="2" t="s">
        <v>12</v>
      </c>
      <c r="G2489" t="s">
        <v>3923</v>
      </c>
      <c r="H2489" t="str">
        <f t="shared" si="76"/>
        <v>https://videplast.com.br/consulta-imobilizado?id=11000093&amp;nome=AREIA%20GROSSA</v>
      </c>
      <c r="I2489" t="e">
        <f t="shared" ca="1" si="77"/>
        <v>#NAME?</v>
      </c>
    </row>
    <row r="2490" spans="1:9" x14ac:dyDescent="0.25">
      <c r="A2490" s="2" t="s">
        <v>4138</v>
      </c>
      <c r="B2490" s="2" t="s">
        <v>126</v>
      </c>
      <c r="C2490" s="3">
        <v>40268</v>
      </c>
      <c r="D2490" t="s">
        <v>4143</v>
      </c>
      <c r="E2490" s="2" t="s">
        <v>12</v>
      </c>
      <c r="F2490" s="2" t="s">
        <v>12</v>
      </c>
      <c r="G2490" t="s">
        <v>3923</v>
      </c>
      <c r="H2490" t="str">
        <f t="shared" si="76"/>
        <v>https://videplast.com.br/consulta-imobilizado?id=11000093&amp;nome=SACOS%20DE%20CIMENTO%20CIMPOR%2050KG</v>
      </c>
      <c r="I2490" t="e">
        <f t="shared" ca="1" si="77"/>
        <v>#NAME?</v>
      </c>
    </row>
    <row r="2491" spans="1:9" x14ac:dyDescent="0.25">
      <c r="A2491" s="2" t="s">
        <v>4138</v>
      </c>
      <c r="B2491" s="2" t="s">
        <v>127</v>
      </c>
      <c r="C2491" s="3">
        <v>40268</v>
      </c>
      <c r="D2491" t="s">
        <v>4145</v>
      </c>
      <c r="E2491" s="2" t="s">
        <v>12</v>
      </c>
      <c r="F2491" s="2" t="s">
        <v>12</v>
      </c>
      <c r="G2491" t="s">
        <v>3923</v>
      </c>
      <c r="H2491" t="str">
        <f t="shared" si="76"/>
        <v>https://videplast.com.br/consulta-imobilizado?id=11000093&amp;nome=BRITA</v>
      </c>
      <c r="I2491" t="e">
        <f t="shared" ca="1" si="77"/>
        <v>#NAME?</v>
      </c>
    </row>
    <row r="2492" spans="1:9" x14ac:dyDescent="0.25">
      <c r="A2492" s="2" t="s">
        <v>4138</v>
      </c>
      <c r="B2492" s="2" t="s">
        <v>128</v>
      </c>
      <c r="C2492" s="3">
        <v>40268</v>
      </c>
      <c r="D2492" t="s">
        <v>4144</v>
      </c>
      <c r="E2492" s="2" t="s">
        <v>12</v>
      </c>
      <c r="F2492" s="2" t="s">
        <v>12</v>
      </c>
      <c r="G2492" t="s">
        <v>3923</v>
      </c>
      <c r="H2492" t="str">
        <f t="shared" si="76"/>
        <v>https://videplast.com.br/consulta-imobilizado?id=11000093&amp;nome=AREIA%20GROSSA</v>
      </c>
      <c r="I2492" t="e">
        <f t="shared" ca="1" si="77"/>
        <v>#NAME?</v>
      </c>
    </row>
    <row r="2493" spans="1:9" x14ac:dyDescent="0.25">
      <c r="A2493" s="2" t="s">
        <v>4138</v>
      </c>
      <c r="B2493" s="2" t="s">
        <v>623</v>
      </c>
      <c r="C2493" s="3">
        <v>40268</v>
      </c>
      <c r="D2493" t="s">
        <v>4144</v>
      </c>
      <c r="E2493" s="2" t="s">
        <v>12</v>
      </c>
      <c r="F2493" s="2" t="s">
        <v>12</v>
      </c>
      <c r="G2493" t="s">
        <v>3923</v>
      </c>
      <c r="H2493" t="str">
        <f t="shared" si="76"/>
        <v>https://videplast.com.br/consulta-imobilizado?id=11000093&amp;nome=AREIA%20GROSSA</v>
      </c>
      <c r="I2493" t="e">
        <f t="shared" ca="1" si="77"/>
        <v>#NAME?</v>
      </c>
    </row>
    <row r="2494" spans="1:9" x14ac:dyDescent="0.25">
      <c r="A2494" s="2" t="s">
        <v>4138</v>
      </c>
      <c r="B2494" s="2" t="s">
        <v>625</v>
      </c>
      <c r="C2494" s="3">
        <v>40268</v>
      </c>
      <c r="D2494" t="s">
        <v>4146</v>
      </c>
      <c r="E2494" s="2" t="s">
        <v>12</v>
      </c>
      <c r="F2494" s="2" t="s">
        <v>12</v>
      </c>
      <c r="G2494" t="s">
        <v>3923</v>
      </c>
      <c r="H2494" t="str">
        <f t="shared" si="76"/>
        <v>https://videplast.com.br/consulta-imobilizado?id=11000093&amp;nome=BRITA%203/4%20PARA%20CONSTRUCAO%20DE%20BLOQUETES</v>
      </c>
      <c r="I2494" t="e">
        <f t="shared" ca="1" si="77"/>
        <v>#NAME?</v>
      </c>
    </row>
    <row r="2495" spans="1:9" x14ac:dyDescent="0.25">
      <c r="A2495" s="2" t="s">
        <v>4138</v>
      </c>
      <c r="B2495" s="2" t="s">
        <v>681</v>
      </c>
      <c r="C2495" s="3">
        <v>40574</v>
      </c>
      <c r="D2495" t="s">
        <v>4147</v>
      </c>
      <c r="E2495" s="2" t="s">
        <v>12</v>
      </c>
      <c r="F2495" s="2" t="s">
        <v>12</v>
      </c>
      <c r="G2495" t="s">
        <v>3923</v>
      </c>
      <c r="H2495" t="str">
        <f t="shared" si="76"/>
        <v>https://videplast.com.br/consulta-imobilizado?id=11000093&amp;nome=CONSTRUCAO%20DE%20BLOQUETES%20P/O%20PATIO</v>
      </c>
      <c r="I2495" t="e">
        <f t="shared" ca="1" si="77"/>
        <v>#NAME?</v>
      </c>
    </row>
    <row r="2496" spans="1:9" x14ac:dyDescent="0.25">
      <c r="A2496" s="2" t="s">
        <v>4148</v>
      </c>
      <c r="B2496" s="2" t="s">
        <v>10</v>
      </c>
      <c r="C2496" s="3">
        <v>40268</v>
      </c>
      <c r="D2496" t="s">
        <v>4149</v>
      </c>
      <c r="E2496" s="2" t="s">
        <v>12</v>
      </c>
      <c r="F2496" s="2" t="s">
        <v>12</v>
      </c>
      <c r="G2496" t="s">
        <v>3923</v>
      </c>
      <c r="H2496" t="str">
        <f t="shared" si="76"/>
        <v>https://videplast.com.br/consulta-imobilizado?id=11000094&amp;nome=TELHA%20TRAPEZOIDAL%20GALVALUME%20TP-40</v>
      </c>
      <c r="I2496" t="e">
        <f t="shared" ca="1" si="77"/>
        <v>#NAME?</v>
      </c>
    </row>
    <row r="2497" spans="1:9" x14ac:dyDescent="0.25">
      <c r="A2497" s="2" t="s">
        <v>4150</v>
      </c>
      <c r="B2497" s="2" t="s">
        <v>10</v>
      </c>
      <c r="C2497" s="3">
        <v>40390</v>
      </c>
      <c r="D2497" t="s">
        <v>4151</v>
      </c>
      <c r="E2497" s="2" t="s">
        <v>12</v>
      </c>
      <c r="F2497" s="2" t="s">
        <v>12</v>
      </c>
      <c r="G2497" t="s">
        <v>3923</v>
      </c>
      <c r="H2497" t="str">
        <f t="shared" si="76"/>
        <v>https://videplast.com.br/consulta-imobilizado?id=11000095&amp;nome=DETECTORES%20DE%20FUMACA%20E%20SIRENE%20PARA%201000M</v>
      </c>
      <c r="I2497" t="e">
        <f t="shared" ca="1" si="77"/>
        <v>#NAME?</v>
      </c>
    </row>
    <row r="2498" spans="1:9" x14ac:dyDescent="0.25">
      <c r="A2498" s="2" t="s">
        <v>4152</v>
      </c>
      <c r="B2498" s="2" t="s">
        <v>10</v>
      </c>
      <c r="C2498" s="3">
        <v>40482</v>
      </c>
      <c r="D2498" t="s">
        <v>4153</v>
      </c>
      <c r="E2498" s="2" t="s">
        <v>12</v>
      </c>
      <c r="F2498" s="2" t="s">
        <v>12</v>
      </c>
      <c r="G2498" t="s">
        <v>3923</v>
      </c>
      <c r="H2498" t="str">
        <f t="shared" ref="H2498:H2561" si="78" xml:space="preserve"> "https://videplast.com.br/consulta-imobilizado?id=" &amp; A2498 &amp; "&amp;nome=" &amp; SUBSTITUTE(D2498, " ", "%20")</f>
        <v>https://videplast.com.br/consulta-imobilizado?id=11000099&amp;nome=SERVICOS%20MEDICAO%20D%20VAZAO%20DO%20POCO,%20RET%20E%20INST%20BOMBA</v>
      </c>
      <c r="I2498" t="e">
        <f t="shared" ref="I2498:I2561" ca="1" si="79">_xlfn.IMAGE("https://chart.googleapis.com/chart?chs=150x150&amp;cht=qr&amp;chl=" &amp; H2498)</f>
        <v>#NAME?</v>
      </c>
    </row>
    <row r="2499" spans="1:9" x14ac:dyDescent="0.25">
      <c r="A2499" s="2" t="s">
        <v>4152</v>
      </c>
      <c r="B2499" s="2" t="s">
        <v>26</v>
      </c>
      <c r="C2499" s="3">
        <v>40482</v>
      </c>
      <c r="D2499" t="s">
        <v>4154</v>
      </c>
      <c r="E2499" s="2" t="s">
        <v>12</v>
      </c>
      <c r="F2499" s="2" t="s">
        <v>12</v>
      </c>
      <c r="G2499" t="s">
        <v>3923</v>
      </c>
      <c r="H2499" t="str">
        <f t="shared" si="78"/>
        <v>https://videplast.com.br/consulta-imobilizado?id=11000099&amp;nome=MOTOBOMBA%20EBARA%20BHS412%207.5%20HP%20380V</v>
      </c>
      <c r="I2499" t="e">
        <f t="shared" ca="1" si="79"/>
        <v>#NAME?</v>
      </c>
    </row>
    <row r="2500" spans="1:9" x14ac:dyDescent="0.25">
      <c r="A2500" s="2" t="s">
        <v>4155</v>
      </c>
      <c r="B2500" s="2" t="s">
        <v>10</v>
      </c>
      <c r="C2500" s="3">
        <v>40512</v>
      </c>
      <c r="D2500" t="s">
        <v>4156</v>
      </c>
      <c r="E2500" s="2" t="s">
        <v>12</v>
      </c>
      <c r="F2500" s="2" t="s">
        <v>12</v>
      </c>
      <c r="G2500" t="s">
        <v>3923</v>
      </c>
      <c r="H2500" t="str">
        <f t="shared" si="78"/>
        <v>https://videplast.com.br/consulta-imobilizado?id=11000100&amp;nome=CHAPA%20CINCALUM%20COBERTURA%20SETOR%20MANUTENCAO</v>
      </c>
      <c r="I2500" t="e">
        <f t="shared" ca="1" si="79"/>
        <v>#NAME?</v>
      </c>
    </row>
    <row r="2501" spans="1:9" x14ac:dyDescent="0.25">
      <c r="A2501" s="2" t="s">
        <v>4157</v>
      </c>
      <c r="B2501" s="2" t="s">
        <v>10</v>
      </c>
      <c r="C2501" s="3">
        <v>40512</v>
      </c>
      <c r="D2501" t="s">
        <v>4158</v>
      </c>
      <c r="E2501" s="2" t="s">
        <v>12</v>
      </c>
      <c r="F2501" s="2" t="s">
        <v>12</v>
      </c>
      <c r="G2501" t="s">
        <v>3923</v>
      </c>
      <c r="H2501" t="str">
        <f t="shared" si="78"/>
        <v>https://videplast.com.br/consulta-imobilizado?id=11000101&amp;nome=AREIA%20GROSSA%20CONFECÇAO%20BLOQUETES%20PATIO</v>
      </c>
      <c r="I2501" t="e">
        <f t="shared" ca="1" si="79"/>
        <v>#NAME?</v>
      </c>
    </row>
    <row r="2502" spans="1:9" x14ac:dyDescent="0.25">
      <c r="A2502" s="2" t="s">
        <v>4159</v>
      </c>
      <c r="B2502" s="2" t="s">
        <v>10</v>
      </c>
      <c r="C2502" s="3">
        <v>40663</v>
      </c>
      <c r="D2502" t="s">
        <v>4160</v>
      </c>
      <c r="E2502" s="2" t="s">
        <v>12</v>
      </c>
      <c r="F2502" s="2" t="s">
        <v>12</v>
      </c>
      <c r="G2502" t="s">
        <v>3923</v>
      </c>
      <c r="H2502" t="str">
        <f t="shared" si="78"/>
        <v>https://videplast.com.br/consulta-imobilizado?id=11000102&amp;nome=TUBO%20GALVANIXADO%20NBR-5580L,%20LUVA%20GALVANIZADA</v>
      </c>
      <c r="I2502" t="e">
        <f t="shared" ca="1" si="79"/>
        <v>#NAME?</v>
      </c>
    </row>
    <row r="2503" spans="1:9" x14ac:dyDescent="0.25">
      <c r="A2503" s="2" t="s">
        <v>4159</v>
      </c>
      <c r="B2503" s="2" t="s">
        <v>26</v>
      </c>
      <c r="C2503" s="3">
        <v>40816</v>
      </c>
      <c r="D2503" t="s">
        <v>4161</v>
      </c>
      <c r="E2503" s="2" t="s">
        <v>12</v>
      </c>
      <c r="F2503" s="2" t="s">
        <v>12</v>
      </c>
      <c r="G2503" t="s">
        <v>3923</v>
      </c>
      <c r="H2503" t="str">
        <f t="shared" si="78"/>
        <v>https://videplast.com.br/consulta-imobilizado?id=11000102&amp;nome=CAP%20SOLDAVEL%2075%20MM</v>
      </c>
      <c r="I2503" t="e">
        <f t="shared" ca="1" si="79"/>
        <v>#NAME?</v>
      </c>
    </row>
    <row r="2504" spans="1:9" x14ac:dyDescent="0.25">
      <c r="A2504" s="2" t="s">
        <v>4159</v>
      </c>
      <c r="B2504" s="2" t="s">
        <v>21</v>
      </c>
      <c r="C2504" s="3">
        <v>40816</v>
      </c>
      <c r="D2504" t="s">
        <v>4162</v>
      </c>
      <c r="E2504" s="2" t="s">
        <v>12</v>
      </c>
      <c r="F2504" s="2" t="s">
        <v>12</v>
      </c>
      <c r="G2504" t="s">
        <v>3923</v>
      </c>
      <c r="H2504" t="str">
        <f t="shared" si="78"/>
        <v>https://videplast.com.br/consulta-imobilizado?id=11000102&amp;nome=JOELHO%2045%20GALVANIZADO</v>
      </c>
      <c r="I2504" t="e">
        <f t="shared" ca="1" si="79"/>
        <v>#NAME?</v>
      </c>
    </row>
    <row r="2505" spans="1:9" x14ac:dyDescent="0.25">
      <c r="A2505" s="2" t="s">
        <v>4159</v>
      </c>
      <c r="B2505" s="2" t="s">
        <v>29</v>
      </c>
      <c r="C2505" s="3">
        <v>40816</v>
      </c>
      <c r="D2505" t="s">
        <v>4163</v>
      </c>
      <c r="E2505" s="2" t="s">
        <v>12</v>
      </c>
      <c r="F2505" s="2" t="s">
        <v>12</v>
      </c>
      <c r="G2505" t="s">
        <v>3923</v>
      </c>
      <c r="H2505" t="str">
        <f t="shared" si="78"/>
        <v>https://videplast.com.br/consulta-imobilizado?id=11000102&amp;nome=CAP%20SOLDM%2085,%20P/AMPLIACAO%20DA%20REDE%20DE%20HIDRANTE</v>
      </c>
      <c r="I2505" t="e">
        <f t="shared" ca="1" si="79"/>
        <v>#NAME?</v>
      </c>
    </row>
    <row r="2506" spans="1:9" x14ac:dyDescent="0.25">
      <c r="A2506" s="2" t="s">
        <v>4159</v>
      </c>
      <c r="B2506" s="2" t="s">
        <v>31</v>
      </c>
      <c r="C2506" s="3">
        <v>40816</v>
      </c>
      <c r="D2506" t="s">
        <v>4164</v>
      </c>
      <c r="E2506" s="2" t="s">
        <v>12</v>
      </c>
      <c r="F2506" s="2" t="s">
        <v>12</v>
      </c>
      <c r="G2506" t="s">
        <v>3923</v>
      </c>
      <c r="H2506" t="str">
        <f t="shared" si="78"/>
        <v>https://videplast.com.br/consulta-imobilizado?id=11000102&amp;nome=NIPEL%20GALV%203%20PARA%20AMPLIACAO%20DA%20REDE%20DE%20HIDRANTE</v>
      </c>
      <c r="I2506" t="e">
        <f t="shared" ca="1" si="79"/>
        <v>#NAME?</v>
      </c>
    </row>
    <row r="2507" spans="1:9" x14ac:dyDescent="0.25">
      <c r="A2507" s="2" t="s">
        <v>4159</v>
      </c>
      <c r="B2507" s="2" t="s">
        <v>33</v>
      </c>
      <c r="C2507" s="3">
        <v>40816</v>
      </c>
      <c r="D2507" t="s">
        <v>4165</v>
      </c>
      <c r="E2507" s="2" t="s">
        <v>12</v>
      </c>
      <c r="F2507" s="2" t="s">
        <v>12</v>
      </c>
      <c r="G2507" t="s">
        <v>3923</v>
      </c>
      <c r="H2507" t="str">
        <f t="shared" si="78"/>
        <v>https://videplast.com.br/consulta-imobilizado?id=11000102&amp;nome=REDE%20DE%20HIDRANTE%20DA%20FABRICA</v>
      </c>
      <c r="I2507" t="e">
        <f t="shared" ca="1" si="79"/>
        <v>#NAME?</v>
      </c>
    </row>
    <row r="2508" spans="1:9" x14ac:dyDescent="0.25">
      <c r="A2508" s="2" t="s">
        <v>4159</v>
      </c>
      <c r="B2508" s="2" t="s">
        <v>35</v>
      </c>
      <c r="C2508" s="3">
        <v>40816</v>
      </c>
      <c r="D2508" t="s">
        <v>4166</v>
      </c>
      <c r="E2508" s="2" t="s">
        <v>12</v>
      </c>
      <c r="F2508" s="2" t="s">
        <v>12</v>
      </c>
      <c r="G2508" t="s">
        <v>3923</v>
      </c>
      <c r="H2508" t="str">
        <f t="shared" si="78"/>
        <v>https://videplast.com.br/consulta-imobilizado?id=11000102&amp;nome=CAP%20SOLDAVEL%2085MM</v>
      </c>
      <c r="I2508" t="e">
        <f t="shared" ca="1" si="79"/>
        <v>#NAME?</v>
      </c>
    </row>
    <row r="2509" spans="1:9" x14ac:dyDescent="0.25">
      <c r="A2509" s="2" t="s">
        <v>4159</v>
      </c>
      <c r="B2509" s="2" t="s">
        <v>37</v>
      </c>
      <c r="C2509" s="3">
        <v>40816</v>
      </c>
      <c r="D2509" t="s">
        <v>4167</v>
      </c>
      <c r="E2509" s="2" t="s">
        <v>12</v>
      </c>
      <c r="F2509" s="2" t="s">
        <v>12</v>
      </c>
      <c r="G2509" t="s">
        <v>3923</v>
      </c>
      <c r="H2509" t="str">
        <f t="shared" si="78"/>
        <v>https://videplast.com.br/consulta-imobilizado?id=11000102&amp;nome=CURVA%2090%20GALV%20RF%203</v>
      </c>
      <c r="I2509" t="e">
        <f t="shared" ca="1" si="79"/>
        <v>#NAME?</v>
      </c>
    </row>
    <row r="2510" spans="1:9" x14ac:dyDescent="0.25">
      <c r="A2510" s="2" t="s">
        <v>4159</v>
      </c>
      <c r="B2510" s="2" t="s">
        <v>39</v>
      </c>
      <c r="C2510" s="3">
        <v>40816</v>
      </c>
      <c r="D2510" t="s">
        <v>4168</v>
      </c>
      <c r="E2510" s="2" t="s">
        <v>12</v>
      </c>
      <c r="F2510" s="2" t="s">
        <v>12</v>
      </c>
      <c r="G2510" t="s">
        <v>3923</v>
      </c>
      <c r="H2510" t="str">
        <f t="shared" si="78"/>
        <v>https://videplast.com.br/consulta-imobilizado?id=11000102&amp;nome=LUVA%20GALV%203%20PARA%20AMPLIACAO%20DA%20REDE%20DE%20HIDRANTE</v>
      </c>
      <c r="I2510" t="e">
        <f t="shared" ca="1" si="79"/>
        <v>#NAME?</v>
      </c>
    </row>
    <row r="2511" spans="1:9" x14ac:dyDescent="0.25">
      <c r="A2511" s="2" t="s">
        <v>4159</v>
      </c>
      <c r="B2511" s="2" t="s">
        <v>126</v>
      </c>
      <c r="C2511" s="3">
        <v>40816</v>
      </c>
      <c r="D2511" t="s">
        <v>4169</v>
      </c>
      <c r="E2511" s="2" t="s">
        <v>12</v>
      </c>
      <c r="F2511" s="2" t="s">
        <v>12</v>
      </c>
      <c r="G2511" t="s">
        <v>3923</v>
      </c>
      <c r="H2511" t="str">
        <f t="shared" si="78"/>
        <v>https://videplast.com.br/consulta-imobilizado?id=11000102&amp;nome=TUBO%20GALV%205580%20L%203'X6,000M</v>
      </c>
      <c r="I2511" t="e">
        <f t="shared" ca="1" si="79"/>
        <v>#NAME?</v>
      </c>
    </row>
    <row r="2512" spans="1:9" x14ac:dyDescent="0.25">
      <c r="A2512" s="2" t="s">
        <v>4159</v>
      </c>
      <c r="B2512" s="2" t="s">
        <v>127</v>
      </c>
      <c r="C2512" s="3">
        <v>40816</v>
      </c>
      <c r="D2512" t="s">
        <v>4170</v>
      </c>
      <c r="E2512" s="2" t="s">
        <v>12</v>
      </c>
      <c r="F2512" s="2" t="s">
        <v>12</v>
      </c>
      <c r="G2512" t="s">
        <v>3923</v>
      </c>
      <c r="H2512" t="str">
        <f t="shared" si="78"/>
        <v>https://videplast.com.br/consulta-imobilizado?id=11000102&amp;nome=TE%20GALV%203%20PARA%20AMPLIACAO%20DA%20REDE%20DE%20HIDRANTE</v>
      </c>
      <c r="I2512" t="e">
        <f t="shared" ca="1" si="79"/>
        <v>#NAME?</v>
      </c>
    </row>
    <row r="2513" spans="1:9" x14ac:dyDescent="0.25">
      <c r="A2513" s="2" t="s">
        <v>4159</v>
      </c>
      <c r="B2513" s="2" t="s">
        <v>128</v>
      </c>
      <c r="C2513" s="3">
        <v>40816</v>
      </c>
      <c r="D2513" t="s">
        <v>4164</v>
      </c>
      <c r="E2513" s="2" t="s">
        <v>12</v>
      </c>
      <c r="F2513" s="2" t="s">
        <v>12</v>
      </c>
      <c r="G2513" t="s">
        <v>3923</v>
      </c>
      <c r="H2513" t="str">
        <f t="shared" si="78"/>
        <v>https://videplast.com.br/consulta-imobilizado?id=11000102&amp;nome=NIPEL%20GALV%203%20PARA%20AMPLIACAO%20DA%20REDE%20DE%20HIDRANTE</v>
      </c>
      <c r="I2513" t="e">
        <f t="shared" ca="1" si="79"/>
        <v>#NAME?</v>
      </c>
    </row>
    <row r="2514" spans="1:9" x14ac:dyDescent="0.25">
      <c r="A2514" s="2" t="s">
        <v>4159</v>
      </c>
      <c r="B2514" s="2" t="s">
        <v>623</v>
      </c>
      <c r="C2514" s="3">
        <v>40816</v>
      </c>
      <c r="D2514" t="s">
        <v>4171</v>
      </c>
      <c r="E2514" s="2" t="s">
        <v>12</v>
      </c>
      <c r="F2514" s="2" t="s">
        <v>12</v>
      </c>
      <c r="G2514" t="s">
        <v>3923</v>
      </c>
      <c r="H2514" t="str">
        <f t="shared" si="78"/>
        <v>https://videplast.com.br/consulta-imobilizado?id=11000102&amp;nome=REG%20GAV%20INDUSTRIAL%203%20PARA%20AMPLIACAO%20DA%20REDE%20DE%20HID</v>
      </c>
      <c r="I2514" t="e">
        <f t="shared" ca="1" si="79"/>
        <v>#NAME?</v>
      </c>
    </row>
    <row r="2515" spans="1:9" x14ac:dyDescent="0.25">
      <c r="A2515" s="2" t="s">
        <v>4159</v>
      </c>
      <c r="B2515" s="2" t="s">
        <v>625</v>
      </c>
      <c r="C2515" s="3">
        <v>40816</v>
      </c>
      <c r="D2515" t="s">
        <v>4172</v>
      </c>
      <c r="E2515" s="2" t="s">
        <v>12</v>
      </c>
      <c r="F2515" s="2" t="s">
        <v>12</v>
      </c>
      <c r="G2515" t="s">
        <v>3923</v>
      </c>
      <c r="H2515" t="str">
        <f t="shared" si="78"/>
        <v>https://videplast.com.br/consulta-imobilizado?id=11000102&amp;nome=ROSCA%202.1/2%20PARA%20AMPLIACAO%20DA%20REDE%20DE%20HIDRANTE</v>
      </c>
      <c r="I2515" t="e">
        <f t="shared" ca="1" si="79"/>
        <v>#NAME?</v>
      </c>
    </row>
    <row r="2516" spans="1:9" x14ac:dyDescent="0.25">
      <c r="A2516" s="2" t="s">
        <v>4159</v>
      </c>
      <c r="B2516" s="2" t="s">
        <v>681</v>
      </c>
      <c r="C2516" s="3">
        <v>40816</v>
      </c>
      <c r="D2516" t="s">
        <v>4173</v>
      </c>
      <c r="E2516" s="2" t="s">
        <v>12</v>
      </c>
      <c r="F2516" s="2" t="s">
        <v>12</v>
      </c>
      <c r="G2516" t="s">
        <v>3923</v>
      </c>
      <c r="H2516" t="str">
        <f t="shared" si="78"/>
        <v>https://videplast.com.br/consulta-imobilizado?id=11000102&amp;nome=CAP%20GALV%202.1/2%20PARA%20AMPLIACAO%20DA%20REDE%20DE%20HIDRANTE</v>
      </c>
      <c r="I2516" t="e">
        <f t="shared" ca="1" si="79"/>
        <v>#NAME?</v>
      </c>
    </row>
    <row r="2517" spans="1:9" x14ac:dyDescent="0.25">
      <c r="A2517" s="2" t="s">
        <v>4159</v>
      </c>
      <c r="B2517" s="2" t="s">
        <v>683</v>
      </c>
      <c r="C2517" s="3">
        <v>40816</v>
      </c>
      <c r="D2517" t="s">
        <v>4174</v>
      </c>
      <c r="E2517" s="2" t="s">
        <v>12</v>
      </c>
      <c r="F2517" s="2" t="s">
        <v>12</v>
      </c>
      <c r="G2517" t="s">
        <v>3923</v>
      </c>
      <c r="H2517" t="str">
        <f t="shared" si="78"/>
        <v>https://videplast.com.br/consulta-imobilizado?id=11000102&amp;nome=JOELHO%2045%20GALV%203%20PARA%20AMPLIACAO%20DA%20REDE%20DE%20HIDRANT</v>
      </c>
      <c r="I2517" t="e">
        <f t="shared" ca="1" si="79"/>
        <v>#NAME?</v>
      </c>
    </row>
    <row r="2518" spans="1:9" x14ac:dyDescent="0.25">
      <c r="A2518" s="2" t="s">
        <v>4159</v>
      </c>
      <c r="B2518" s="2" t="s">
        <v>685</v>
      </c>
      <c r="C2518" s="3">
        <v>40816</v>
      </c>
      <c r="D2518" t="s">
        <v>4164</v>
      </c>
      <c r="E2518" s="2" t="s">
        <v>12</v>
      </c>
      <c r="F2518" s="2" t="s">
        <v>12</v>
      </c>
      <c r="G2518" t="s">
        <v>3923</v>
      </c>
      <c r="H2518" t="str">
        <f t="shared" si="78"/>
        <v>https://videplast.com.br/consulta-imobilizado?id=11000102&amp;nome=NIPEL%20GALV%203%20PARA%20AMPLIACAO%20DA%20REDE%20DE%20HIDRANTE</v>
      </c>
      <c r="I2518" t="e">
        <f t="shared" ca="1" si="79"/>
        <v>#NAME?</v>
      </c>
    </row>
    <row r="2519" spans="1:9" x14ac:dyDescent="0.25">
      <c r="A2519" s="2" t="s">
        <v>4159</v>
      </c>
      <c r="B2519" s="2" t="s">
        <v>627</v>
      </c>
      <c r="C2519" s="3">
        <v>40816</v>
      </c>
      <c r="D2519" t="s">
        <v>4175</v>
      </c>
      <c r="E2519" s="2" t="s">
        <v>12</v>
      </c>
      <c r="F2519" s="2" t="s">
        <v>12</v>
      </c>
      <c r="G2519" t="s">
        <v>3923</v>
      </c>
      <c r="H2519" t="str">
        <f t="shared" si="78"/>
        <v>https://videplast.com.br/consulta-imobilizado?id=11000102&amp;nome=UNIAO%20GALV%20COM%20ASSEN%20BRONZE%203</v>
      </c>
      <c r="I2519" t="e">
        <f t="shared" ca="1" si="79"/>
        <v>#NAME?</v>
      </c>
    </row>
    <row r="2520" spans="1:9" x14ac:dyDescent="0.25">
      <c r="A2520" s="2" t="s">
        <v>4159</v>
      </c>
      <c r="B2520" s="2" t="s">
        <v>688</v>
      </c>
      <c r="C2520" s="3">
        <v>40847</v>
      </c>
      <c r="D2520" t="s">
        <v>4176</v>
      </c>
      <c r="E2520" s="2" t="s">
        <v>12</v>
      </c>
      <c r="F2520" s="2" t="s">
        <v>12</v>
      </c>
      <c r="G2520" t="s">
        <v>3923</v>
      </c>
      <c r="H2520" t="str">
        <f t="shared" si="78"/>
        <v>https://videplast.com.br/consulta-imobilizado?id=11000102&amp;nome=MAO%20DE%20OBRA%20PARA%20AMPLIACAO%20REDE%20DE%20HIDRANTE</v>
      </c>
      <c r="I2520" t="e">
        <f t="shared" ca="1" si="79"/>
        <v>#NAME?</v>
      </c>
    </row>
    <row r="2521" spans="1:9" x14ac:dyDescent="0.25">
      <c r="A2521" s="2" t="s">
        <v>4159</v>
      </c>
      <c r="B2521" s="2" t="s">
        <v>629</v>
      </c>
      <c r="C2521" s="3">
        <v>40847</v>
      </c>
      <c r="D2521" t="s">
        <v>4177</v>
      </c>
      <c r="E2521" s="2" t="s">
        <v>12</v>
      </c>
      <c r="F2521" s="2" t="s">
        <v>12</v>
      </c>
      <c r="G2521" t="s">
        <v>3923</v>
      </c>
      <c r="H2521" t="str">
        <f t="shared" si="78"/>
        <v>https://videplast.com.br/consulta-imobilizado?id=11000102&amp;nome=GALAO%20DE%20TINTA%20FLAMAR%20VERMELHO%203,6LTS%20E%20ROLO</v>
      </c>
      <c r="I2521" t="e">
        <f t="shared" ca="1" si="79"/>
        <v>#NAME?</v>
      </c>
    </row>
    <row r="2522" spans="1:9" x14ac:dyDescent="0.25">
      <c r="A2522" s="2" t="s">
        <v>4159</v>
      </c>
      <c r="B2522" s="2" t="s">
        <v>691</v>
      </c>
      <c r="C2522" s="3">
        <v>40847</v>
      </c>
      <c r="D2522" t="s">
        <v>4178</v>
      </c>
      <c r="E2522" s="2" t="s">
        <v>12</v>
      </c>
      <c r="F2522" s="2" t="s">
        <v>12</v>
      </c>
      <c r="G2522" t="s">
        <v>3923</v>
      </c>
      <c r="H2522" t="str">
        <f t="shared" si="78"/>
        <v>https://videplast.com.br/consulta-imobilizado?id=11000102&amp;nome=FITA%20VEDA%20ROSCA%2018X50%20E%20ABRACADEIRA</v>
      </c>
      <c r="I2522" t="e">
        <f t="shared" ca="1" si="79"/>
        <v>#NAME?</v>
      </c>
    </row>
    <row r="2523" spans="1:9" x14ac:dyDescent="0.25">
      <c r="A2523" s="2" t="s">
        <v>4159</v>
      </c>
      <c r="B2523" s="2" t="s">
        <v>631</v>
      </c>
      <c r="C2523" s="3">
        <v>40999</v>
      </c>
      <c r="D2523" t="s">
        <v>4179</v>
      </c>
      <c r="E2523" s="2" t="s">
        <v>12</v>
      </c>
      <c r="F2523" s="2" t="s">
        <v>12</v>
      </c>
      <c r="G2523" t="s">
        <v>3923</v>
      </c>
      <c r="H2523" t="str">
        <f t="shared" si="78"/>
        <v>https://videplast.com.br/consulta-imobilizado?id=11000102&amp;nome=TUBO%20GALVANIZADO%205580%20L%203%20X6</v>
      </c>
      <c r="I2523" t="e">
        <f t="shared" ca="1" si="79"/>
        <v>#NAME?</v>
      </c>
    </row>
    <row r="2524" spans="1:9" x14ac:dyDescent="0.25">
      <c r="A2524" s="2" t="s">
        <v>4159</v>
      </c>
      <c r="B2524" s="2" t="s">
        <v>633</v>
      </c>
      <c r="C2524" s="3">
        <v>40999</v>
      </c>
      <c r="D2524" t="s">
        <v>4180</v>
      </c>
      <c r="E2524" s="2" t="s">
        <v>12</v>
      </c>
      <c r="F2524" s="2" t="s">
        <v>12</v>
      </c>
      <c r="G2524" t="s">
        <v>3923</v>
      </c>
      <c r="H2524" t="str">
        <f t="shared" si="78"/>
        <v>https://videplast.com.br/consulta-imobilizado?id=11000102&amp;nome=MAO%20DE%20OBRA%20PARA%20AMPLIACAO%20DA%20REDE%20DE%20HIDRANTE</v>
      </c>
      <c r="I2524" t="e">
        <f t="shared" ca="1" si="79"/>
        <v>#NAME?</v>
      </c>
    </row>
    <row r="2525" spans="1:9" x14ac:dyDescent="0.25">
      <c r="A2525" s="2" t="s">
        <v>4159</v>
      </c>
      <c r="B2525" s="2" t="s">
        <v>635</v>
      </c>
      <c r="C2525" s="3">
        <v>41029</v>
      </c>
      <c r="D2525" t="s">
        <v>4181</v>
      </c>
      <c r="E2525" s="2" t="s">
        <v>12</v>
      </c>
      <c r="F2525" s="2" t="s">
        <v>12</v>
      </c>
      <c r="G2525" t="s">
        <v>3923</v>
      </c>
      <c r="H2525" t="str">
        <f t="shared" si="78"/>
        <v>https://videplast.com.br/consulta-imobilizado?id=11000102&amp;nome=LUVA%20REDUCAO%20GALV.%2060X50MM</v>
      </c>
      <c r="I2525" t="e">
        <f t="shared" ca="1" si="79"/>
        <v>#NAME?</v>
      </c>
    </row>
    <row r="2526" spans="1:9" x14ac:dyDescent="0.25">
      <c r="A2526" s="2" t="s">
        <v>4159</v>
      </c>
      <c r="B2526" s="2" t="s">
        <v>638</v>
      </c>
      <c r="C2526" s="3">
        <v>41029</v>
      </c>
      <c r="D2526" t="s">
        <v>4182</v>
      </c>
      <c r="E2526" s="2" t="s">
        <v>12</v>
      </c>
      <c r="F2526" s="2" t="s">
        <v>12</v>
      </c>
      <c r="G2526" t="s">
        <v>3923</v>
      </c>
      <c r="H2526" t="str">
        <f t="shared" si="78"/>
        <v>https://videplast.com.br/consulta-imobilizado?id=11000102&amp;nome=NIPLE%20DUPLO%20GALV.%2060MM%20BSP</v>
      </c>
      <c r="I2526" t="e">
        <f t="shared" ca="1" si="79"/>
        <v>#NAME?</v>
      </c>
    </row>
    <row r="2527" spans="1:9" x14ac:dyDescent="0.25">
      <c r="A2527" s="2" t="s">
        <v>4159</v>
      </c>
      <c r="B2527" s="2" t="s">
        <v>697</v>
      </c>
      <c r="C2527" s="3">
        <v>41029</v>
      </c>
      <c r="D2527" t="s">
        <v>4183</v>
      </c>
      <c r="E2527" s="2" t="s">
        <v>12</v>
      </c>
      <c r="F2527" s="2" t="s">
        <v>12</v>
      </c>
      <c r="G2527" t="s">
        <v>3923</v>
      </c>
      <c r="H2527" t="str">
        <f t="shared" si="78"/>
        <v>https://videplast.com.br/consulta-imobilizado?id=11000102&amp;nome=VALVULA%20RETENCAO%20VERTICAL%20BRONZE%203%20BSP</v>
      </c>
      <c r="I2527" t="e">
        <f t="shared" ca="1" si="79"/>
        <v>#NAME?</v>
      </c>
    </row>
    <row r="2528" spans="1:9" x14ac:dyDescent="0.25">
      <c r="A2528" s="2" t="s">
        <v>4159</v>
      </c>
      <c r="B2528" s="2" t="s">
        <v>699</v>
      </c>
      <c r="C2528" s="3">
        <v>41029</v>
      </c>
      <c r="D2528" t="s">
        <v>4184</v>
      </c>
      <c r="E2528" s="2" t="s">
        <v>12</v>
      </c>
      <c r="F2528" s="2" t="s">
        <v>12</v>
      </c>
      <c r="G2528" t="s">
        <v>3923</v>
      </c>
      <c r="H2528" t="str">
        <f t="shared" si="78"/>
        <v>https://videplast.com.br/consulta-imobilizado?id=11000102&amp;nome=CAIXA%20%20DE%20INCENDIO%20EXTERNA%20120X90X17</v>
      </c>
      <c r="I2528" t="e">
        <f t="shared" ca="1" si="79"/>
        <v>#NAME?</v>
      </c>
    </row>
    <row r="2529" spans="1:9" x14ac:dyDescent="0.25">
      <c r="A2529" s="2" t="s">
        <v>4159</v>
      </c>
      <c r="B2529" s="2" t="s">
        <v>701</v>
      </c>
      <c r="C2529" s="3">
        <v>41029</v>
      </c>
      <c r="D2529" t="s">
        <v>4185</v>
      </c>
      <c r="E2529" s="2" t="s">
        <v>12</v>
      </c>
      <c r="F2529" s="2" t="s">
        <v>12</v>
      </c>
      <c r="G2529" t="s">
        <v>3923</v>
      </c>
      <c r="H2529" t="str">
        <f t="shared" si="78"/>
        <v>https://videplast.com.br/consulta-imobilizado?id=11000102&amp;nome=MANGUEIRA%20DE%20INCENDIO%20EM%20POLIESTER%201.1/2X30M</v>
      </c>
      <c r="I2529" t="e">
        <f t="shared" ca="1" si="79"/>
        <v>#NAME?</v>
      </c>
    </row>
    <row r="2530" spans="1:9" x14ac:dyDescent="0.25">
      <c r="A2530" s="2" t="s">
        <v>4159</v>
      </c>
      <c r="B2530" s="2" t="s">
        <v>703</v>
      </c>
      <c r="C2530" s="3">
        <v>41029</v>
      </c>
      <c r="D2530" t="s">
        <v>4186</v>
      </c>
      <c r="E2530" s="2" t="s">
        <v>12</v>
      </c>
      <c r="F2530" s="2" t="s">
        <v>12</v>
      </c>
      <c r="G2530" t="s">
        <v>3923</v>
      </c>
      <c r="H2530" t="str">
        <f t="shared" si="78"/>
        <v>https://videplast.com.br/consulta-imobilizado?id=11000102&amp;nome=CHAVE%20ADAPTADOR%202.1/2X1.1/2%20INCENDIO</v>
      </c>
      <c r="I2530" t="e">
        <f t="shared" ca="1" si="79"/>
        <v>#NAME?</v>
      </c>
    </row>
    <row r="2531" spans="1:9" x14ac:dyDescent="0.25">
      <c r="A2531" s="2" t="s">
        <v>4159</v>
      </c>
      <c r="B2531" s="2" t="s">
        <v>705</v>
      </c>
      <c r="C2531" s="3">
        <v>41029</v>
      </c>
      <c r="D2531" t="s">
        <v>4187</v>
      </c>
      <c r="E2531" s="2" t="s">
        <v>12</v>
      </c>
      <c r="F2531" s="2" t="s">
        <v>12</v>
      </c>
      <c r="G2531" t="s">
        <v>3923</v>
      </c>
      <c r="H2531" t="str">
        <f t="shared" si="78"/>
        <v>https://videplast.com.br/consulta-imobilizado?id=11000102&amp;nome=GALAO%20ESM%20BR%20VERMELHO%203,6L%20CORALIT</v>
      </c>
      <c r="I2531" t="e">
        <f t="shared" ca="1" si="79"/>
        <v>#NAME?</v>
      </c>
    </row>
    <row r="2532" spans="1:9" x14ac:dyDescent="0.25">
      <c r="A2532" s="2" t="s">
        <v>4159</v>
      </c>
      <c r="B2532" s="2" t="s">
        <v>707</v>
      </c>
      <c r="C2532" s="3">
        <v>41060</v>
      </c>
      <c r="D2532" t="s">
        <v>4188</v>
      </c>
      <c r="E2532" s="2" t="s">
        <v>12</v>
      </c>
      <c r="F2532" s="2" t="s">
        <v>12</v>
      </c>
      <c r="G2532" t="s">
        <v>3923</v>
      </c>
      <c r="H2532" t="str">
        <f t="shared" si="78"/>
        <v>https://videplast.com.br/consulta-imobilizado?id=11000102&amp;nome=PLACA%20ACRILICA%20PARA%20INCENDIO%202MM%20INATIVO</v>
      </c>
      <c r="I2532" t="e">
        <f t="shared" ca="1" si="79"/>
        <v>#NAME?</v>
      </c>
    </row>
    <row r="2533" spans="1:9" x14ac:dyDescent="0.25">
      <c r="A2533" s="2" t="s">
        <v>4159</v>
      </c>
      <c r="B2533" s="2" t="s">
        <v>709</v>
      </c>
      <c r="C2533" s="3">
        <v>41060</v>
      </c>
      <c r="D2533" t="s">
        <v>4186</v>
      </c>
      <c r="E2533" s="2" t="s">
        <v>12</v>
      </c>
      <c r="F2533" s="2" t="s">
        <v>12</v>
      </c>
      <c r="G2533" t="s">
        <v>3923</v>
      </c>
      <c r="H2533" t="str">
        <f t="shared" si="78"/>
        <v>https://videplast.com.br/consulta-imobilizado?id=11000102&amp;nome=CHAVE%20ADAPTADOR%202.1/2X1.1/2%20INCENDIO</v>
      </c>
      <c r="I2533" t="e">
        <f t="shared" ca="1" si="79"/>
        <v>#NAME?</v>
      </c>
    </row>
    <row r="2534" spans="1:9" x14ac:dyDescent="0.25">
      <c r="A2534" s="2" t="s">
        <v>4159</v>
      </c>
      <c r="B2534" s="2" t="s">
        <v>711</v>
      </c>
      <c r="C2534" s="3">
        <v>41060</v>
      </c>
      <c r="D2534" t="s">
        <v>4189</v>
      </c>
      <c r="E2534" s="2" t="s">
        <v>12</v>
      </c>
      <c r="F2534" s="2" t="s">
        <v>12</v>
      </c>
      <c r="G2534" t="s">
        <v>3923</v>
      </c>
      <c r="H2534" t="str">
        <f t="shared" si="78"/>
        <v>https://videplast.com.br/consulta-imobilizado?id=11000102&amp;nome=CHAVE%20ADAPTADOR%20ALUMINIO%202.1/2X1.1/2%20INCENDIO</v>
      </c>
      <c r="I2534" t="e">
        <f t="shared" ca="1" si="79"/>
        <v>#NAME?</v>
      </c>
    </row>
    <row r="2535" spans="1:9" x14ac:dyDescent="0.25">
      <c r="A2535" s="2" t="s">
        <v>4190</v>
      </c>
      <c r="B2535" s="2" t="s">
        <v>10</v>
      </c>
      <c r="C2535" s="3">
        <v>40755</v>
      </c>
      <c r="D2535" t="s">
        <v>4191</v>
      </c>
      <c r="E2535" s="2" t="s">
        <v>12</v>
      </c>
      <c r="F2535" s="2" t="s">
        <v>12</v>
      </c>
      <c r="G2535" t="s">
        <v>3923</v>
      </c>
      <c r="H2535" t="str">
        <f t="shared" si="78"/>
        <v>https://videplast.com.br/consulta-imobilizado?id=11000103&amp;nome=CONSTRUCAO%20DE%20UM%20POCO%20ARTESIANO%20-%20FABRICA%20GERAL</v>
      </c>
      <c r="I2535" t="e">
        <f t="shared" ca="1" si="79"/>
        <v>#NAME?</v>
      </c>
    </row>
    <row r="2536" spans="1:9" x14ac:dyDescent="0.25">
      <c r="A2536" s="2" t="s">
        <v>4192</v>
      </c>
      <c r="B2536" s="2" t="s">
        <v>10</v>
      </c>
      <c r="C2536" s="3">
        <v>36922</v>
      </c>
      <c r="D2536" t="s">
        <v>4193</v>
      </c>
      <c r="E2536" s="2" t="s">
        <v>12</v>
      </c>
      <c r="F2536" s="2" t="s">
        <v>12</v>
      </c>
      <c r="G2536" t="s">
        <v>3923</v>
      </c>
      <c r="H2536" t="str">
        <f t="shared" si="78"/>
        <v>https://videplast.com.br/consulta-imobilizado?id=11000104&amp;nome=DIVERSAS%20NFS%20DESTINADA%20CONSTRUCAO%20BARRACAO</v>
      </c>
      <c r="I2536" t="e">
        <f t="shared" ca="1" si="79"/>
        <v>#NAME?</v>
      </c>
    </row>
    <row r="2537" spans="1:9" x14ac:dyDescent="0.25">
      <c r="A2537" s="2" t="s">
        <v>4194</v>
      </c>
      <c r="B2537" s="2" t="s">
        <v>10</v>
      </c>
      <c r="C2537" s="3">
        <v>42726</v>
      </c>
      <c r="D2537" t="s">
        <v>4195</v>
      </c>
      <c r="E2537" s="2" t="s">
        <v>12</v>
      </c>
      <c r="F2537" s="2" t="s">
        <v>12</v>
      </c>
      <c r="G2537" t="s">
        <v>3923</v>
      </c>
      <c r="H2537" t="str">
        <f t="shared" si="78"/>
        <v>https://videplast.com.br/consulta-imobilizado?id=12000023&amp;nome=OBRA%20DE%20INSTALAÇÃO%20SISTEMA%20CONTRA%20INCENDIO</v>
      </c>
      <c r="I2537" t="e">
        <f t="shared" ca="1" si="79"/>
        <v>#NAME?</v>
      </c>
    </row>
    <row r="2538" spans="1:9" x14ac:dyDescent="0.25">
      <c r="A2538" s="2" t="s">
        <v>4196</v>
      </c>
      <c r="B2538" s="2" t="s">
        <v>10</v>
      </c>
      <c r="C2538" s="3">
        <v>41882</v>
      </c>
      <c r="D2538" t="s">
        <v>4197</v>
      </c>
      <c r="E2538" s="2" t="s">
        <v>4198</v>
      </c>
      <c r="F2538" s="2" t="s">
        <v>12</v>
      </c>
      <c r="G2538" t="s">
        <v>3923</v>
      </c>
      <c r="H2538" t="str">
        <f t="shared" si="78"/>
        <v>https://videplast.com.br/consulta-imobilizado?id=20000074&amp;nome=MAQUINA%20ENVASADORA%20LB1000</v>
      </c>
      <c r="I2538" t="e">
        <f t="shared" ca="1" si="79"/>
        <v>#NAME?</v>
      </c>
    </row>
    <row r="2539" spans="1:9" x14ac:dyDescent="0.25">
      <c r="A2539" s="2" t="s">
        <v>4196</v>
      </c>
      <c r="B2539" s="2" t="s">
        <v>26</v>
      </c>
      <c r="C2539" s="3">
        <v>41882</v>
      </c>
      <c r="D2539" t="s">
        <v>4199</v>
      </c>
      <c r="E2539" s="2" t="s">
        <v>12</v>
      </c>
      <c r="F2539" s="2" t="s">
        <v>12</v>
      </c>
      <c r="G2539" t="s">
        <v>3923</v>
      </c>
      <c r="H2539" t="str">
        <f t="shared" si="78"/>
        <v>https://videplast.com.br/consulta-imobilizado?id=20000074&amp;nome=LIMPEZA%20E%20TROCA%20DE%20PECAS</v>
      </c>
      <c r="I2539" t="e">
        <f t="shared" ca="1" si="79"/>
        <v>#NAME?</v>
      </c>
    </row>
    <row r="2540" spans="1:9" x14ac:dyDescent="0.25">
      <c r="A2540" s="2" t="s">
        <v>4200</v>
      </c>
      <c r="B2540" s="2" t="s">
        <v>21</v>
      </c>
      <c r="C2540" s="3">
        <v>41455</v>
      </c>
      <c r="D2540" t="s">
        <v>4201</v>
      </c>
      <c r="E2540" s="2" t="s">
        <v>12</v>
      </c>
      <c r="F2540" s="2" t="s">
        <v>12</v>
      </c>
      <c r="G2540" t="s">
        <v>3923</v>
      </c>
      <c r="H2540" t="str">
        <f t="shared" si="78"/>
        <v>https://videplast.com.br/consulta-imobilizado?id=20000138&amp;nome=DESPESAS%20NO%20DESEMBARACO%20ADUANEIRO%20NF%2052888</v>
      </c>
      <c r="I2540" t="e">
        <f t="shared" ca="1" si="79"/>
        <v>#NAME?</v>
      </c>
    </row>
    <row r="2541" spans="1:9" x14ac:dyDescent="0.25">
      <c r="A2541" s="2" t="s">
        <v>4200</v>
      </c>
      <c r="B2541" s="2" t="s">
        <v>29</v>
      </c>
      <c r="C2541" s="3">
        <v>41455</v>
      </c>
      <c r="D2541" t="s">
        <v>4202</v>
      </c>
      <c r="E2541" s="2" t="s">
        <v>12</v>
      </c>
      <c r="F2541" s="2" t="s">
        <v>12</v>
      </c>
      <c r="G2541" t="s">
        <v>3923</v>
      </c>
      <c r="H2541" t="str">
        <f t="shared" si="78"/>
        <v>https://videplast.com.br/consulta-imobilizado?id=20000138&amp;nome=SERVICO%20NA%20MONTAGEM%20DE%20MAQ.ENVASADORA%20SANITARIA</v>
      </c>
      <c r="I2541" t="e">
        <f t="shared" ca="1" si="79"/>
        <v>#NAME?</v>
      </c>
    </row>
    <row r="2542" spans="1:9" x14ac:dyDescent="0.25">
      <c r="A2542" s="2" t="s">
        <v>4200</v>
      </c>
      <c r="B2542" s="2" t="s">
        <v>31</v>
      </c>
      <c r="C2542" s="3">
        <v>41455</v>
      </c>
      <c r="D2542" t="s">
        <v>4202</v>
      </c>
      <c r="E2542" s="2" t="s">
        <v>12</v>
      </c>
      <c r="F2542" s="2" t="s">
        <v>12</v>
      </c>
      <c r="G2542" t="s">
        <v>3923</v>
      </c>
      <c r="H2542" t="str">
        <f t="shared" si="78"/>
        <v>https://videplast.com.br/consulta-imobilizado?id=20000138&amp;nome=SERVICO%20NA%20MONTAGEM%20DE%20MAQ.ENVASADORA%20SANITARIA</v>
      </c>
      <c r="I2542" t="e">
        <f t="shared" ca="1" si="79"/>
        <v>#NAME?</v>
      </c>
    </row>
    <row r="2543" spans="1:9" x14ac:dyDescent="0.25">
      <c r="A2543" s="2" t="s">
        <v>4200</v>
      </c>
      <c r="B2543" s="2" t="s">
        <v>33</v>
      </c>
      <c r="C2543" s="3">
        <v>41455</v>
      </c>
      <c r="D2543" t="s">
        <v>4203</v>
      </c>
      <c r="E2543" s="2" t="s">
        <v>4204</v>
      </c>
      <c r="F2543" s="2" t="s">
        <v>12</v>
      </c>
      <c r="G2543" t="s">
        <v>3923</v>
      </c>
      <c r="H2543" t="str">
        <f t="shared" si="78"/>
        <v>https://videplast.com.br/consulta-imobilizado?id=20000138&amp;nome=CONTADOR%20DE%20LIQ%20CPI%201%20POL%20C/%20TRANSMISSOR%20DE%20SINAL</v>
      </c>
      <c r="I2543" t="e">
        <f t="shared" ca="1" si="79"/>
        <v>#NAME?</v>
      </c>
    </row>
    <row r="2544" spans="1:9" x14ac:dyDescent="0.25">
      <c r="A2544" s="2" t="s">
        <v>4200</v>
      </c>
      <c r="B2544" s="2" t="s">
        <v>35</v>
      </c>
      <c r="C2544" s="3">
        <v>41455</v>
      </c>
      <c r="D2544" t="s">
        <v>4203</v>
      </c>
      <c r="E2544" s="2" t="s">
        <v>4205</v>
      </c>
      <c r="F2544" s="2" t="s">
        <v>12</v>
      </c>
      <c r="G2544" t="s">
        <v>3923</v>
      </c>
      <c r="H2544" t="str">
        <f t="shared" si="78"/>
        <v>https://videplast.com.br/consulta-imobilizado?id=20000138&amp;nome=CONTADOR%20DE%20LIQ%20CPI%201%20POL%20C/%20TRANSMISSOR%20DE%20SINAL</v>
      </c>
      <c r="I2544" t="e">
        <f t="shared" ca="1" si="79"/>
        <v>#NAME?</v>
      </c>
    </row>
    <row r="2545" spans="1:9" x14ac:dyDescent="0.25">
      <c r="A2545" s="2" t="s">
        <v>4200</v>
      </c>
      <c r="B2545" s="2" t="s">
        <v>37</v>
      </c>
      <c r="C2545" s="3">
        <v>41486</v>
      </c>
      <c r="D2545" t="s">
        <v>4201</v>
      </c>
      <c r="E2545" s="2" t="s">
        <v>12</v>
      </c>
      <c r="F2545" s="2" t="s">
        <v>12</v>
      </c>
      <c r="G2545" t="s">
        <v>3923</v>
      </c>
      <c r="H2545" t="str">
        <f t="shared" si="78"/>
        <v>https://videplast.com.br/consulta-imobilizado?id=20000138&amp;nome=DESPESAS%20NO%20DESEMBARACO%20ADUANEIRO%20NF%2052888</v>
      </c>
      <c r="I2545" t="e">
        <f t="shared" ca="1" si="79"/>
        <v>#NAME?</v>
      </c>
    </row>
    <row r="2546" spans="1:9" x14ac:dyDescent="0.25">
      <c r="A2546" s="2" t="s">
        <v>4200</v>
      </c>
      <c r="B2546" s="2" t="s">
        <v>39</v>
      </c>
      <c r="C2546" s="3">
        <v>41486</v>
      </c>
      <c r="D2546" t="s">
        <v>4201</v>
      </c>
      <c r="E2546" s="2" t="s">
        <v>12</v>
      </c>
      <c r="F2546" s="2" t="s">
        <v>12</v>
      </c>
      <c r="G2546" t="s">
        <v>3923</v>
      </c>
      <c r="H2546" t="str">
        <f t="shared" si="78"/>
        <v>https://videplast.com.br/consulta-imobilizado?id=20000138&amp;nome=DESPESAS%20NO%20DESEMBARACO%20ADUANEIRO%20NF%2052888</v>
      </c>
      <c r="I2546" t="e">
        <f t="shared" ca="1" si="79"/>
        <v>#NAME?</v>
      </c>
    </row>
    <row r="2547" spans="1:9" x14ac:dyDescent="0.25">
      <c r="A2547" s="2" t="s">
        <v>4206</v>
      </c>
      <c r="B2547" s="2" t="s">
        <v>10</v>
      </c>
      <c r="C2547" s="3">
        <v>40968</v>
      </c>
      <c r="D2547" t="s">
        <v>4207</v>
      </c>
      <c r="E2547" s="2" t="s">
        <v>12</v>
      </c>
      <c r="F2547" s="2" t="s">
        <v>12</v>
      </c>
      <c r="G2547" t="s">
        <v>3923</v>
      </c>
      <c r="H2547" t="str">
        <f t="shared" si="78"/>
        <v>https://videplast.com.br/consulta-imobilizado?id=21000313&amp;nome=SECADOR%20DE%20MAOS%20VAMA%20SUPER%202000%20-%20220V</v>
      </c>
      <c r="I2547" t="e">
        <f t="shared" ca="1" si="79"/>
        <v>#NAME?</v>
      </c>
    </row>
    <row r="2548" spans="1:9" x14ac:dyDescent="0.25">
      <c r="A2548" s="2" t="s">
        <v>4208</v>
      </c>
      <c r="B2548" s="2" t="s">
        <v>10</v>
      </c>
      <c r="C2548" s="3">
        <v>40968</v>
      </c>
      <c r="D2548" t="s">
        <v>4209</v>
      </c>
      <c r="E2548" s="2" t="s">
        <v>12</v>
      </c>
      <c r="F2548" s="2" t="s">
        <v>12</v>
      </c>
      <c r="G2548" t="s">
        <v>3923</v>
      </c>
      <c r="H2548" t="str">
        <f t="shared" si="78"/>
        <v>https://videplast.com.br/consulta-imobilizado?id=21000316&amp;nome=CONJUNTO%20PARA%20ATERRAMENTO%20DE%20REDE%20MEDIA%20TENSAO</v>
      </c>
      <c r="I2548" t="e">
        <f t="shared" ca="1" si="79"/>
        <v>#NAME?</v>
      </c>
    </row>
    <row r="2549" spans="1:9" x14ac:dyDescent="0.25">
      <c r="A2549" s="2" t="s">
        <v>4210</v>
      </c>
      <c r="B2549" s="2" t="s">
        <v>10</v>
      </c>
      <c r="C2549" s="3">
        <v>41305</v>
      </c>
      <c r="D2549" t="s">
        <v>4211</v>
      </c>
      <c r="E2549" s="2" t="s">
        <v>12</v>
      </c>
      <c r="F2549" s="2" t="s">
        <v>12</v>
      </c>
      <c r="G2549" t="s">
        <v>3923</v>
      </c>
      <c r="H2549" t="str">
        <f t="shared" si="78"/>
        <v>https://videplast.com.br/consulta-imobilizado?id=21000341&amp;nome=CONSTRUCAO%20DE%202%20QUADROS%20GERAL%20DE%20BAIXA%20TENSAO%20QCBT</v>
      </c>
      <c r="I2549" t="e">
        <f t="shared" ca="1" si="79"/>
        <v>#NAME?</v>
      </c>
    </row>
    <row r="2550" spans="1:9" x14ac:dyDescent="0.25">
      <c r="A2550" s="2" t="s">
        <v>4212</v>
      </c>
      <c r="B2550" s="2" t="s">
        <v>10</v>
      </c>
      <c r="C2550" s="3">
        <v>41274</v>
      </c>
      <c r="D2550" t="s">
        <v>4213</v>
      </c>
      <c r="E2550" s="2" t="s">
        <v>12</v>
      </c>
      <c r="F2550" s="2" t="s">
        <v>12</v>
      </c>
      <c r="G2550" t="s">
        <v>3923</v>
      </c>
      <c r="H2550" t="str">
        <f t="shared" si="78"/>
        <v>https://videplast.com.br/consulta-imobilizado?id=21000342&amp;nome=TRANSFORMADOR%20ENCAPSULASO%201000%20KVA%2015%20KV%201,2</v>
      </c>
      <c r="I2550" t="e">
        <f t="shared" ca="1" si="79"/>
        <v>#NAME?</v>
      </c>
    </row>
    <row r="2551" spans="1:9" x14ac:dyDescent="0.25">
      <c r="A2551" s="2" t="s">
        <v>4212</v>
      </c>
      <c r="B2551" s="2" t="s">
        <v>26</v>
      </c>
      <c r="C2551" s="3">
        <v>41274</v>
      </c>
      <c r="D2551" t="s">
        <v>4214</v>
      </c>
      <c r="E2551" s="2" t="s">
        <v>12</v>
      </c>
      <c r="F2551" s="2" t="s">
        <v>12</v>
      </c>
      <c r="G2551" t="s">
        <v>3923</v>
      </c>
      <c r="H2551" t="str">
        <f t="shared" si="78"/>
        <v>https://videplast.com.br/consulta-imobilizado?id=21000342&amp;nome=TERMORETRATIL%20100,0/.51.00MM%20PT</v>
      </c>
      <c r="I2551" t="e">
        <f t="shared" ca="1" si="79"/>
        <v>#NAME?</v>
      </c>
    </row>
    <row r="2552" spans="1:9" x14ac:dyDescent="0.25">
      <c r="A2552" s="2" t="s">
        <v>4212</v>
      </c>
      <c r="B2552" s="2" t="s">
        <v>21</v>
      </c>
      <c r="C2552" s="3">
        <v>41274</v>
      </c>
      <c r="D2552" t="s">
        <v>4215</v>
      </c>
      <c r="E2552" s="2" t="s">
        <v>12</v>
      </c>
      <c r="F2552" s="2" t="s">
        <v>12</v>
      </c>
      <c r="G2552" t="s">
        <v>3923</v>
      </c>
      <c r="H2552" t="str">
        <f t="shared" si="78"/>
        <v>https://videplast.com.br/consulta-imobilizado?id=21000342&amp;nome=ISOLADOR%20PARALELO%2070X80MM%203/8</v>
      </c>
      <c r="I2552" t="e">
        <f t="shared" ca="1" si="79"/>
        <v>#NAME?</v>
      </c>
    </row>
    <row r="2553" spans="1:9" x14ac:dyDescent="0.25">
      <c r="A2553" s="2" t="s">
        <v>4212</v>
      </c>
      <c r="B2553" s="2" t="s">
        <v>29</v>
      </c>
      <c r="C2553" s="3">
        <v>41274</v>
      </c>
      <c r="D2553" t="s">
        <v>4216</v>
      </c>
      <c r="E2553" s="2" t="s">
        <v>12</v>
      </c>
      <c r="F2553" s="2" t="s">
        <v>12</v>
      </c>
      <c r="G2553" t="s">
        <v>3923</v>
      </c>
      <c r="H2553" t="str">
        <f t="shared" si="78"/>
        <v>https://videplast.com.br/consulta-imobilizado?id=21000342&amp;nome=NITRATO%20FR%20PRATA</v>
      </c>
      <c r="I2553" t="e">
        <f t="shared" ca="1" si="79"/>
        <v>#NAME?</v>
      </c>
    </row>
    <row r="2554" spans="1:9" x14ac:dyDescent="0.25">
      <c r="A2554" s="2" t="s">
        <v>4212</v>
      </c>
      <c r="B2554" s="2" t="s">
        <v>31</v>
      </c>
      <c r="C2554" s="3">
        <v>41274</v>
      </c>
      <c r="D2554" t="s">
        <v>4217</v>
      </c>
      <c r="E2554" s="2" t="s">
        <v>12</v>
      </c>
      <c r="F2554" s="2" t="s">
        <v>12</v>
      </c>
      <c r="G2554" t="s">
        <v>3923</v>
      </c>
      <c r="H2554" t="str">
        <f t="shared" si="78"/>
        <v>https://videplast.com.br/consulta-imobilizado?id=21000342&amp;nome=CANTONEIRA%203/16%20X%201.1/2%20A-36</v>
      </c>
      <c r="I2554" t="e">
        <f t="shared" ca="1" si="79"/>
        <v>#NAME?</v>
      </c>
    </row>
    <row r="2555" spans="1:9" x14ac:dyDescent="0.25">
      <c r="A2555" s="2" t="s">
        <v>4212</v>
      </c>
      <c r="B2555" s="2" t="s">
        <v>33</v>
      </c>
      <c r="C2555" s="3">
        <v>41274</v>
      </c>
      <c r="D2555" t="s">
        <v>4218</v>
      </c>
      <c r="E2555" s="2" t="s">
        <v>12</v>
      </c>
      <c r="F2555" s="2" t="s">
        <v>12</v>
      </c>
      <c r="G2555" t="s">
        <v>3923</v>
      </c>
      <c r="H2555" t="str">
        <f t="shared" si="78"/>
        <v>https://videplast.com.br/consulta-imobilizado?id=21000342&amp;nome=BARRAMENTO%20COBRE%204X3/8%20(2065A)</v>
      </c>
      <c r="I2555" t="e">
        <f t="shared" ca="1" si="79"/>
        <v>#NAME?</v>
      </c>
    </row>
    <row r="2556" spans="1:9" x14ac:dyDescent="0.25">
      <c r="A2556" s="2" t="s">
        <v>4212</v>
      </c>
      <c r="B2556" s="2" t="s">
        <v>35</v>
      </c>
      <c r="C2556" s="3">
        <v>41274</v>
      </c>
      <c r="D2556" t="s">
        <v>4219</v>
      </c>
      <c r="E2556" s="2" t="s">
        <v>12</v>
      </c>
      <c r="F2556" s="2" t="s">
        <v>12</v>
      </c>
      <c r="G2556" t="s">
        <v>3923</v>
      </c>
      <c r="H2556" t="str">
        <f t="shared" si="78"/>
        <v>https://videplast.com.br/consulta-imobilizado?id=21000342&amp;nome=FUSIVEL%20LIM%20CORRENTE%20HH%2063A%2015/17</v>
      </c>
      <c r="I2556" t="e">
        <f t="shared" ca="1" si="79"/>
        <v>#NAME?</v>
      </c>
    </row>
    <row r="2557" spans="1:9" x14ac:dyDescent="0.25">
      <c r="A2557" s="2" t="s">
        <v>4212</v>
      </c>
      <c r="B2557" s="2" t="s">
        <v>37</v>
      </c>
      <c r="C2557" s="3">
        <v>41274</v>
      </c>
      <c r="D2557" t="s">
        <v>4220</v>
      </c>
      <c r="E2557" s="2" t="s">
        <v>12</v>
      </c>
      <c r="F2557" s="2" t="s">
        <v>12</v>
      </c>
      <c r="G2557" t="s">
        <v>3923</v>
      </c>
      <c r="H2557" t="str">
        <f t="shared" si="78"/>
        <v>https://videplast.com.br/consulta-imobilizado?id=21000342&amp;nome=SERVICO%20MAO%20DE%20OBRA%20PARA%20INSTALACAO%20TRANSFORMADOR</v>
      </c>
      <c r="I2557" t="e">
        <f t="shared" ca="1" si="79"/>
        <v>#NAME?</v>
      </c>
    </row>
    <row r="2558" spans="1:9" x14ac:dyDescent="0.25">
      <c r="A2558" s="2" t="s">
        <v>4221</v>
      </c>
      <c r="B2558" s="2" t="s">
        <v>10</v>
      </c>
      <c r="C2558" s="3">
        <v>41305</v>
      </c>
      <c r="D2558" t="s">
        <v>4222</v>
      </c>
      <c r="E2558" s="2" t="s">
        <v>12</v>
      </c>
      <c r="F2558" s="2" t="s">
        <v>12</v>
      </c>
      <c r="G2558" t="s">
        <v>3923</v>
      </c>
      <c r="H2558" t="str">
        <f t="shared" si="78"/>
        <v>https://videplast.com.br/consulta-imobilizado?id=21000346&amp;nome=GRUPO%20GERADOR%20GERASSOL%20500%20KVA</v>
      </c>
      <c r="I2558" t="e">
        <f t="shared" ca="1" si="79"/>
        <v>#NAME?</v>
      </c>
    </row>
    <row r="2559" spans="1:9" x14ac:dyDescent="0.25">
      <c r="A2559" s="2" t="s">
        <v>4223</v>
      </c>
      <c r="B2559" s="2" t="s">
        <v>10</v>
      </c>
      <c r="C2559" s="3">
        <v>42004</v>
      </c>
      <c r="D2559" t="s">
        <v>4224</v>
      </c>
      <c r="E2559" s="2" t="s">
        <v>4225</v>
      </c>
      <c r="F2559" s="2" t="s">
        <v>4226</v>
      </c>
      <c r="G2559" t="s">
        <v>3923</v>
      </c>
      <c r="H2559" t="str">
        <f t="shared" si="78"/>
        <v>https://videplast.com.br/consulta-imobilizado?id=21000407&amp;nome=NOBREAK%20UPS%20NB%202110XX%20NN10KVA</v>
      </c>
      <c r="I2559" t="e">
        <f t="shared" ca="1" si="79"/>
        <v>#NAME?</v>
      </c>
    </row>
    <row r="2560" spans="1:9" x14ac:dyDescent="0.25">
      <c r="A2560" s="2" t="s">
        <v>4227</v>
      </c>
      <c r="B2560" s="2" t="s">
        <v>10</v>
      </c>
      <c r="C2560" s="3">
        <v>38695</v>
      </c>
      <c r="D2560" t="s">
        <v>4228</v>
      </c>
      <c r="E2560" s="2" t="s">
        <v>12</v>
      </c>
      <c r="F2560" s="2" t="s">
        <v>12</v>
      </c>
      <c r="G2560" t="s">
        <v>3923</v>
      </c>
      <c r="H2560" t="str">
        <f t="shared" si="78"/>
        <v>https://videplast.com.br/consulta-imobilizado?id=21000429&amp;nome=BARREIRA%20AUTOMATICA%20PARA%20PORTARIA%20DA%20INDUSTRIA</v>
      </c>
      <c r="I2560" t="e">
        <f t="shared" ca="1" si="79"/>
        <v>#NAME?</v>
      </c>
    </row>
    <row r="2561" spans="1:9" x14ac:dyDescent="0.25">
      <c r="A2561" s="2" t="s">
        <v>4229</v>
      </c>
      <c r="B2561" s="2" t="s">
        <v>10</v>
      </c>
      <c r="C2561" s="3">
        <v>38782</v>
      </c>
      <c r="D2561" t="s">
        <v>4230</v>
      </c>
      <c r="E2561" s="2" t="s">
        <v>12</v>
      </c>
      <c r="F2561" s="2" t="s">
        <v>12</v>
      </c>
      <c r="G2561" t="s">
        <v>3923</v>
      </c>
      <c r="H2561" t="str">
        <f t="shared" si="78"/>
        <v>https://videplast.com.br/consulta-imobilizado?id=21000440&amp;nome=CABO%20INTTERLIGADO%20COUGAR%20BALANCA</v>
      </c>
      <c r="I2561" t="e">
        <f t="shared" ca="1" si="79"/>
        <v>#NAME?</v>
      </c>
    </row>
    <row r="2562" spans="1:9" x14ac:dyDescent="0.25">
      <c r="A2562" s="2" t="s">
        <v>4231</v>
      </c>
      <c r="B2562" s="2" t="s">
        <v>10</v>
      </c>
      <c r="C2562" s="3">
        <v>38782</v>
      </c>
      <c r="D2562" t="s">
        <v>4232</v>
      </c>
      <c r="E2562" s="2" t="s">
        <v>12</v>
      </c>
      <c r="F2562" s="2" t="s">
        <v>12</v>
      </c>
      <c r="G2562" t="s">
        <v>3923</v>
      </c>
      <c r="H2562" t="str">
        <f t="shared" ref="H2562:H2625" si="80" xml:space="preserve"> "https://videplast.com.br/consulta-imobilizado?id=" &amp; A2562 &amp; "&amp;nome=" &amp; SUBSTITUTE(D2562, " ", "%20")</f>
        <v>https://videplast.com.br/consulta-imobilizado?id=21000442&amp;nome=MEDIDOR%20DE%20COEFICIENTE%20DE%20FRICCAO</v>
      </c>
      <c r="I2562" t="e">
        <f t="shared" ref="I2562:I2625" ca="1" si="81">_xlfn.IMAGE("https://chart.googleapis.com/chart?chs=150x150&amp;cht=qr&amp;chl=" &amp; H2562)</f>
        <v>#NAME?</v>
      </c>
    </row>
    <row r="2563" spans="1:9" x14ac:dyDescent="0.25">
      <c r="A2563" s="2" t="s">
        <v>4233</v>
      </c>
      <c r="B2563" s="2" t="s">
        <v>10</v>
      </c>
      <c r="C2563" s="3">
        <v>38919</v>
      </c>
      <c r="D2563" t="s">
        <v>352</v>
      </c>
      <c r="E2563" s="2" t="s">
        <v>12</v>
      </c>
      <c r="F2563" s="2" t="s">
        <v>12</v>
      </c>
      <c r="G2563" t="s">
        <v>3923</v>
      </c>
      <c r="H2563" t="str">
        <f t="shared" si="80"/>
        <v>https://videplast.com.br/consulta-imobilizado?id=21000450&amp;nome=PALETEIRA%20MANUAL%202500%20KG%20M25</v>
      </c>
      <c r="I2563" t="e">
        <f t="shared" ca="1" si="81"/>
        <v>#NAME?</v>
      </c>
    </row>
    <row r="2564" spans="1:9" x14ac:dyDescent="0.25">
      <c r="A2564" s="2" t="s">
        <v>4234</v>
      </c>
      <c r="B2564" s="2" t="s">
        <v>10</v>
      </c>
      <c r="C2564" s="3">
        <v>38973</v>
      </c>
      <c r="D2564" t="s">
        <v>4235</v>
      </c>
      <c r="E2564" s="2" t="s">
        <v>12</v>
      </c>
      <c r="F2564" s="2" t="s">
        <v>12</v>
      </c>
      <c r="G2564" t="s">
        <v>3923</v>
      </c>
      <c r="H2564" t="str">
        <f t="shared" si="80"/>
        <v>https://videplast.com.br/consulta-imobilizado?id=21000453&amp;nome=MOTOBOMBA%20SCX2-3-60-21%20TRIFASICA</v>
      </c>
      <c r="I2564" t="e">
        <f t="shared" ca="1" si="81"/>
        <v>#NAME?</v>
      </c>
    </row>
    <row r="2565" spans="1:9" x14ac:dyDescent="0.25">
      <c r="A2565" s="2" t="s">
        <v>4236</v>
      </c>
      <c r="B2565" s="2" t="s">
        <v>10</v>
      </c>
      <c r="C2565" s="3">
        <v>39007</v>
      </c>
      <c r="D2565" t="s">
        <v>4237</v>
      </c>
      <c r="E2565" s="2" t="s">
        <v>12</v>
      </c>
      <c r="F2565" s="2" t="s">
        <v>12</v>
      </c>
      <c r="G2565" t="s">
        <v>3923</v>
      </c>
      <c r="H2565" t="str">
        <f t="shared" si="80"/>
        <v>https://videplast.com.br/consulta-imobilizado?id=21000454&amp;nome=EMPILHADEIRA%20MANUAL</v>
      </c>
      <c r="I2565" t="e">
        <f t="shared" ca="1" si="81"/>
        <v>#NAME?</v>
      </c>
    </row>
    <row r="2566" spans="1:9" x14ac:dyDescent="0.25">
      <c r="A2566" s="2" t="s">
        <v>4238</v>
      </c>
      <c r="B2566" s="2" t="s">
        <v>10</v>
      </c>
      <c r="C2566" s="3">
        <v>39007</v>
      </c>
      <c r="D2566" t="s">
        <v>4239</v>
      </c>
      <c r="E2566" s="2" t="s">
        <v>12</v>
      </c>
      <c r="F2566" s="2" t="s">
        <v>12</v>
      </c>
      <c r="G2566" t="s">
        <v>3923</v>
      </c>
      <c r="H2566" t="str">
        <f t="shared" si="80"/>
        <v>https://videplast.com.br/consulta-imobilizado?id=21000455&amp;nome=MEDIDORES%20DE%20ESPESSURA%20COM%20RELOGIO</v>
      </c>
      <c r="I2566" t="e">
        <f t="shared" ca="1" si="81"/>
        <v>#NAME?</v>
      </c>
    </row>
    <row r="2567" spans="1:9" x14ac:dyDescent="0.25">
      <c r="A2567" s="2" t="s">
        <v>4240</v>
      </c>
      <c r="B2567" s="2" t="s">
        <v>10</v>
      </c>
      <c r="C2567" s="3">
        <v>39007</v>
      </c>
      <c r="D2567" t="s">
        <v>4237</v>
      </c>
      <c r="E2567" s="2" t="s">
        <v>12</v>
      </c>
      <c r="F2567" s="2" t="s">
        <v>12</v>
      </c>
      <c r="G2567" t="s">
        <v>3923</v>
      </c>
      <c r="H2567" t="str">
        <f t="shared" si="80"/>
        <v>https://videplast.com.br/consulta-imobilizado?id=21000458&amp;nome=EMPILHADEIRA%20MANUAL</v>
      </c>
      <c r="I2567" t="e">
        <f t="shared" ca="1" si="81"/>
        <v>#NAME?</v>
      </c>
    </row>
    <row r="2568" spans="1:9" x14ac:dyDescent="0.25">
      <c r="A2568" s="2" t="s">
        <v>4241</v>
      </c>
      <c r="B2568" s="2" t="s">
        <v>10</v>
      </c>
      <c r="C2568" s="3">
        <v>39158</v>
      </c>
      <c r="D2568" t="s">
        <v>4242</v>
      </c>
      <c r="E2568" s="2" t="s">
        <v>12</v>
      </c>
      <c r="F2568" s="2" t="s">
        <v>12</v>
      </c>
      <c r="G2568" t="s">
        <v>3923</v>
      </c>
      <c r="H2568" t="str">
        <f t="shared" si="80"/>
        <v>https://videplast.com.br/consulta-imobilizado?id=21000467&amp;nome=DE%20110%20MT%20DE%20CABO%20P/INST%20AR%20CONDICIONADO%20DA%20SALA</v>
      </c>
      <c r="I2568" t="e">
        <f t="shared" ca="1" si="81"/>
        <v>#NAME?</v>
      </c>
    </row>
    <row r="2569" spans="1:9" x14ac:dyDescent="0.25">
      <c r="A2569" s="2" t="s">
        <v>4243</v>
      </c>
      <c r="B2569" s="2" t="s">
        <v>10</v>
      </c>
      <c r="C2569" s="3">
        <v>39230</v>
      </c>
      <c r="D2569" t="s">
        <v>4244</v>
      </c>
      <c r="E2569" s="2" t="s">
        <v>12</v>
      </c>
      <c r="F2569" s="2" t="s">
        <v>12</v>
      </c>
      <c r="G2569" t="s">
        <v>3923</v>
      </c>
      <c r="H2569" t="str">
        <f t="shared" si="80"/>
        <v>https://videplast.com.br/consulta-imobilizado?id=21000479&amp;nome=DE%2090%20MT%20DE%20CABO%20INDNX%20%20FLEX%200.6/1KV%20240.0MM2%20PT</v>
      </c>
      <c r="I2569" t="e">
        <f t="shared" ca="1" si="81"/>
        <v>#NAME?</v>
      </c>
    </row>
    <row r="2570" spans="1:9" x14ac:dyDescent="0.25">
      <c r="A2570" s="2" t="s">
        <v>4243</v>
      </c>
      <c r="B2570" s="2" t="s">
        <v>26</v>
      </c>
      <c r="C2570" s="3">
        <v>39230</v>
      </c>
      <c r="D2570" t="s">
        <v>4245</v>
      </c>
      <c r="E2570" s="2" t="s">
        <v>12</v>
      </c>
      <c r="F2570" s="2" t="s">
        <v>12</v>
      </c>
      <c r="G2570" t="s">
        <v>3923</v>
      </c>
      <c r="H2570" t="str">
        <f t="shared" si="80"/>
        <v>https://videplast.com.br/consulta-imobilizado?id=21000479&amp;nome=DE%2030%20MT%20DE%20CABO%20INDNX%20%20FLEX%200.6/1KV%20300.0MM2%20PT</v>
      </c>
      <c r="I2570" t="e">
        <f t="shared" ca="1" si="81"/>
        <v>#NAME?</v>
      </c>
    </row>
    <row r="2571" spans="1:9" x14ac:dyDescent="0.25">
      <c r="A2571" s="2" t="s">
        <v>4243</v>
      </c>
      <c r="B2571" s="2" t="s">
        <v>21</v>
      </c>
      <c r="C2571" s="3">
        <v>39230</v>
      </c>
      <c r="D2571" t="s">
        <v>4246</v>
      </c>
      <c r="E2571" s="2" t="s">
        <v>12</v>
      </c>
      <c r="F2571" s="2" t="s">
        <v>12</v>
      </c>
      <c r="G2571" t="s">
        <v>3923</v>
      </c>
      <c r="H2571" t="str">
        <f t="shared" si="80"/>
        <v>https://videplast.com.br/consulta-imobilizado?id=21000479&amp;nome=TERMINAIS%20A%20COMPRESSAO%20TM%20240%20USADOS</v>
      </c>
      <c r="I2571" t="e">
        <f t="shared" ca="1" si="81"/>
        <v>#NAME?</v>
      </c>
    </row>
    <row r="2572" spans="1:9" x14ac:dyDescent="0.25">
      <c r="A2572" s="2" t="s">
        <v>4243</v>
      </c>
      <c r="B2572" s="2" t="s">
        <v>29</v>
      </c>
      <c r="C2572" s="3">
        <v>39230</v>
      </c>
      <c r="D2572" t="s">
        <v>4247</v>
      </c>
      <c r="E2572" s="2" t="s">
        <v>12</v>
      </c>
      <c r="F2572" s="2" t="s">
        <v>12</v>
      </c>
      <c r="G2572" t="s">
        <v>3923</v>
      </c>
      <c r="H2572" t="str">
        <f t="shared" si="80"/>
        <v>https://videplast.com.br/consulta-imobilizado?id=21000479&amp;nome=DE%208%20TERMINAIS%20OLHAL%20USADOS%20P/REFORCO%20DOS%20CABOS</v>
      </c>
      <c r="I2572" t="e">
        <f t="shared" ca="1" si="81"/>
        <v>#NAME?</v>
      </c>
    </row>
    <row r="2573" spans="1:9" x14ac:dyDescent="0.25">
      <c r="A2573" s="2" t="s">
        <v>4248</v>
      </c>
      <c r="B2573" s="2" t="s">
        <v>10</v>
      </c>
      <c r="C2573" s="3">
        <v>39210</v>
      </c>
      <c r="D2573" t="s">
        <v>4249</v>
      </c>
      <c r="E2573" s="2" t="s">
        <v>12</v>
      </c>
      <c r="F2573" s="2" t="s">
        <v>12</v>
      </c>
      <c r="G2573" t="s">
        <v>3923</v>
      </c>
      <c r="H2573" t="str">
        <f t="shared" si="80"/>
        <v>https://videplast.com.br/consulta-imobilizado?id=21000482&amp;nome=EXAUSTOR%2050%201HP%2060HZ%20PA%20GALV%20TRIFASICO</v>
      </c>
      <c r="I2573" t="e">
        <f t="shared" ca="1" si="81"/>
        <v>#NAME?</v>
      </c>
    </row>
    <row r="2574" spans="1:9" x14ac:dyDescent="0.25">
      <c r="A2574" s="2" t="s">
        <v>4250</v>
      </c>
      <c r="B2574" s="2" t="s">
        <v>10</v>
      </c>
      <c r="C2574" s="3">
        <v>39233</v>
      </c>
      <c r="D2574" t="s">
        <v>4251</v>
      </c>
      <c r="E2574" s="2" t="s">
        <v>12</v>
      </c>
      <c r="F2574" s="2" t="s">
        <v>12</v>
      </c>
      <c r="G2574" t="s">
        <v>3923</v>
      </c>
      <c r="H2574" t="str">
        <f t="shared" si="80"/>
        <v>https://videplast.com.br/consulta-imobilizado?id=21000485&amp;nome=DE%20MAO%20DE%20OBRA%20EM%20SERVICOS%20ELETRICOS%20P/REFORCO%20DE</v>
      </c>
      <c r="I2574" t="e">
        <f t="shared" ca="1" si="81"/>
        <v>#NAME?</v>
      </c>
    </row>
    <row r="2575" spans="1:9" x14ac:dyDescent="0.25">
      <c r="A2575" s="2" t="s">
        <v>4252</v>
      </c>
      <c r="B2575" s="2" t="s">
        <v>10</v>
      </c>
      <c r="C2575" s="3">
        <v>39406</v>
      </c>
      <c r="D2575" t="s">
        <v>4253</v>
      </c>
      <c r="E2575" s="2" t="s">
        <v>12</v>
      </c>
      <c r="F2575" s="2" t="s">
        <v>12</v>
      </c>
      <c r="G2575" t="s">
        <v>3923</v>
      </c>
      <c r="H2575" t="str">
        <f t="shared" si="80"/>
        <v>https://videplast.com.br/consulta-imobilizado?id=21000501&amp;nome=EXAUSTOR%20DE%2050%201HP%2060HZ%20PA%20GALV</v>
      </c>
      <c r="I2575" t="e">
        <f t="shared" ca="1" si="81"/>
        <v>#NAME?</v>
      </c>
    </row>
    <row r="2576" spans="1:9" x14ac:dyDescent="0.25">
      <c r="A2576" s="2" t="s">
        <v>4254</v>
      </c>
      <c r="B2576" s="2" t="s">
        <v>10</v>
      </c>
      <c r="C2576" s="3">
        <v>40222</v>
      </c>
      <c r="D2576" t="s">
        <v>4255</v>
      </c>
      <c r="E2576" s="2" t="s">
        <v>12</v>
      </c>
      <c r="F2576" s="2" t="s">
        <v>12</v>
      </c>
      <c r="G2576" t="s">
        <v>3923</v>
      </c>
      <c r="H2576" t="str">
        <f t="shared" si="80"/>
        <v>https://videplast.com.br/consulta-imobilizado?id=21000614&amp;nome=ALICATE%20HIDRAULICO%20LK%20-%20300</v>
      </c>
      <c r="I2576" t="e">
        <f t="shared" ca="1" si="81"/>
        <v>#NAME?</v>
      </c>
    </row>
    <row r="2577" spans="1:9" x14ac:dyDescent="0.25">
      <c r="A2577" s="2" t="s">
        <v>4254</v>
      </c>
      <c r="B2577" s="2" t="s">
        <v>26</v>
      </c>
      <c r="C2577" s="3">
        <v>40222</v>
      </c>
      <c r="D2577" t="s">
        <v>4256</v>
      </c>
      <c r="E2577" s="2" t="s">
        <v>12</v>
      </c>
      <c r="F2577" s="2" t="s">
        <v>12</v>
      </c>
      <c r="G2577" t="s">
        <v>3923</v>
      </c>
      <c r="H2577" t="str">
        <f t="shared" si="80"/>
        <v>https://videplast.com.br/consulta-imobilizado?id=21000614&amp;nome=FRETE%20PARA%20TRANSPORTE%20DE%20ALICATE</v>
      </c>
      <c r="I2577" t="e">
        <f t="shared" ca="1" si="81"/>
        <v>#NAME?</v>
      </c>
    </row>
    <row r="2578" spans="1:9" x14ac:dyDescent="0.25">
      <c r="A2578" s="2" t="s">
        <v>4257</v>
      </c>
      <c r="B2578" s="2" t="s">
        <v>10</v>
      </c>
      <c r="C2578" s="3">
        <v>40329</v>
      </c>
      <c r="D2578" t="s">
        <v>4258</v>
      </c>
      <c r="E2578" s="2" t="s">
        <v>12</v>
      </c>
      <c r="F2578" s="2" t="s">
        <v>12</v>
      </c>
      <c r="G2578" t="s">
        <v>3923</v>
      </c>
      <c r="H2578" t="str">
        <f t="shared" si="80"/>
        <v>https://videplast.com.br/consulta-imobilizado?id=21000622&amp;nome=BALANCA%20ACO%20CARBONO%20BT%20004%2030KG</v>
      </c>
      <c r="I2578" t="e">
        <f t="shared" ca="1" si="81"/>
        <v>#NAME?</v>
      </c>
    </row>
    <row r="2579" spans="1:9" x14ac:dyDescent="0.25">
      <c r="A2579" s="2" t="s">
        <v>4259</v>
      </c>
      <c r="B2579" s="2" t="s">
        <v>10</v>
      </c>
      <c r="C2579" s="3">
        <v>40390</v>
      </c>
      <c r="D2579" t="s">
        <v>4260</v>
      </c>
      <c r="E2579" s="2" t="s">
        <v>12</v>
      </c>
      <c r="F2579" s="2" t="s">
        <v>12</v>
      </c>
      <c r="G2579" t="s">
        <v>3923</v>
      </c>
      <c r="H2579" t="str">
        <f t="shared" si="80"/>
        <v>https://videplast.com.br/consulta-imobilizado?id=21000640&amp;nome=LAVADORA%20JCATO%20J7000%20220V</v>
      </c>
      <c r="I2579" t="e">
        <f t="shared" ca="1" si="81"/>
        <v>#NAME?</v>
      </c>
    </row>
    <row r="2580" spans="1:9" x14ac:dyDescent="0.25">
      <c r="A2580" s="2" t="s">
        <v>4259</v>
      </c>
      <c r="B2580" s="2" t="s">
        <v>26</v>
      </c>
      <c r="C2580" s="3">
        <v>40390</v>
      </c>
      <c r="D2580" t="s">
        <v>4261</v>
      </c>
      <c r="E2580" s="2" t="s">
        <v>12</v>
      </c>
      <c r="F2580" s="2" t="s">
        <v>12</v>
      </c>
      <c r="G2580" t="s">
        <v>3923</v>
      </c>
      <c r="H2580" t="str">
        <f t="shared" si="80"/>
        <v>https://videplast.com.br/consulta-imobilizado?id=21000640&amp;nome=FRETE%20REF%20COMPRA%20LAVADORA%20JCATO%20J7000</v>
      </c>
      <c r="I2580" t="e">
        <f t="shared" ca="1" si="81"/>
        <v>#NAME?</v>
      </c>
    </row>
    <row r="2581" spans="1:9" x14ac:dyDescent="0.25">
      <c r="A2581" s="2" t="s">
        <v>4262</v>
      </c>
      <c r="B2581" s="2" t="s">
        <v>10</v>
      </c>
      <c r="C2581" s="3">
        <v>40512</v>
      </c>
      <c r="D2581" t="s">
        <v>4263</v>
      </c>
      <c r="E2581" s="2" t="s">
        <v>12</v>
      </c>
      <c r="F2581" s="2" t="s">
        <v>12</v>
      </c>
      <c r="G2581" t="s">
        <v>3923</v>
      </c>
      <c r="H2581" t="str">
        <f t="shared" si="80"/>
        <v>https://videplast.com.br/consulta-imobilizado?id=21000650&amp;nome=ASPIRADOR%20DE%20PO%20ELECTROLUX%20FLEX%201400W%20220V</v>
      </c>
      <c r="I2581" t="e">
        <f t="shared" ca="1" si="81"/>
        <v>#NAME?</v>
      </c>
    </row>
    <row r="2582" spans="1:9" x14ac:dyDescent="0.25">
      <c r="A2582" s="2" t="s">
        <v>4264</v>
      </c>
      <c r="B2582" s="2" t="s">
        <v>10</v>
      </c>
      <c r="C2582" s="3">
        <v>36669</v>
      </c>
      <c r="D2582" t="s">
        <v>4265</v>
      </c>
      <c r="E2582" s="2" t="s">
        <v>12</v>
      </c>
      <c r="F2582" s="2" t="s">
        <v>4266</v>
      </c>
      <c r="G2582" t="s">
        <v>3923</v>
      </c>
      <c r="H2582" t="str">
        <f t="shared" si="80"/>
        <v>https://videplast.com.br/consulta-imobilizado?id=21000671&amp;nome=TRANSFORMADOR%20TRIFASICO%20A%20OLEO%20500KVA</v>
      </c>
      <c r="I2582" t="e">
        <f t="shared" ca="1" si="81"/>
        <v>#NAME?</v>
      </c>
    </row>
    <row r="2583" spans="1:9" x14ac:dyDescent="0.25">
      <c r="A2583" s="2" t="s">
        <v>4267</v>
      </c>
      <c r="B2583" s="2" t="s">
        <v>10</v>
      </c>
      <c r="C2583" s="3">
        <v>36906</v>
      </c>
      <c r="D2583" t="s">
        <v>4268</v>
      </c>
      <c r="E2583" s="2" t="s">
        <v>12</v>
      </c>
      <c r="F2583" s="2" t="s">
        <v>12</v>
      </c>
      <c r="G2583" t="s">
        <v>3923</v>
      </c>
      <c r="H2583" t="str">
        <f t="shared" si="80"/>
        <v>https://videplast.com.br/consulta-imobilizado?id=21000672&amp;nome=INSTALACAO%20SISTEMA%20DE%20VENTILACAO</v>
      </c>
      <c r="I2583" t="e">
        <f t="shared" ca="1" si="81"/>
        <v>#NAME?</v>
      </c>
    </row>
    <row r="2584" spans="1:9" x14ac:dyDescent="0.25">
      <c r="A2584" s="2" t="s">
        <v>4269</v>
      </c>
      <c r="B2584" s="2" t="s">
        <v>10</v>
      </c>
      <c r="C2584" s="3">
        <v>36918</v>
      </c>
      <c r="D2584" t="s">
        <v>4270</v>
      </c>
      <c r="E2584" s="2" t="s">
        <v>12</v>
      </c>
      <c r="F2584" s="2" t="s">
        <v>12</v>
      </c>
      <c r="G2584" t="s">
        <v>3923</v>
      </c>
      <c r="H2584" t="str">
        <f t="shared" si="80"/>
        <v>https://videplast.com.br/consulta-imobilizado?id=21000673&amp;nome=CORTADOR%20DE%20GRAMA</v>
      </c>
      <c r="I2584" t="e">
        <f t="shared" ca="1" si="81"/>
        <v>#NAME?</v>
      </c>
    </row>
    <row r="2585" spans="1:9" x14ac:dyDescent="0.25">
      <c r="A2585" s="2" t="s">
        <v>4271</v>
      </c>
      <c r="B2585" s="2" t="s">
        <v>10</v>
      </c>
      <c r="C2585" s="3">
        <v>36923</v>
      </c>
      <c r="D2585" t="s">
        <v>4272</v>
      </c>
      <c r="E2585" s="2" t="s">
        <v>12</v>
      </c>
      <c r="F2585" s="2" t="s">
        <v>12</v>
      </c>
      <c r="G2585" t="s">
        <v>3923</v>
      </c>
      <c r="H2585" t="str">
        <f t="shared" si="80"/>
        <v>https://videplast.com.br/consulta-imobilizado?id=21000674&amp;nome=INSTALACAO%20DO%20SISTEMA%20DE%20VENTILACAO</v>
      </c>
      <c r="I2585" t="e">
        <f t="shared" ca="1" si="81"/>
        <v>#NAME?</v>
      </c>
    </row>
    <row r="2586" spans="1:9" x14ac:dyDescent="0.25">
      <c r="A2586" s="2" t="s">
        <v>4273</v>
      </c>
      <c r="B2586" s="2" t="s">
        <v>10</v>
      </c>
      <c r="C2586" s="3">
        <v>36923</v>
      </c>
      <c r="D2586" t="s">
        <v>4272</v>
      </c>
      <c r="E2586" s="2" t="s">
        <v>12</v>
      </c>
      <c r="F2586" s="2" t="s">
        <v>12</v>
      </c>
      <c r="G2586" t="s">
        <v>3923</v>
      </c>
      <c r="H2586" t="str">
        <f t="shared" si="80"/>
        <v>https://videplast.com.br/consulta-imobilizado?id=21000675&amp;nome=INSTALACAO%20DO%20SISTEMA%20DE%20VENTILACAO</v>
      </c>
      <c r="I2586" t="e">
        <f t="shared" ca="1" si="81"/>
        <v>#NAME?</v>
      </c>
    </row>
    <row r="2587" spans="1:9" x14ac:dyDescent="0.25">
      <c r="A2587" s="2" t="s">
        <v>4274</v>
      </c>
      <c r="B2587" s="2" t="s">
        <v>10</v>
      </c>
      <c r="C2587" s="3">
        <v>37131</v>
      </c>
      <c r="D2587" t="s">
        <v>4275</v>
      </c>
      <c r="E2587" s="2" t="s">
        <v>12</v>
      </c>
      <c r="F2587" s="2" t="s">
        <v>12</v>
      </c>
      <c r="G2587" t="s">
        <v>3923</v>
      </c>
      <c r="H2587" t="str">
        <f t="shared" si="80"/>
        <v>https://videplast.com.br/consulta-imobilizado?id=21000678&amp;nome=TANQUE%20OVALADO%20TA%206000</v>
      </c>
      <c r="I2587" t="e">
        <f t="shared" ca="1" si="81"/>
        <v>#NAME?</v>
      </c>
    </row>
    <row r="2588" spans="1:9" x14ac:dyDescent="0.25">
      <c r="A2588" s="2" t="s">
        <v>4276</v>
      </c>
      <c r="B2588" s="2" t="s">
        <v>10</v>
      </c>
      <c r="C2588" s="3">
        <v>38037</v>
      </c>
      <c r="D2588" t="s">
        <v>4277</v>
      </c>
      <c r="E2588" s="2" t="s">
        <v>12</v>
      </c>
      <c r="F2588" s="2" t="s">
        <v>12</v>
      </c>
      <c r="G2588" t="s">
        <v>3923</v>
      </c>
      <c r="H2588" t="str">
        <f t="shared" si="80"/>
        <v>https://videplast.com.br/consulta-imobilizado?id=21000695&amp;nome=CANCELA%20AUTOMATICA%20PPA</v>
      </c>
      <c r="I2588" t="e">
        <f t="shared" ca="1" si="81"/>
        <v>#NAME?</v>
      </c>
    </row>
    <row r="2589" spans="1:9" x14ac:dyDescent="0.25">
      <c r="A2589" s="2" t="s">
        <v>4278</v>
      </c>
      <c r="B2589" s="2" t="s">
        <v>10</v>
      </c>
      <c r="C2589" s="3">
        <v>42035</v>
      </c>
      <c r="D2589" t="s">
        <v>4279</v>
      </c>
      <c r="E2589" s="2" t="s">
        <v>4280</v>
      </c>
      <c r="F2589" s="2" t="s">
        <v>12</v>
      </c>
      <c r="G2589" t="s">
        <v>3923</v>
      </c>
      <c r="H2589" t="str">
        <f t="shared" si="80"/>
        <v>https://videplast.com.br/consulta-imobilizado?id=21000696&amp;nome=CONJUNTO%20NOBREAK%20EXTERNO%20PRINT</v>
      </c>
      <c r="I2589" t="e">
        <f t="shared" ca="1" si="81"/>
        <v>#NAME?</v>
      </c>
    </row>
    <row r="2590" spans="1:9" x14ac:dyDescent="0.25">
      <c r="A2590" s="2" t="s">
        <v>4278</v>
      </c>
      <c r="B2590" s="2" t="s">
        <v>26</v>
      </c>
      <c r="C2590" s="3">
        <v>42035</v>
      </c>
      <c r="D2590" t="s">
        <v>4281</v>
      </c>
      <c r="E2590" s="2" t="s">
        <v>12</v>
      </c>
      <c r="F2590" s="2" t="s">
        <v>12</v>
      </c>
      <c r="G2590" t="s">
        <v>3923</v>
      </c>
      <c r="H2590" t="str">
        <f t="shared" si="80"/>
        <v>https://videplast.com.br/consulta-imobilizado?id=21000696&amp;nome=FRETE%20CONJUNTO%20NOBREAK%20EXTERNO%20PRINT</v>
      </c>
      <c r="I2590" t="e">
        <f t="shared" ca="1" si="81"/>
        <v>#NAME?</v>
      </c>
    </row>
    <row r="2591" spans="1:9" x14ac:dyDescent="0.25">
      <c r="A2591" s="2" t="s">
        <v>4282</v>
      </c>
      <c r="B2591" s="2" t="s">
        <v>10</v>
      </c>
      <c r="C2591" s="3">
        <v>44182</v>
      </c>
      <c r="D2591" t="s">
        <v>4283</v>
      </c>
      <c r="E2591" s="2" t="s">
        <v>12</v>
      </c>
      <c r="F2591" s="2" t="s">
        <v>12</v>
      </c>
      <c r="G2591" t="s">
        <v>3923</v>
      </c>
      <c r="H2591" t="str">
        <f t="shared" si="80"/>
        <v>https://videplast.com.br/consulta-imobilizado?id=21005789&amp;nome=BALANÇA%20TOLEDO%20MOD%20820</v>
      </c>
      <c r="I2591" t="e">
        <f t="shared" ca="1" si="81"/>
        <v>#NAME?</v>
      </c>
    </row>
    <row r="2592" spans="1:9" x14ac:dyDescent="0.25">
      <c r="A2592" s="2" t="s">
        <v>4284</v>
      </c>
      <c r="B2592" s="2" t="s">
        <v>10</v>
      </c>
      <c r="C2592" s="3">
        <v>44692</v>
      </c>
      <c r="D2592" t="s">
        <v>352</v>
      </c>
      <c r="E2592" s="2" t="s">
        <v>12</v>
      </c>
      <c r="F2592" s="2" t="s">
        <v>12</v>
      </c>
      <c r="G2592" t="s">
        <v>3923</v>
      </c>
      <c r="H2592" t="str">
        <f t="shared" si="80"/>
        <v>https://videplast.com.br/consulta-imobilizado?id=21006102&amp;nome=PALETEIRA%20MANUAL%202500%20KG%20M25</v>
      </c>
      <c r="I2592" t="e">
        <f t="shared" ca="1" si="81"/>
        <v>#NAME?</v>
      </c>
    </row>
    <row r="2593" spans="1:9" x14ac:dyDescent="0.25">
      <c r="A2593" s="2" t="s">
        <v>4285</v>
      </c>
      <c r="B2593" s="2" t="s">
        <v>10</v>
      </c>
      <c r="C2593" s="3">
        <v>44692</v>
      </c>
      <c r="D2593" t="s">
        <v>352</v>
      </c>
      <c r="E2593" s="2" t="s">
        <v>12</v>
      </c>
      <c r="F2593" s="2" t="s">
        <v>12</v>
      </c>
      <c r="G2593" t="s">
        <v>3923</v>
      </c>
      <c r="H2593" t="str">
        <f t="shared" si="80"/>
        <v>https://videplast.com.br/consulta-imobilizado?id=21006103&amp;nome=PALETEIRA%20MANUAL%202500%20KG%20M25</v>
      </c>
      <c r="I2593" t="e">
        <f t="shared" ca="1" si="81"/>
        <v>#NAME?</v>
      </c>
    </row>
    <row r="2594" spans="1:9" x14ac:dyDescent="0.25">
      <c r="A2594" s="2" t="s">
        <v>4286</v>
      </c>
      <c r="B2594" s="2" t="s">
        <v>10</v>
      </c>
      <c r="C2594" s="3">
        <v>44692</v>
      </c>
      <c r="D2594" t="s">
        <v>352</v>
      </c>
      <c r="E2594" s="2" t="s">
        <v>12</v>
      </c>
      <c r="F2594" s="2" t="s">
        <v>12</v>
      </c>
      <c r="G2594" t="s">
        <v>3923</v>
      </c>
      <c r="H2594" t="str">
        <f t="shared" si="80"/>
        <v>https://videplast.com.br/consulta-imobilizado?id=21006104&amp;nome=PALETEIRA%20MANUAL%202500%20KG%20M25</v>
      </c>
      <c r="I2594" t="e">
        <f t="shared" ca="1" si="81"/>
        <v>#NAME?</v>
      </c>
    </row>
    <row r="2595" spans="1:9" x14ac:dyDescent="0.25">
      <c r="A2595" s="2" t="s">
        <v>4287</v>
      </c>
      <c r="B2595" s="2" t="s">
        <v>10</v>
      </c>
      <c r="C2595" s="3">
        <v>44692</v>
      </c>
      <c r="D2595" t="s">
        <v>352</v>
      </c>
      <c r="E2595" s="2" t="s">
        <v>12</v>
      </c>
      <c r="F2595" s="2" t="s">
        <v>12</v>
      </c>
      <c r="G2595" t="s">
        <v>3923</v>
      </c>
      <c r="H2595" t="str">
        <f t="shared" si="80"/>
        <v>https://videplast.com.br/consulta-imobilizado?id=21006105&amp;nome=PALETEIRA%20MANUAL%202500%20KG%20M25</v>
      </c>
      <c r="I2595" t="e">
        <f t="shared" ca="1" si="81"/>
        <v>#NAME?</v>
      </c>
    </row>
    <row r="2596" spans="1:9" x14ac:dyDescent="0.25">
      <c r="A2596" s="2" t="s">
        <v>4288</v>
      </c>
      <c r="B2596" s="2" t="s">
        <v>10</v>
      </c>
      <c r="C2596" s="3">
        <v>44692</v>
      </c>
      <c r="D2596" t="s">
        <v>352</v>
      </c>
      <c r="E2596" s="2" t="s">
        <v>12</v>
      </c>
      <c r="F2596" s="2" t="s">
        <v>12</v>
      </c>
      <c r="G2596" t="s">
        <v>3923</v>
      </c>
      <c r="H2596" t="str">
        <f t="shared" si="80"/>
        <v>https://videplast.com.br/consulta-imobilizado?id=21006106&amp;nome=PALETEIRA%20MANUAL%202500%20KG%20M25</v>
      </c>
      <c r="I2596" t="e">
        <f t="shared" ca="1" si="81"/>
        <v>#NAME?</v>
      </c>
    </row>
    <row r="2597" spans="1:9" x14ac:dyDescent="0.25">
      <c r="A2597" s="2" t="s">
        <v>4289</v>
      </c>
      <c r="B2597" s="2" t="s">
        <v>10</v>
      </c>
      <c r="C2597" s="3">
        <v>44692</v>
      </c>
      <c r="D2597" t="s">
        <v>352</v>
      </c>
      <c r="E2597" s="2" t="s">
        <v>12</v>
      </c>
      <c r="F2597" s="2" t="s">
        <v>12</v>
      </c>
      <c r="G2597" t="s">
        <v>3923</v>
      </c>
      <c r="H2597" t="str">
        <f t="shared" si="80"/>
        <v>https://videplast.com.br/consulta-imobilizado?id=21006109&amp;nome=PALETEIRA%20MANUAL%202500%20KG%20M25</v>
      </c>
      <c r="I2597" t="e">
        <f t="shared" ca="1" si="81"/>
        <v>#NAME?</v>
      </c>
    </row>
    <row r="2598" spans="1:9" x14ac:dyDescent="0.25">
      <c r="A2598" s="2" t="s">
        <v>4290</v>
      </c>
      <c r="B2598" s="2" t="s">
        <v>10</v>
      </c>
      <c r="C2598" s="3">
        <v>44692</v>
      </c>
      <c r="D2598" t="s">
        <v>352</v>
      </c>
      <c r="E2598" s="2" t="s">
        <v>12</v>
      </c>
      <c r="F2598" s="2" t="s">
        <v>12</v>
      </c>
      <c r="G2598" t="s">
        <v>3923</v>
      </c>
      <c r="H2598" t="str">
        <f t="shared" si="80"/>
        <v>https://videplast.com.br/consulta-imobilizado?id=21006110&amp;nome=PALETEIRA%20MANUAL%202500%20KG%20M25</v>
      </c>
      <c r="I2598" t="e">
        <f t="shared" ca="1" si="81"/>
        <v>#NAME?</v>
      </c>
    </row>
    <row r="2599" spans="1:9" x14ac:dyDescent="0.25">
      <c r="A2599" s="2" t="s">
        <v>4291</v>
      </c>
      <c r="B2599" s="2" t="s">
        <v>10</v>
      </c>
      <c r="C2599" s="3">
        <v>45511</v>
      </c>
      <c r="D2599" t="s">
        <v>4207</v>
      </c>
      <c r="E2599" s="2" t="s">
        <v>12</v>
      </c>
      <c r="F2599" s="2" t="s">
        <v>12</v>
      </c>
      <c r="G2599" t="s">
        <v>3923</v>
      </c>
      <c r="H2599" t="str">
        <f t="shared" si="80"/>
        <v>https://videplast.com.br/consulta-imobilizado?id=21006609&amp;nome=SECADOR%20DE%20MAOS%20VAMA%20SUPER%202000%20-%20220V</v>
      </c>
      <c r="I2599" t="e">
        <f t="shared" ca="1" si="81"/>
        <v>#NAME?</v>
      </c>
    </row>
    <row r="2600" spans="1:9" x14ac:dyDescent="0.25">
      <c r="A2600" s="2" t="s">
        <v>4292</v>
      </c>
      <c r="B2600" s="2" t="s">
        <v>10</v>
      </c>
      <c r="C2600" s="3">
        <v>45516</v>
      </c>
      <c r="D2600" t="s">
        <v>4258</v>
      </c>
      <c r="E2600" s="2" t="s">
        <v>12</v>
      </c>
      <c r="F2600" s="2" t="s">
        <v>12</v>
      </c>
      <c r="G2600" t="s">
        <v>3923</v>
      </c>
      <c r="H2600" t="str">
        <f t="shared" si="80"/>
        <v>https://videplast.com.br/consulta-imobilizado?id=21006614&amp;nome=BALANCA%20ACO%20CARBONO%20BT%20004%2030KG</v>
      </c>
      <c r="I2600" t="e">
        <f t="shared" ca="1" si="81"/>
        <v>#NAME?</v>
      </c>
    </row>
    <row r="2601" spans="1:9" x14ac:dyDescent="0.25">
      <c r="A2601" s="2" t="s">
        <v>4293</v>
      </c>
      <c r="B2601" s="2" t="s">
        <v>10</v>
      </c>
      <c r="C2601" s="3">
        <v>45516</v>
      </c>
      <c r="D2601" t="s">
        <v>4253</v>
      </c>
      <c r="E2601" s="2" t="s">
        <v>12</v>
      </c>
      <c r="F2601" s="2" t="s">
        <v>12</v>
      </c>
      <c r="G2601" t="s">
        <v>3923</v>
      </c>
      <c r="H2601" t="str">
        <f t="shared" si="80"/>
        <v>https://videplast.com.br/consulta-imobilizado?id=21006621&amp;nome=EXAUSTOR%20DE%2050%201HP%2060HZ%20PA%20GALV</v>
      </c>
      <c r="I2601" t="e">
        <f t="shared" ca="1" si="81"/>
        <v>#NAME?</v>
      </c>
    </row>
    <row r="2602" spans="1:9" x14ac:dyDescent="0.25">
      <c r="A2602" s="2" t="s">
        <v>4294</v>
      </c>
      <c r="B2602" s="2" t="s">
        <v>10</v>
      </c>
      <c r="C2602" s="3">
        <v>40908</v>
      </c>
      <c r="D2602" t="s">
        <v>4295</v>
      </c>
      <c r="E2602" s="2" t="s">
        <v>12</v>
      </c>
      <c r="F2602" s="2" t="s">
        <v>12</v>
      </c>
      <c r="G2602" t="s">
        <v>3923</v>
      </c>
      <c r="H2602" t="str">
        <f t="shared" si="80"/>
        <v>https://videplast.com.br/consulta-imobilizado?id=30000112&amp;nome=ASPIRADOR%20DE%20PO%20KARCHER%20PROF.%20220V%201200E%20(A2104)</v>
      </c>
      <c r="I2602" t="e">
        <f t="shared" ca="1" si="81"/>
        <v>#NAME?</v>
      </c>
    </row>
    <row r="2603" spans="1:9" x14ac:dyDescent="0.25">
      <c r="A2603" s="2" t="s">
        <v>4296</v>
      </c>
      <c r="B2603" s="2" t="s">
        <v>10</v>
      </c>
      <c r="C2603" s="3">
        <v>40968</v>
      </c>
      <c r="D2603" t="s">
        <v>4297</v>
      </c>
      <c r="E2603" s="2" t="s">
        <v>12</v>
      </c>
      <c r="F2603" s="2" t="s">
        <v>12</v>
      </c>
      <c r="G2603" t="s">
        <v>3923</v>
      </c>
      <c r="H2603" t="str">
        <f t="shared" si="80"/>
        <v>https://videplast.com.br/consulta-imobilizado?id=30000114&amp;nome=CADEIRA%20EXECUTIVA%20AZUL%20COM%20BASE%20GIRATORIA</v>
      </c>
      <c r="I2603" t="e">
        <f t="shared" ca="1" si="81"/>
        <v>#NAME?</v>
      </c>
    </row>
    <row r="2604" spans="1:9" x14ac:dyDescent="0.25">
      <c r="A2604" s="2" t="s">
        <v>4298</v>
      </c>
      <c r="B2604" s="2" t="s">
        <v>10</v>
      </c>
      <c r="C2604" s="3">
        <v>41182</v>
      </c>
      <c r="D2604" t="s">
        <v>4299</v>
      </c>
      <c r="E2604" s="2" t="s">
        <v>12</v>
      </c>
      <c r="F2604" s="2" t="s">
        <v>12</v>
      </c>
      <c r="G2604" t="s">
        <v>3923</v>
      </c>
      <c r="H2604" t="str">
        <f t="shared" si="80"/>
        <v>https://videplast.com.br/consulta-imobilizado?id=30000123&amp;nome=MESA%20DE%20PEBOLIM%20STANDER%20CEDRO</v>
      </c>
      <c r="I2604" t="e">
        <f t="shared" ca="1" si="81"/>
        <v>#NAME?</v>
      </c>
    </row>
    <row r="2605" spans="1:9" x14ac:dyDescent="0.25">
      <c r="A2605" s="2" t="s">
        <v>4300</v>
      </c>
      <c r="B2605" s="2" t="s">
        <v>10</v>
      </c>
      <c r="C2605" s="3">
        <v>41943</v>
      </c>
      <c r="D2605" t="s">
        <v>4301</v>
      </c>
      <c r="E2605" s="2" t="s">
        <v>4302</v>
      </c>
      <c r="F2605" s="2" t="s">
        <v>12</v>
      </c>
      <c r="G2605" t="s">
        <v>3923</v>
      </c>
      <c r="H2605" t="str">
        <f t="shared" si="80"/>
        <v>https://videplast.com.br/consulta-imobilizado?id=30000147&amp;nome=CADEIRA%20POLTRONA%20GIRATORIA%20DIRETOR</v>
      </c>
      <c r="I2605" t="e">
        <f t="shared" ca="1" si="81"/>
        <v>#NAME?</v>
      </c>
    </row>
    <row r="2606" spans="1:9" x14ac:dyDescent="0.25">
      <c r="A2606" s="2" t="s">
        <v>2114</v>
      </c>
      <c r="B2606" s="2" t="s">
        <v>26</v>
      </c>
      <c r="C2606" s="3">
        <v>41973</v>
      </c>
      <c r="D2606" t="s">
        <v>2115</v>
      </c>
      <c r="E2606" s="2" t="s">
        <v>4303</v>
      </c>
      <c r="F2606" s="2" t="s">
        <v>12</v>
      </c>
      <c r="G2606" t="s">
        <v>3923</v>
      </c>
      <c r="H2606" t="str">
        <f t="shared" si="80"/>
        <v>https://videplast.com.br/consulta-imobilizado?id=30000150&amp;nome=BEBEDOURO%20ACQUA%20GELATA%20PAG%20-100%20COM%203%20TORNEIRAS</v>
      </c>
      <c r="I2606" t="e">
        <f t="shared" ca="1" si="81"/>
        <v>#NAME?</v>
      </c>
    </row>
    <row r="2607" spans="1:9" x14ac:dyDescent="0.25">
      <c r="A2607" s="2" t="s">
        <v>4304</v>
      </c>
      <c r="B2607" s="2" t="s">
        <v>10</v>
      </c>
      <c r="C2607" s="3">
        <v>36894</v>
      </c>
      <c r="D2607" t="s">
        <v>4305</v>
      </c>
      <c r="E2607" s="2" t="s">
        <v>12</v>
      </c>
      <c r="F2607" s="2" t="s">
        <v>12</v>
      </c>
      <c r="G2607" t="s">
        <v>3923</v>
      </c>
      <c r="H2607" t="str">
        <f t="shared" si="80"/>
        <v>https://videplast.com.br/consulta-imobilizado?id=30000160&amp;nome=CADEIRA%20POLTRONA%20GIRATORIA%20MARELLI</v>
      </c>
      <c r="I2607" t="e">
        <f t="shared" ca="1" si="81"/>
        <v>#NAME?</v>
      </c>
    </row>
    <row r="2608" spans="1:9" x14ac:dyDescent="0.25">
      <c r="A2608" s="2" t="s">
        <v>4306</v>
      </c>
      <c r="B2608" s="2" t="s">
        <v>10</v>
      </c>
      <c r="C2608" s="3">
        <v>36925</v>
      </c>
      <c r="D2608" t="s">
        <v>4307</v>
      </c>
      <c r="E2608" s="2" t="s">
        <v>12</v>
      </c>
      <c r="F2608" s="2" t="s">
        <v>12</v>
      </c>
      <c r="G2608" t="s">
        <v>3923</v>
      </c>
      <c r="H2608" t="str">
        <f t="shared" si="80"/>
        <v>https://videplast.com.br/consulta-imobilizado?id=30000161&amp;nome=ROUPEIRO</v>
      </c>
      <c r="I2608" t="e">
        <f t="shared" ca="1" si="81"/>
        <v>#NAME?</v>
      </c>
    </row>
    <row r="2609" spans="1:9" x14ac:dyDescent="0.25">
      <c r="A2609" s="2" t="s">
        <v>4308</v>
      </c>
      <c r="B2609" s="2" t="s">
        <v>10</v>
      </c>
      <c r="C2609" s="3">
        <v>36971</v>
      </c>
      <c r="D2609" t="s">
        <v>4309</v>
      </c>
      <c r="E2609" s="2" t="s">
        <v>12</v>
      </c>
      <c r="F2609" s="2" t="s">
        <v>12</v>
      </c>
      <c r="G2609" t="s">
        <v>3923</v>
      </c>
      <c r="H2609" t="str">
        <f t="shared" si="80"/>
        <v>https://videplast.com.br/consulta-imobilizado?id=30000162&amp;nome=ARQUIVO%20DE%20ACO</v>
      </c>
      <c r="I2609" t="e">
        <f t="shared" ca="1" si="81"/>
        <v>#NAME?</v>
      </c>
    </row>
    <row r="2610" spans="1:9" x14ac:dyDescent="0.25">
      <c r="A2610" s="2" t="s">
        <v>4310</v>
      </c>
      <c r="B2610" s="2" t="s">
        <v>10</v>
      </c>
      <c r="C2610" s="3">
        <v>37932</v>
      </c>
      <c r="D2610" t="s">
        <v>4311</v>
      </c>
      <c r="E2610" s="2" t="s">
        <v>12</v>
      </c>
      <c r="F2610" s="2" t="s">
        <v>12</v>
      </c>
      <c r="G2610" t="s">
        <v>3923</v>
      </c>
      <c r="H2610" t="str">
        <f t="shared" si="80"/>
        <v>https://videplast.com.br/consulta-imobilizado?id=30000173&amp;nome=BEBEDOURO%20ACQUA%20AG%20100</v>
      </c>
      <c r="I2610" t="e">
        <f t="shared" ca="1" si="81"/>
        <v>#NAME?</v>
      </c>
    </row>
    <row r="2611" spans="1:9" x14ac:dyDescent="0.25">
      <c r="A2611" s="2" t="s">
        <v>4312</v>
      </c>
      <c r="B2611" s="2" t="s">
        <v>10</v>
      </c>
      <c r="C2611" s="3">
        <v>38030</v>
      </c>
      <c r="D2611" t="s">
        <v>4313</v>
      </c>
      <c r="E2611" s="2" t="s">
        <v>12</v>
      </c>
      <c r="F2611" s="2" t="s">
        <v>12</v>
      </c>
      <c r="G2611" t="s">
        <v>3923</v>
      </c>
      <c r="H2611" t="str">
        <f t="shared" si="80"/>
        <v>https://videplast.com.br/consulta-imobilizado?id=30000175&amp;nome=TOLDO%20PARA%20PORTAS%20DE%20ENTRADA</v>
      </c>
      <c r="I2611" t="e">
        <f t="shared" ca="1" si="81"/>
        <v>#NAME?</v>
      </c>
    </row>
    <row r="2612" spans="1:9" x14ac:dyDescent="0.25">
      <c r="A2612" s="2" t="s">
        <v>4314</v>
      </c>
      <c r="B2612" s="2" t="s">
        <v>10</v>
      </c>
      <c r="C2612" s="3">
        <v>38105</v>
      </c>
      <c r="D2612" t="s">
        <v>4315</v>
      </c>
      <c r="E2612" s="2" t="s">
        <v>12</v>
      </c>
      <c r="F2612" s="2" t="s">
        <v>12</v>
      </c>
      <c r="G2612" t="s">
        <v>3923</v>
      </c>
      <c r="H2612" t="str">
        <f t="shared" si="80"/>
        <v>https://videplast.com.br/consulta-imobilizado?id=30000184&amp;nome=AR%20CONDICIONADO%20CONSUL%20FRIO%2012000%20BTU</v>
      </c>
      <c r="I2612" t="e">
        <f t="shared" ca="1" si="81"/>
        <v>#NAME?</v>
      </c>
    </row>
    <row r="2613" spans="1:9" x14ac:dyDescent="0.25">
      <c r="A2613" s="2" t="s">
        <v>4316</v>
      </c>
      <c r="B2613" s="2" t="s">
        <v>10</v>
      </c>
      <c r="C2613" s="3">
        <v>38164</v>
      </c>
      <c r="D2613" t="s">
        <v>4317</v>
      </c>
      <c r="E2613" s="2" t="s">
        <v>12</v>
      </c>
      <c r="F2613" s="2" t="s">
        <v>12</v>
      </c>
      <c r="G2613" t="s">
        <v>3923</v>
      </c>
      <c r="H2613" t="str">
        <f t="shared" si="80"/>
        <v>https://videplast.com.br/consulta-imobilizado?id=30000186&amp;nome=LAVADORA%20JACTO%207000%20COMIGO</v>
      </c>
      <c r="I2613" t="e">
        <f t="shared" ca="1" si="81"/>
        <v>#NAME?</v>
      </c>
    </row>
    <row r="2614" spans="1:9" x14ac:dyDescent="0.25">
      <c r="A2614" s="2" t="s">
        <v>4318</v>
      </c>
      <c r="B2614" s="2" t="s">
        <v>10</v>
      </c>
      <c r="C2614" s="3">
        <v>38197</v>
      </c>
      <c r="D2614" t="s">
        <v>4307</v>
      </c>
      <c r="E2614" s="2" t="s">
        <v>12</v>
      </c>
      <c r="F2614" s="2" t="s">
        <v>12</v>
      </c>
      <c r="G2614" t="s">
        <v>3923</v>
      </c>
      <c r="H2614" t="str">
        <f t="shared" si="80"/>
        <v>https://videplast.com.br/consulta-imobilizado?id=30000188&amp;nome=ROUPEIRO</v>
      </c>
      <c r="I2614" t="e">
        <f t="shared" ca="1" si="81"/>
        <v>#NAME?</v>
      </c>
    </row>
    <row r="2615" spans="1:9" x14ac:dyDescent="0.25">
      <c r="A2615" s="2" t="s">
        <v>4319</v>
      </c>
      <c r="B2615" s="2" t="s">
        <v>10</v>
      </c>
      <c r="C2615" s="3">
        <v>38472</v>
      </c>
      <c r="D2615" t="s">
        <v>4320</v>
      </c>
      <c r="E2615" s="2" t="s">
        <v>12</v>
      </c>
      <c r="F2615" s="2" t="s">
        <v>12</v>
      </c>
      <c r="G2615" t="s">
        <v>3923</v>
      </c>
      <c r="H2615" t="str">
        <f t="shared" si="80"/>
        <v>https://videplast.com.br/consulta-imobilizado?id=30000195&amp;nome=ESTANTE%20DE%20ACO</v>
      </c>
      <c r="I2615" t="e">
        <f t="shared" ca="1" si="81"/>
        <v>#NAME?</v>
      </c>
    </row>
    <row r="2616" spans="1:9" x14ac:dyDescent="0.25">
      <c r="A2616" s="2" t="s">
        <v>4321</v>
      </c>
      <c r="B2616" s="2" t="s">
        <v>10</v>
      </c>
      <c r="C2616" s="3">
        <v>38595</v>
      </c>
      <c r="D2616" t="s">
        <v>4322</v>
      </c>
      <c r="E2616" s="2" t="s">
        <v>12</v>
      </c>
      <c r="F2616" s="2" t="s">
        <v>12</v>
      </c>
      <c r="G2616" t="s">
        <v>3923</v>
      </c>
      <c r="H2616" t="str">
        <f t="shared" si="80"/>
        <v>https://videplast.com.br/consulta-imobilizado?id=30000197&amp;nome=AR%20CONDICIONADO%20CONSUL%20CCI-10A%2010000%20BTU</v>
      </c>
      <c r="I2616" t="e">
        <f t="shared" ca="1" si="81"/>
        <v>#NAME?</v>
      </c>
    </row>
    <row r="2617" spans="1:9" x14ac:dyDescent="0.25">
      <c r="A2617" s="2" t="s">
        <v>4323</v>
      </c>
      <c r="B2617" s="2" t="s">
        <v>10</v>
      </c>
      <c r="C2617" s="3">
        <v>42199</v>
      </c>
      <c r="D2617" t="s">
        <v>4324</v>
      </c>
      <c r="E2617" s="2" t="s">
        <v>12</v>
      </c>
      <c r="F2617" s="2" t="s">
        <v>12</v>
      </c>
      <c r="G2617" t="s">
        <v>3923</v>
      </c>
      <c r="H2617" t="str">
        <f t="shared" si="80"/>
        <v>https://videplast.com.br/consulta-imobilizado?id=30001233&amp;nome=ARQUIVO%20DE%20ACO%20C/%204%20GAVETAS</v>
      </c>
      <c r="I2617" t="e">
        <f t="shared" ca="1" si="81"/>
        <v>#NAME?</v>
      </c>
    </row>
    <row r="2618" spans="1:9" x14ac:dyDescent="0.25">
      <c r="A2618" s="2" t="s">
        <v>4325</v>
      </c>
      <c r="B2618" s="2" t="s">
        <v>10</v>
      </c>
      <c r="C2618" s="3">
        <v>43559</v>
      </c>
      <c r="D2618" t="s">
        <v>4326</v>
      </c>
      <c r="E2618" s="2" t="s">
        <v>12</v>
      </c>
      <c r="F2618" s="2" t="s">
        <v>12</v>
      </c>
      <c r="G2618" t="s">
        <v>3923</v>
      </c>
      <c r="H2618" t="str">
        <f t="shared" si="80"/>
        <v>https://videplast.com.br/consulta-imobilizado?id=30001715&amp;nome=TV%20SMART%20LED%2049”%20FULL%20HD%20SAMSUNG</v>
      </c>
      <c r="I2618" t="e">
        <f t="shared" ca="1" si="81"/>
        <v>#NAME?</v>
      </c>
    </row>
    <row r="2619" spans="1:9" x14ac:dyDescent="0.25">
      <c r="A2619" s="2" t="s">
        <v>4327</v>
      </c>
      <c r="B2619" s="2" t="s">
        <v>10</v>
      </c>
      <c r="C2619" s="3">
        <v>43613</v>
      </c>
      <c r="D2619" t="s">
        <v>4328</v>
      </c>
      <c r="E2619" s="2" t="s">
        <v>12</v>
      </c>
      <c r="F2619" s="2" t="s">
        <v>12</v>
      </c>
      <c r="G2619" t="s">
        <v>3923</v>
      </c>
      <c r="H2619" t="str">
        <f t="shared" si="80"/>
        <v>https://videplast.com.br/consulta-imobilizado?id=30001874&amp;nome=CADEIRA%20CAVALETTI%20GIR%20PRESIDENTE%204001</v>
      </c>
      <c r="I2619" t="e">
        <f t="shared" ca="1" si="81"/>
        <v>#NAME?</v>
      </c>
    </row>
    <row r="2620" spans="1:9" x14ac:dyDescent="0.25">
      <c r="A2620" s="2" t="s">
        <v>4329</v>
      </c>
      <c r="B2620" s="2" t="s">
        <v>10</v>
      </c>
      <c r="C2620" s="3">
        <v>43755</v>
      </c>
      <c r="D2620" t="s">
        <v>4330</v>
      </c>
      <c r="E2620" s="2" t="s">
        <v>12</v>
      </c>
      <c r="F2620" s="2" t="s">
        <v>4331</v>
      </c>
      <c r="G2620" t="s">
        <v>3923</v>
      </c>
      <c r="H2620" t="str">
        <f t="shared" si="80"/>
        <v>https://videplast.com.br/consulta-imobilizado?id=30002304&amp;nome=AR%20CONDICIONADO%20Q/F%20FUJITSU%20SPLIT%20HW%2018000%20BTU</v>
      </c>
      <c r="I2620" t="e">
        <f t="shared" ca="1" si="81"/>
        <v>#NAME?</v>
      </c>
    </row>
    <row r="2621" spans="1:9" x14ac:dyDescent="0.25">
      <c r="A2621" s="2" t="s">
        <v>4332</v>
      </c>
      <c r="B2621" s="2" t="s">
        <v>10</v>
      </c>
      <c r="C2621" s="3">
        <v>45510</v>
      </c>
      <c r="D2621" t="s">
        <v>4297</v>
      </c>
      <c r="E2621" s="2" t="s">
        <v>12</v>
      </c>
      <c r="F2621" s="2" t="s">
        <v>12</v>
      </c>
      <c r="G2621" t="s">
        <v>3923</v>
      </c>
      <c r="H2621" t="str">
        <f t="shared" si="80"/>
        <v>https://videplast.com.br/consulta-imobilizado?id=30004208&amp;nome=CADEIRA%20EXECUTIVA%20AZUL%20COM%20BASE%20GIRATORIA</v>
      </c>
      <c r="I2621" t="e">
        <f t="shared" ca="1" si="81"/>
        <v>#NAME?</v>
      </c>
    </row>
    <row r="2622" spans="1:9" x14ac:dyDescent="0.25">
      <c r="A2622" s="2" t="s">
        <v>4333</v>
      </c>
      <c r="B2622" s="2" t="s">
        <v>10</v>
      </c>
      <c r="C2622" s="3">
        <v>45510</v>
      </c>
      <c r="D2622" t="s">
        <v>4297</v>
      </c>
      <c r="E2622" s="2" t="s">
        <v>12</v>
      </c>
      <c r="F2622" s="2" t="s">
        <v>12</v>
      </c>
      <c r="G2622" t="s">
        <v>3923</v>
      </c>
      <c r="H2622" t="str">
        <f t="shared" si="80"/>
        <v>https://videplast.com.br/consulta-imobilizado?id=30004209&amp;nome=CADEIRA%20EXECUTIVA%20AZUL%20COM%20BASE%20GIRATORIA</v>
      </c>
      <c r="I2622" t="e">
        <f t="shared" ca="1" si="81"/>
        <v>#NAME?</v>
      </c>
    </row>
    <row r="2623" spans="1:9" x14ac:dyDescent="0.25">
      <c r="A2623" s="2" t="s">
        <v>4334</v>
      </c>
      <c r="B2623" s="2" t="s">
        <v>10</v>
      </c>
      <c r="C2623" s="3">
        <v>45511</v>
      </c>
      <c r="D2623" t="s">
        <v>4335</v>
      </c>
      <c r="E2623" s="2" t="s">
        <v>12</v>
      </c>
      <c r="F2623" s="2" t="s">
        <v>12</v>
      </c>
      <c r="G2623" t="s">
        <v>3923</v>
      </c>
      <c r="H2623" t="str">
        <f t="shared" si="80"/>
        <v>https://videplast.com.br/consulta-imobilizado?id=30004210&amp;nome=ESTANTE%20DE%20ACO%200,30%20STYLPEN</v>
      </c>
      <c r="I2623" t="e">
        <f t="shared" ca="1" si="81"/>
        <v>#NAME?</v>
      </c>
    </row>
    <row r="2624" spans="1:9" x14ac:dyDescent="0.25">
      <c r="A2624" s="2" t="s">
        <v>4336</v>
      </c>
      <c r="B2624" s="2" t="s">
        <v>10</v>
      </c>
      <c r="C2624" s="3">
        <v>45511</v>
      </c>
      <c r="D2624" t="s">
        <v>4335</v>
      </c>
      <c r="E2624" s="2" t="s">
        <v>12</v>
      </c>
      <c r="F2624" s="2" t="s">
        <v>12</v>
      </c>
      <c r="G2624" t="s">
        <v>3923</v>
      </c>
      <c r="H2624" t="str">
        <f t="shared" si="80"/>
        <v>https://videplast.com.br/consulta-imobilizado?id=30004211&amp;nome=ESTANTE%20DE%20ACO%200,30%20STYLPEN</v>
      </c>
      <c r="I2624" t="e">
        <f t="shared" ca="1" si="81"/>
        <v>#NAME?</v>
      </c>
    </row>
    <row r="2625" spans="1:9" x14ac:dyDescent="0.25">
      <c r="A2625" s="2" t="s">
        <v>4337</v>
      </c>
      <c r="B2625" s="2" t="s">
        <v>10</v>
      </c>
      <c r="C2625" s="3">
        <v>45511</v>
      </c>
      <c r="D2625" t="s">
        <v>4335</v>
      </c>
      <c r="E2625" s="2" t="s">
        <v>12</v>
      </c>
      <c r="F2625" s="2" t="s">
        <v>12</v>
      </c>
      <c r="G2625" t="s">
        <v>3923</v>
      </c>
      <c r="H2625" t="str">
        <f t="shared" si="80"/>
        <v>https://videplast.com.br/consulta-imobilizado?id=30004212&amp;nome=ESTANTE%20DE%20ACO%200,30%20STYLPEN</v>
      </c>
      <c r="I2625" t="e">
        <f t="shared" ca="1" si="81"/>
        <v>#NAME?</v>
      </c>
    </row>
    <row r="2626" spans="1:9" x14ac:dyDescent="0.25">
      <c r="A2626" s="2" t="s">
        <v>4338</v>
      </c>
      <c r="B2626" s="2" t="s">
        <v>10</v>
      </c>
      <c r="C2626" s="3">
        <v>45511</v>
      </c>
      <c r="D2626" t="s">
        <v>4335</v>
      </c>
      <c r="E2626" s="2" t="s">
        <v>12</v>
      </c>
      <c r="F2626" s="2" t="s">
        <v>12</v>
      </c>
      <c r="G2626" t="s">
        <v>3923</v>
      </c>
      <c r="H2626" t="str">
        <f t="shared" ref="H2626:H2689" si="82" xml:space="preserve"> "https://videplast.com.br/consulta-imobilizado?id=" &amp; A2626 &amp; "&amp;nome=" &amp; SUBSTITUTE(D2626, " ", "%20")</f>
        <v>https://videplast.com.br/consulta-imobilizado?id=30004213&amp;nome=ESTANTE%20DE%20ACO%200,30%20STYLPEN</v>
      </c>
      <c r="I2626" t="e">
        <f t="shared" ref="I2626:I2689" ca="1" si="83">_xlfn.IMAGE("https://chart.googleapis.com/chart?chs=150x150&amp;cht=qr&amp;chl=" &amp; H2626)</f>
        <v>#NAME?</v>
      </c>
    </row>
    <row r="2627" spans="1:9" x14ac:dyDescent="0.25">
      <c r="A2627" s="2" t="s">
        <v>4339</v>
      </c>
      <c r="B2627" s="2" t="s">
        <v>10</v>
      </c>
      <c r="C2627" s="3">
        <v>45511</v>
      </c>
      <c r="D2627" t="s">
        <v>4335</v>
      </c>
      <c r="E2627" s="2" t="s">
        <v>12</v>
      </c>
      <c r="F2627" s="2" t="s">
        <v>12</v>
      </c>
      <c r="G2627" t="s">
        <v>3923</v>
      </c>
      <c r="H2627" t="str">
        <f t="shared" si="82"/>
        <v>https://videplast.com.br/consulta-imobilizado?id=30004214&amp;nome=ESTANTE%20DE%20ACO%200,30%20STYLPEN</v>
      </c>
      <c r="I2627" t="e">
        <f t="shared" ca="1" si="83"/>
        <v>#NAME?</v>
      </c>
    </row>
    <row r="2628" spans="1:9" x14ac:dyDescent="0.25">
      <c r="A2628" s="2" t="s">
        <v>4340</v>
      </c>
      <c r="B2628" s="2" t="s">
        <v>10</v>
      </c>
      <c r="C2628" s="3">
        <v>45511</v>
      </c>
      <c r="D2628" t="s">
        <v>4335</v>
      </c>
      <c r="E2628" s="2" t="s">
        <v>12</v>
      </c>
      <c r="F2628" s="2" t="s">
        <v>12</v>
      </c>
      <c r="G2628" t="s">
        <v>3923</v>
      </c>
      <c r="H2628" t="str">
        <f t="shared" si="82"/>
        <v>https://videplast.com.br/consulta-imobilizado?id=30004215&amp;nome=ESTANTE%20DE%20ACO%200,30%20STYLPEN</v>
      </c>
      <c r="I2628" t="e">
        <f t="shared" ca="1" si="83"/>
        <v>#NAME?</v>
      </c>
    </row>
    <row r="2629" spans="1:9" x14ac:dyDescent="0.25">
      <c r="A2629" s="2" t="s">
        <v>4341</v>
      </c>
      <c r="B2629" s="2" t="s">
        <v>10</v>
      </c>
      <c r="C2629" s="3">
        <v>45511</v>
      </c>
      <c r="D2629" t="s">
        <v>4335</v>
      </c>
      <c r="E2629" s="2" t="s">
        <v>12</v>
      </c>
      <c r="F2629" s="2" t="s">
        <v>12</v>
      </c>
      <c r="G2629" t="s">
        <v>3923</v>
      </c>
      <c r="H2629" t="str">
        <f t="shared" si="82"/>
        <v>https://videplast.com.br/consulta-imobilizado?id=30004216&amp;nome=ESTANTE%20DE%20ACO%200,30%20STYLPEN</v>
      </c>
      <c r="I2629" t="e">
        <f t="shared" ca="1" si="83"/>
        <v>#NAME?</v>
      </c>
    </row>
    <row r="2630" spans="1:9" x14ac:dyDescent="0.25">
      <c r="A2630" s="2" t="s">
        <v>4342</v>
      </c>
      <c r="B2630" s="2" t="s">
        <v>10</v>
      </c>
      <c r="C2630" s="3">
        <v>45511</v>
      </c>
      <c r="D2630" t="s">
        <v>4335</v>
      </c>
      <c r="E2630" s="2" t="s">
        <v>12</v>
      </c>
      <c r="F2630" s="2" t="s">
        <v>12</v>
      </c>
      <c r="G2630" t="s">
        <v>3923</v>
      </c>
      <c r="H2630" t="str">
        <f t="shared" si="82"/>
        <v>https://videplast.com.br/consulta-imobilizado?id=30004217&amp;nome=ESTANTE%20DE%20ACO%200,30%20STYLPEN</v>
      </c>
      <c r="I2630" t="e">
        <f t="shared" ca="1" si="83"/>
        <v>#NAME?</v>
      </c>
    </row>
    <row r="2631" spans="1:9" x14ac:dyDescent="0.25">
      <c r="A2631" s="2" t="s">
        <v>4343</v>
      </c>
      <c r="B2631" s="2" t="s">
        <v>10</v>
      </c>
      <c r="C2631" s="3">
        <v>45511</v>
      </c>
      <c r="D2631" t="s">
        <v>4335</v>
      </c>
      <c r="E2631" s="2" t="s">
        <v>12</v>
      </c>
      <c r="F2631" s="2" t="s">
        <v>12</v>
      </c>
      <c r="G2631" t="s">
        <v>3923</v>
      </c>
      <c r="H2631" t="str">
        <f t="shared" si="82"/>
        <v>https://videplast.com.br/consulta-imobilizado?id=30004218&amp;nome=ESTANTE%20DE%20ACO%200,30%20STYLPEN</v>
      </c>
      <c r="I2631" t="e">
        <f t="shared" ca="1" si="83"/>
        <v>#NAME?</v>
      </c>
    </row>
    <row r="2632" spans="1:9" x14ac:dyDescent="0.25">
      <c r="A2632" s="2" t="s">
        <v>4344</v>
      </c>
      <c r="B2632" s="2" t="s">
        <v>10</v>
      </c>
      <c r="C2632" s="3">
        <v>45511</v>
      </c>
      <c r="D2632" t="s">
        <v>4345</v>
      </c>
      <c r="E2632" s="2" t="s">
        <v>12</v>
      </c>
      <c r="F2632" s="2" t="s">
        <v>12</v>
      </c>
      <c r="G2632" t="s">
        <v>3923</v>
      </c>
      <c r="H2632" t="str">
        <f t="shared" si="82"/>
        <v>https://videplast.com.br/consulta-imobilizado?id=30004219&amp;nome=ARQUIVO%20DE%20ACO%20FRITOLI</v>
      </c>
      <c r="I2632" t="e">
        <f t="shared" ca="1" si="83"/>
        <v>#NAME?</v>
      </c>
    </row>
    <row r="2633" spans="1:9" x14ac:dyDescent="0.25">
      <c r="A2633" s="2" t="s">
        <v>4346</v>
      </c>
      <c r="B2633" s="2" t="s">
        <v>10</v>
      </c>
      <c r="C2633" s="3">
        <v>45511</v>
      </c>
      <c r="D2633" t="s">
        <v>4347</v>
      </c>
      <c r="E2633" s="2" t="s">
        <v>12</v>
      </c>
      <c r="F2633" s="2" t="s">
        <v>12</v>
      </c>
      <c r="G2633" t="s">
        <v>3923</v>
      </c>
      <c r="H2633" t="str">
        <f t="shared" si="82"/>
        <v>https://videplast.com.br/consulta-imobilizado?id=30004220&amp;nome=BALCAO%202%20PORTAS%20F%20PLAST</v>
      </c>
      <c r="I2633" t="e">
        <f t="shared" ca="1" si="83"/>
        <v>#NAME?</v>
      </c>
    </row>
    <row r="2634" spans="1:9" x14ac:dyDescent="0.25">
      <c r="A2634" s="2" t="s">
        <v>4348</v>
      </c>
      <c r="B2634" s="2" t="s">
        <v>10</v>
      </c>
      <c r="C2634" s="3">
        <v>45511</v>
      </c>
      <c r="D2634" t="s">
        <v>4347</v>
      </c>
      <c r="E2634" s="2" t="s">
        <v>12</v>
      </c>
      <c r="F2634" s="2" t="s">
        <v>12</v>
      </c>
      <c r="G2634" t="s">
        <v>3923</v>
      </c>
      <c r="H2634" t="str">
        <f t="shared" si="82"/>
        <v>https://videplast.com.br/consulta-imobilizado?id=30004221&amp;nome=BALCAO%202%20PORTAS%20F%20PLAST</v>
      </c>
      <c r="I2634" t="e">
        <f t="shared" ca="1" si="83"/>
        <v>#NAME?</v>
      </c>
    </row>
    <row r="2635" spans="1:9" x14ac:dyDescent="0.25">
      <c r="A2635" s="2" t="s">
        <v>4349</v>
      </c>
      <c r="B2635" s="2" t="s">
        <v>10</v>
      </c>
      <c r="C2635" s="3">
        <v>45511</v>
      </c>
      <c r="D2635" t="s">
        <v>4350</v>
      </c>
      <c r="E2635" s="2" t="s">
        <v>12</v>
      </c>
      <c r="F2635" s="2" t="s">
        <v>12</v>
      </c>
      <c r="G2635" t="s">
        <v>3923</v>
      </c>
      <c r="H2635" t="str">
        <f t="shared" si="82"/>
        <v>https://videplast.com.br/consulta-imobilizado?id=30004222&amp;nome=MESA%20DE%20FERRO%201,50M</v>
      </c>
      <c r="I2635" t="e">
        <f t="shared" ca="1" si="83"/>
        <v>#NAME?</v>
      </c>
    </row>
    <row r="2636" spans="1:9" x14ac:dyDescent="0.25">
      <c r="A2636" s="2" t="s">
        <v>4351</v>
      </c>
      <c r="B2636" s="2" t="s">
        <v>10</v>
      </c>
      <c r="C2636" s="3">
        <v>45511</v>
      </c>
      <c r="D2636" t="s">
        <v>4352</v>
      </c>
      <c r="E2636" s="2" t="s">
        <v>12</v>
      </c>
      <c r="F2636" s="2" t="s">
        <v>12</v>
      </c>
      <c r="G2636" t="s">
        <v>3923</v>
      </c>
      <c r="H2636" t="str">
        <f t="shared" si="82"/>
        <v>https://videplast.com.br/consulta-imobilizado?id=30004223&amp;nome=MESA%20DE%20FERRO%201,20M</v>
      </c>
      <c r="I2636" t="e">
        <f t="shared" ca="1" si="83"/>
        <v>#NAME?</v>
      </c>
    </row>
    <row r="2637" spans="1:9" x14ac:dyDescent="0.25">
      <c r="A2637" s="2" t="s">
        <v>4353</v>
      </c>
      <c r="B2637" s="2" t="s">
        <v>10</v>
      </c>
      <c r="C2637" s="3">
        <v>41274</v>
      </c>
      <c r="D2637" t="s">
        <v>4354</v>
      </c>
      <c r="E2637" s="2" t="s">
        <v>12</v>
      </c>
      <c r="F2637" s="2" t="s">
        <v>12</v>
      </c>
      <c r="G2637" t="s">
        <v>3923</v>
      </c>
      <c r="H2637" s="5" t="str">
        <f t="shared" si="82"/>
        <v>https://videplast.com.br/consulta-imobilizado?id=32000044&amp;nome=COMPUTADOR%20CPU%20SIM%20B2W%20I8800C%20I3%206GB%201TB%20W8</v>
      </c>
      <c r="I2637" t="e">
        <f t="shared" ca="1" si="83"/>
        <v>#NAME?</v>
      </c>
    </row>
    <row r="2638" spans="1:9" x14ac:dyDescent="0.25">
      <c r="A2638" s="2" t="s">
        <v>4355</v>
      </c>
      <c r="B2638" s="2" t="s">
        <v>10</v>
      </c>
      <c r="C2638" s="3">
        <v>41274</v>
      </c>
      <c r="D2638" t="s">
        <v>4356</v>
      </c>
      <c r="E2638" s="2" t="s">
        <v>12</v>
      </c>
      <c r="F2638" s="2" t="s">
        <v>12</v>
      </c>
      <c r="G2638" t="s">
        <v>3923</v>
      </c>
      <c r="H2638" t="str">
        <f t="shared" si="82"/>
        <v>https://videplast.com.br/consulta-imobilizado?id=32000045&amp;nome=MONITOR%20LED%2018,5%20WIDESCREEN%20E950SW-AOC</v>
      </c>
      <c r="I2638" t="e">
        <f t="shared" ca="1" si="83"/>
        <v>#NAME?</v>
      </c>
    </row>
    <row r="2639" spans="1:9" x14ac:dyDescent="0.25">
      <c r="A2639" s="2" t="s">
        <v>4357</v>
      </c>
      <c r="B2639" s="2" t="s">
        <v>10</v>
      </c>
      <c r="C2639" s="3">
        <v>41305</v>
      </c>
      <c r="D2639" t="s">
        <v>4358</v>
      </c>
      <c r="E2639" s="2" t="s">
        <v>12</v>
      </c>
      <c r="F2639" s="2" t="s">
        <v>12</v>
      </c>
      <c r="G2639" t="s">
        <v>3923</v>
      </c>
      <c r="H2639" t="str">
        <f t="shared" si="82"/>
        <v>https://videplast.com.br/consulta-imobilizado?id=32000046&amp;nome=COLETOR%20DE%20DADOS%20TELEMATICA%20CODIN%20REP%202000</v>
      </c>
      <c r="I2639" t="e">
        <f t="shared" ca="1" si="83"/>
        <v>#NAME?</v>
      </c>
    </row>
    <row r="2640" spans="1:9" x14ac:dyDescent="0.25">
      <c r="A2640" s="2" t="s">
        <v>4359</v>
      </c>
      <c r="B2640" s="2" t="s">
        <v>10</v>
      </c>
      <c r="C2640" s="3">
        <v>41517</v>
      </c>
      <c r="D2640" t="s">
        <v>4360</v>
      </c>
      <c r="E2640" s="2" t="s">
        <v>4361</v>
      </c>
      <c r="F2640" s="2" t="s">
        <v>12</v>
      </c>
      <c r="G2640" t="s">
        <v>3923</v>
      </c>
      <c r="H2640" t="str">
        <f t="shared" si="82"/>
        <v>https://videplast.com.br/consulta-imobilizado?id=32000052&amp;nome=SERVIDOR%20ML310E%20GEN8%20E3-1220%204GB%20500GB%20STA%20S-BUY</v>
      </c>
      <c r="I2640" t="e">
        <f t="shared" ca="1" si="83"/>
        <v>#NAME?</v>
      </c>
    </row>
    <row r="2641" spans="1:9" x14ac:dyDescent="0.25">
      <c r="A2641" s="2" t="s">
        <v>4362</v>
      </c>
      <c r="B2641" s="2" t="s">
        <v>10</v>
      </c>
      <c r="C2641" s="3">
        <v>41639</v>
      </c>
      <c r="D2641" t="s">
        <v>4363</v>
      </c>
      <c r="E2641" s="2" t="s">
        <v>4364</v>
      </c>
      <c r="F2641" s="2" t="s">
        <v>12</v>
      </c>
      <c r="G2641" t="s">
        <v>3923</v>
      </c>
      <c r="H2641" t="str">
        <f t="shared" si="82"/>
        <v>https://videplast.com.br/consulta-imobilizado?id=32000055&amp;nome=NOBREAK%20SMART-UP%2010%20KVA</v>
      </c>
      <c r="I2641" t="e">
        <f t="shared" ca="1" si="83"/>
        <v>#NAME?</v>
      </c>
    </row>
    <row r="2642" spans="1:9" x14ac:dyDescent="0.25">
      <c r="A2642" s="2" t="s">
        <v>3431</v>
      </c>
      <c r="B2642" s="2" t="s">
        <v>10</v>
      </c>
      <c r="C2642" s="3">
        <v>41759</v>
      </c>
      <c r="D2642" t="s">
        <v>3432</v>
      </c>
      <c r="E2642" s="2" t="s">
        <v>12</v>
      </c>
      <c r="F2642" s="2" t="s">
        <v>12</v>
      </c>
      <c r="G2642" t="s">
        <v>3923</v>
      </c>
      <c r="H2642" t="str">
        <f t="shared" si="82"/>
        <v>https://videplast.com.br/consulta-imobilizado?id=32000056&amp;nome=CAMERA%20INTELBRAS%20INFRA%20VM%20350IR%20-%2050MT%206MM%20CZ</v>
      </c>
      <c r="I2642" t="e">
        <f t="shared" ca="1" si="83"/>
        <v>#NAME?</v>
      </c>
    </row>
    <row r="2643" spans="1:9" x14ac:dyDescent="0.25">
      <c r="A2643" s="2" t="s">
        <v>3431</v>
      </c>
      <c r="B2643" s="2" t="s">
        <v>26</v>
      </c>
      <c r="C2643" s="3">
        <v>41759</v>
      </c>
      <c r="D2643" t="s">
        <v>3432</v>
      </c>
      <c r="E2643" s="2" t="s">
        <v>12</v>
      </c>
      <c r="F2643" s="2" t="s">
        <v>12</v>
      </c>
      <c r="G2643" t="s">
        <v>3923</v>
      </c>
      <c r="H2643" t="str">
        <f t="shared" si="82"/>
        <v>https://videplast.com.br/consulta-imobilizado?id=32000056&amp;nome=CAMERA%20INTELBRAS%20INFRA%20VM%20350IR%20-%2050MT%206MM%20CZ</v>
      </c>
      <c r="I2643" t="e">
        <f t="shared" ca="1" si="83"/>
        <v>#NAME?</v>
      </c>
    </row>
    <row r="2644" spans="1:9" x14ac:dyDescent="0.25">
      <c r="A2644" s="2" t="s">
        <v>4365</v>
      </c>
      <c r="B2644" s="2" t="s">
        <v>10</v>
      </c>
      <c r="C2644" s="3">
        <v>41943</v>
      </c>
      <c r="D2644" t="s">
        <v>4366</v>
      </c>
      <c r="E2644" s="2" t="s">
        <v>4367</v>
      </c>
      <c r="F2644" s="2" t="s">
        <v>12</v>
      </c>
      <c r="G2644" t="s">
        <v>3923</v>
      </c>
      <c r="H2644" t="str">
        <f t="shared" si="82"/>
        <v>https://videplast.com.br/consulta-imobilizado?id=32000059&amp;nome=COLETOR%20DE%20DADOS%20PRINTPOINT%20II</v>
      </c>
      <c r="I2644" t="e">
        <f t="shared" ca="1" si="83"/>
        <v>#NAME?</v>
      </c>
    </row>
    <row r="2645" spans="1:9" x14ac:dyDescent="0.25">
      <c r="A2645" s="2" t="s">
        <v>4368</v>
      </c>
      <c r="B2645" s="2" t="s">
        <v>10</v>
      </c>
      <c r="C2645" s="3">
        <v>40724</v>
      </c>
      <c r="D2645" t="s">
        <v>4369</v>
      </c>
      <c r="E2645" s="2" t="s">
        <v>12</v>
      </c>
      <c r="F2645" s="2" t="s">
        <v>12</v>
      </c>
      <c r="G2645" t="s">
        <v>3923</v>
      </c>
      <c r="H2645" t="str">
        <f t="shared" si="82"/>
        <v>https://videplast.com.br/consulta-imobilizado?id=32000065&amp;nome=5%20CAMERAS%20CCD%20SONY%20SS520,%205%20LENTES%20AUTO%20IRIS%203,5</v>
      </c>
      <c r="I2645" t="e">
        <f t="shared" ca="1" si="83"/>
        <v>#NAME?</v>
      </c>
    </row>
    <row r="2646" spans="1:9" x14ac:dyDescent="0.25">
      <c r="A2646" s="2" t="s">
        <v>4368</v>
      </c>
      <c r="B2646" s="2" t="s">
        <v>26</v>
      </c>
      <c r="C2646" s="3">
        <v>40724</v>
      </c>
      <c r="D2646" t="s">
        <v>4369</v>
      </c>
      <c r="E2646" s="2" t="s">
        <v>12</v>
      </c>
      <c r="F2646" s="2" t="s">
        <v>12</v>
      </c>
      <c r="G2646" t="s">
        <v>3923</v>
      </c>
      <c r="H2646" t="str">
        <f t="shared" si="82"/>
        <v>https://videplast.com.br/consulta-imobilizado?id=32000065&amp;nome=5%20CAMERAS%20CCD%20SONY%20SS520,%205%20LENTES%20AUTO%20IRIS%203,5</v>
      </c>
      <c r="I2646" t="e">
        <f t="shared" ca="1" si="83"/>
        <v>#NAME?</v>
      </c>
    </row>
    <row r="2647" spans="1:9" x14ac:dyDescent="0.25">
      <c r="A2647" s="2" t="s">
        <v>4368</v>
      </c>
      <c r="B2647" s="2" t="s">
        <v>21</v>
      </c>
      <c r="C2647" s="3">
        <v>40724</v>
      </c>
      <c r="D2647" t="s">
        <v>4369</v>
      </c>
      <c r="E2647" s="2" t="s">
        <v>12</v>
      </c>
      <c r="F2647" s="2" t="s">
        <v>12</v>
      </c>
      <c r="G2647" t="s">
        <v>3923</v>
      </c>
      <c r="H2647" t="str">
        <f t="shared" si="82"/>
        <v>https://videplast.com.br/consulta-imobilizado?id=32000065&amp;nome=5%20CAMERAS%20CCD%20SONY%20SS520,%205%20LENTES%20AUTO%20IRIS%203,5</v>
      </c>
      <c r="I2647" t="e">
        <f t="shared" ca="1" si="83"/>
        <v>#NAME?</v>
      </c>
    </row>
    <row r="2648" spans="1:9" x14ac:dyDescent="0.25">
      <c r="A2648" s="2" t="s">
        <v>4368</v>
      </c>
      <c r="B2648" s="2" t="s">
        <v>29</v>
      </c>
      <c r="C2648" s="3">
        <v>40724</v>
      </c>
      <c r="D2648" t="s">
        <v>4369</v>
      </c>
      <c r="E2648" s="2" t="s">
        <v>12</v>
      </c>
      <c r="F2648" s="2" t="s">
        <v>12</v>
      </c>
      <c r="G2648" t="s">
        <v>3923</v>
      </c>
      <c r="H2648" t="str">
        <f t="shared" si="82"/>
        <v>https://videplast.com.br/consulta-imobilizado?id=32000065&amp;nome=5%20CAMERAS%20CCD%20SONY%20SS520,%205%20LENTES%20AUTO%20IRIS%203,5</v>
      </c>
      <c r="I2648" t="e">
        <f t="shared" ca="1" si="83"/>
        <v>#NAME?</v>
      </c>
    </row>
    <row r="2649" spans="1:9" x14ac:dyDescent="0.25">
      <c r="A2649" s="2" t="s">
        <v>4370</v>
      </c>
      <c r="B2649" s="2" t="s">
        <v>10</v>
      </c>
      <c r="C2649" s="3">
        <v>40724</v>
      </c>
      <c r="D2649" t="s">
        <v>4371</v>
      </c>
      <c r="E2649" s="2" t="s">
        <v>12</v>
      </c>
      <c r="F2649" s="2" t="s">
        <v>12</v>
      </c>
      <c r="G2649" t="s">
        <v>3923</v>
      </c>
      <c r="H2649" t="str">
        <f t="shared" si="82"/>
        <v>https://videplast.com.br/consulta-imobilizado?id=32000066&amp;nome=10%20CAMERAS%20PROFICIONAIS%20COM%20LENTES%20AUTO%20IRIS</v>
      </c>
      <c r="I2649" t="e">
        <f t="shared" ca="1" si="83"/>
        <v>#NAME?</v>
      </c>
    </row>
    <row r="2650" spans="1:9" x14ac:dyDescent="0.25">
      <c r="A2650" s="2" t="s">
        <v>4370</v>
      </c>
      <c r="B2650" s="2" t="s">
        <v>26</v>
      </c>
      <c r="C2650" s="3">
        <v>40724</v>
      </c>
      <c r="D2650" t="s">
        <v>4372</v>
      </c>
      <c r="E2650" s="2" t="s">
        <v>12</v>
      </c>
      <c r="F2650" s="2" t="s">
        <v>12</v>
      </c>
      <c r="G2650" t="s">
        <v>3923</v>
      </c>
      <c r="H2650" t="str">
        <f t="shared" si="82"/>
        <v>https://videplast.com.br/consulta-imobilizado?id=32000066&amp;nome=10%20CAMERAS%20PROF%20480%20LIN%209L%20AUTO%20IRIS%203,5A%208MM%201%20L</v>
      </c>
      <c r="I2650" t="e">
        <f t="shared" ca="1" si="83"/>
        <v>#NAME?</v>
      </c>
    </row>
    <row r="2651" spans="1:9" x14ac:dyDescent="0.25">
      <c r="A2651" s="2" t="s">
        <v>4370</v>
      </c>
      <c r="B2651" s="2" t="s">
        <v>21</v>
      </c>
      <c r="C2651" s="3">
        <v>40724</v>
      </c>
      <c r="D2651" t="s">
        <v>4372</v>
      </c>
      <c r="E2651" s="2" t="s">
        <v>12</v>
      </c>
      <c r="F2651" s="2" t="s">
        <v>12</v>
      </c>
      <c r="G2651" t="s">
        <v>3923</v>
      </c>
      <c r="H2651" t="str">
        <f t="shared" si="82"/>
        <v>https://videplast.com.br/consulta-imobilizado?id=32000066&amp;nome=10%20CAMERAS%20PROF%20480%20LIN%209L%20AUTO%20IRIS%203,5A%208MM%201%20L</v>
      </c>
      <c r="I2651" t="e">
        <f t="shared" ca="1" si="83"/>
        <v>#NAME?</v>
      </c>
    </row>
    <row r="2652" spans="1:9" x14ac:dyDescent="0.25">
      <c r="A2652" s="2" t="s">
        <v>4370</v>
      </c>
      <c r="B2652" s="2" t="s">
        <v>29</v>
      </c>
      <c r="C2652" s="3">
        <v>40724</v>
      </c>
      <c r="D2652" t="s">
        <v>4372</v>
      </c>
      <c r="E2652" s="2" t="s">
        <v>12</v>
      </c>
      <c r="F2652" s="2" t="s">
        <v>12</v>
      </c>
      <c r="G2652" t="s">
        <v>3923</v>
      </c>
      <c r="H2652" t="str">
        <f t="shared" si="82"/>
        <v>https://videplast.com.br/consulta-imobilizado?id=32000066&amp;nome=10%20CAMERAS%20PROF%20480%20LIN%209L%20AUTO%20IRIS%203,5A%208MM%201%20L</v>
      </c>
      <c r="I2652" t="e">
        <f t="shared" ca="1" si="83"/>
        <v>#NAME?</v>
      </c>
    </row>
    <row r="2653" spans="1:9" x14ac:dyDescent="0.25">
      <c r="A2653" s="2" t="s">
        <v>4370</v>
      </c>
      <c r="B2653" s="2" t="s">
        <v>31</v>
      </c>
      <c r="C2653" s="3">
        <v>40724</v>
      </c>
      <c r="D2653" t="s">
        <v>4372</v>
      </c>
      <c r="E2653" s="2" t="s">
        <v>12</v>
      </c>
      <c r="F2653" s="2" t="s">
        <v>12</v>
      </c>
      <c r="G2653" t="s">
        <v>3923</v>
      </c>
      <c r="H2653" t="str">
        <f t="shared" si="82"/>
        <v>https://videplast.com.br/consulta-imobilizado?id=32000066&amp;nome=10%20CAMERAS%20PROF%20480%20LIN%209L%20AUTO%20IRIS%203,5A%208MM%201%20L</v>
      </c>
      <c r="I2653" t="e">
        <f t="shared" ca="1" si="83"/>
        <v>#NAME?</v>
      </c>
    </row>
    <row r="2654" spans="1:9" x14ac:dyDescent="0.25">
      <c r="A2654" s="2" t="s">
        <v>4373</v>
      </c>
      <c r="B2654" s="2" t="s">
        <v>10</v>
      </c>
      <c r="C2654" s="3">
        <v>41060</v>
      </c>
      <c r="D2654" t="s">
        <v>4374</v>
      </c>
      <c r="E2654" s="2" t="s">
        <v>12</v>
      </c>
      <c r="F2654" s="2" t="s">
        <v>12</v>
      </c>
      <c r="G2654" t="s">
        <v>3923</v>
      </c>
      <c r="H2654" t="str">
        <f t="shared" si="82"/>
        <v>https://videplast.com.br/consulta-imobilizado?id=32000078&amp;nome=BATERIA%20MP150BD%20PARA%20NOBREAK%20DA%20FABRICA</v>
      </c>
      <c r="I2654" t="e">
        <f t="shared" ca="1" si="83"/>
        <v>#NAME?</v>
      </c>
    </row>
    <row r="2655" spans="1:9" x14ac:dyDescent="0.25">
      <c r="A2655" s="2" t="s">
        <v>4375</v>
      </c>
      <c r="B2655" s="2" t="s">
        <v>10</v>
      </c>
      <c r="C2655" s="3">
        <v>41121</v>
      </c>
      <c r="D2655" t="s">
        <v>4376</v>
      </c>
      <c r="E2655" s="2" t="s">
        <v>12</v>
      </c>
      <c r="F2655" s="2" t="s">
        <v>12</v>
      </c>
      <c r="G2655" t="s">
        <v>3923</v>
      </c>
      <c r="H2655" t="str">
        <f t="shared" si="82"/>
        <v>https://videplast.com.br/consulta-imobilizado?id=32000079&amp;nome=2%20INTERFACES%20GSM%20QUADR.%20PINACULO,%20P/PABX%20DA</v>
      </c>
      <c r="I2655" t="e">
        <f t="shared" ca="1" si="83"/>
        <v>#NAME?</v>
      </c>
    </row>
    <row r="2656" spans="1:9" x14ac:dyDescent="0.25">
      <c r="A2656" s="2" t="s">
        <v>4377</v>
      </c>
      <c r="B2656" s="2" t="s">
        <v>10</v>
      </c>
      <c r="C2656" s="3">
        <v>41121</v>
      </c>
      <c r="D2656" t="s">
        <v>4378</v>
      </c>
      <c r="E2656" s="2" t="s">
        <v>12</v>
      </c>
      <c r="F2656" s="2" t="s">
        <v>12</v>
      </c>
      <c r="G2656" t="s">
        <v>3923</v>
      </c>
      <c r="H2656" t="str">
        <f t="shared" si="82"/>
        <v>https://videplast.com.br/consulta-imobilizado?id=32000080&amp;nome=SCANNER%20DE%20CARTOES%20CARDSCAN%20VERSAO%207%20EXECUTIVE</v>
      </c>
      <c r="I2656" t="e">
        <f t="shared" ca="1" si="83"/>
        <v>#NAME?</v>
      </c>
    </row>
    <row r="2657" spans="1:9" x14ac:dyDescent="0.25">
      <c r="A2657" s="2" t="s">
        <v>4379</v>
      </c>
      <c r="B2657" s="2" t="s">
        <v>10</v>
      </c>
      <c r="C2657" s="3">
        <v>41425</v>
      </c>
      <c r="D2657" t="s">
        <v>4380</v>
      </c>
      <c r="E2657" s="2" t="s">
        <v>4381</v>
      </c>
      <c r="F2657" s="2" t="s">
        <v>12</v>
      </c>
      <c r="G2657" t="s">
        <v>3923</v>
      </c>
      <c r="H2657" t="str">
        <f t="shared" si="82"/>
        <v>https://videplast.com.br/consulta-imobilizado?id=32000092&amp;nome=COLETOR%20DE%20DADOS%20PRINT%20POINT</v>
      </c>
      <c r="I2657" t="e">
        <f t="shared" ca="1" si="83"/>
        <v>#NAME?</v>
      </c>
    </row>
    <row r="2658" spans="1:9" x14ac:dyDescent="0.25">
      <c r="A2658" s="2" t="s">
        <v>4379</v>
      </c>
      <c r="B2658" s="2" t="s">
        <v>26</v>
      </c>
      <c r="C2658" s="3">
        <v>41425</v>
      </c>
      <c r="D2658" t="s">
        <v>4382</v>
      </c>
      <c r="E2658" s="2" t="s">
        <v>12</v>
      </c>
      <c r="F2658" s="2" t="s">
        <v>12</v>
      </c>
      <c r="G2658" t="s">
        <v>3923</v>
      </c>
      <c r="H2658" t="str">
        <f t="shared" si="82"/>
        <v>https://videplast.com.br/consulta-imobilizado?id=32000092&amp;nome=FRETE%20APARELHO%20COLETOR%20DE%20DADOS</v>
      </c>
      <c r="I2658" t="e">
        <f t="shared" ca="1" si="83"/>
        <v>#NAME?</v>
      </c>
    </row>
    <row r="2659" spans="1:9" x14ac:dyDescent="0.25">
      <c r="A2659" s="2" t="s">
        <v>4383</v>
      </c>
      <c r="B2659" s="2" t="s">
        <v>10</v>
      </c>
      <c r="C2659" s="3">
        <v>38097</v>
      </c>
      <c r="D2659" t="s">
        <v>4384</v>
      </c>
      <c r="E2659" s="2" t="s">
        <v>12</v>
      </c>
      <c r="F2659" s="2" t="s">
        <v>12</v>
      </c>
      <c r="G2659" t="s">
        <v>3923</v>
      </c>
      <c r="H2659" t="str">
        <f t="shared" si="82"/>
        <v>https://videplast.com.br/consulta-imobilizado?id=32000126&amp;nome=12%20MINI%20CAMERA%20COLOR</v>
      </c>
      <c r="I2659" t="e">
        <f t="shared" ca="1" si="83"/>
        <v>#NAME?</v>
      </c>
    </row>
    <row r="2660" spans="1:9" x14ac:dyDescent="0.25">
      <c r="A2660" s="2" t="s">
        <v>4385</v>
      </c>
      <c r="B2660" s="2" t="s">
        <v>10</v>
      </c>
      <c r="C2660" s="3">
        <v>38146</v>
      </c>
      <c r="D2660" t="s">
        <v>4386</v>
      </c>
      <c r="E2660" s="2" t="s">
        <v>12</v>
      </c>
      <c r="F2660" s="2" t="s">
        <v>12</v>
      </c>
      <c r="G2660" t="s">
        <v>3923</v>
      </c>
      <c r="H2660" t="str">
        <f t="shared" si="82"/>
        <v>https://videplast.com.br/consulta-imobilizado?id=32000130&amp;nome=GRAVADOR%20DVD%20LG%20SUPER%20MULTI</v>
      </c>
      <c r="I2660" t="e">
        <f t="shared" ca="1" si="83"/>
        <v>#NAME?</v>
      </c>
    </row>
    <row r="2661" spans="1:9" x14ac:dyDescent="0.25">
      <c r="A2661" s="2" t="s">
        <v>4387</v>
      </c>
      <c r="B2661" s="2" t="s">
        <v>10</v>
      </c>
      <c r="C2661" s="3">
        <v>38146</v>
      </c>
      <c r="D2661" t="s">
        <v>4388</v>
      </c>
      <c r="E2661" s="2" t="s">
        <v>12</v>
      </c>
      <c r="F2661" s="2" t="s">
        <v>12</v>
      </c>
      <c r="G2661" t="s">
        <v>3923</v>
      </c>
      <c r="H2661" t="str">
        <f t="shared" si="82"/>
        <v>https://videplast.com.br/consulta-imobilizado?id=32000131&amp;nome=SERVIDOR%20HP-PROLIANT%20ML350</v>
      </c>
      <c r="I2661" t="e">
        <f t="shared" ca="1" si="83"/>
        <v>#NAME?</v>
      </c>
    </row>
    <row r="2662" spans="1:9" x14ac:dyDescent="0.25">
      <c r="A2662" s="2" t="s">
        <v>4389</v>
      </c>
      <c r="B2662" s="2" t="s">
        <v>10</v>
      </c>
      <c r="C2662" s="3">
        <v>38250</v>
      </c>
      <c r="D2662" t="s">
        <v>4390</v>
      </c>
      <c r="E2662" s="2" t="s">
        <v>12</v>
      </c>
      <c r="F2662" s="2" t="s">
        <v>12</v>
      </c>
      <c r="G2662" t="s">
        <v>3923</v>
      </c>
      <c r="H2662" s="5" t="str">
        <f t="shared" si="82"/>
        <v>https://videplast.com.br/consulta-imobilizado?id=32000132&amp;nome=COMPUTADOR%20SANSUNG%20INTEL%20PIV%203.0%20HT%20P45800%20HD</v>
      </c>
      <c r="I2662" t="e">
        <f t="shared" ca="1" si="83"/>
        <v>#NAME?</v>
      </c>
    </row>
    <row r="2663" spans="1:9" x14ac:dyDescent="0.25">
      <c r="A2663" s="2" t="s">
        <v>4391</v>
      </c>
      <c r="B2663" s="2" t="s">
        <v>10</v>
      </c>
      <c r="C2663" s="3">
        <v>38268</v>
      </c>
      <c r="D2663" t="s">
        <v>4392</v>
      </c>
      <c r="E2663" s="2" t="s">
        <v>12</v>
      </c>
      <c r="F2663" s="2" t="s">
        <v>12</v>
      </c>
      <c r="G2663" t="s">
        <v>3923</v>
      </c>
      <c r="H2663" t="str">
        <f t="shared" si="82"/>
        <v>https://videplast.com.br/consulta-imobilizado?id=32000133&amp;nome=PLACA%20GERENCIAMENTO%20IMAGEM,%20CAMERAS%20E%20EQUIPAMENTOS</v>
      </c>
      <c r="I2663" t="e">
        <f t="shared" ca="1" si="83"/>
        <v>#NAME?</v>
      </c>
    </row>
    <row r="2664" spans="1:9" x14ac:dyDescent="0.25">
      <c r="A2664" s="2" t="s">
        <v>4393</v>
      </c>
      <c r="B2664" s="2" t="s">
        <v>10</v>
      </c>
      <c r="C2664" s="3">
        <v>38520</v>
      </c>
      <c r="D2664" t="s">
        <v>4394</v>
      </c>
      <c r="E2664" s="2" t="s">
        <v>12</v>
      </c>
      <c r="F2664" s="2" t="s">
        <v>12</v>
      </c>
      <c r="G2664" t="s">
        <v>3923</v>
      </c>
      <c r="H2664" t="str">
        <f t="shared" si="82"/>
        <v>https://videplast.com.br/consulta-imobilizado?id=32000138&amp;nome=MATERIAS%20PARA%20CAIXA%20DE%20COMANDO</v>
      </c>
      <c r="I2664" t="e">
        <f t="shared" ca="1" si="83"/>
        <v>#NAME?</v>
      </c>
    </row>
    <row r="2665" spans="1:9" x14ac:dyDescent="0.25">
      <c r="A2665" s="2" t="s">
        <v>4395</v>
      </c>
      <c r="B2665" s="2" t="s">
        <v>10</v>
      </c>
      <c r="C2665" s="3">
        <v>38622</v>
      </c>
      <c r="D2665" t="s">
        <v>4396</v>
      </c>
      <c r="E2665" s="2" t="s">
        <v>12</v>
      </c>
      <c r="F2665" s="2" t="s">
        <v>12</v>
      </c>
      <c r="G2665" t="s">
        <v>3923</v>
      </c>
      <c r="H2665" s="5" t="str">
        <f t="shared" si="82"/>
        <v>https://videplast.com.br/consulta-imobilizado?id=32000142&amp;nome=MONITOR%20PHILIPS%2017"%20PARA%20COMPUTADOR%20COMPLETO</v>
      </c>
      <c r="I2665" t="e">
        <f t="shared" ca="1" si="83"/>
        <v>#NAME?</v>
      </c>
    </row>
    <row r="2666" spans="1:9" x14ac:dyDescent="0.25">
      <c r="A2666" s="2" t="s">
        <v>4397</v>
      </c>
      <c r="B2666" s="2" t="s">
        <v>10</v>
      </c>
      <c r="C2666" s="3">
        <v>38625</v>
      </c>
      <c r="D2666" t="s">
        <v>4398</v>
      </c>
      <c r="E2666" s="2" t="s">
        <v>12</v>
      </c>
      <c r="F2666" s="2" t="s">
        <v>12</v>
      </c>
      <c r="G2666" t="s">
        <v>3923</v>
      </c>
      <c r="H2666" s="5" t="str">
        <f t="shared" si="82"/>
        <v>https://videplast.com.br/consulta-imobilizado?id=32000143&amp;nome=COMPUTADOR%20COMPLETO%20COM%20MONITOR%20SANSUNG</v>
      </c>
      <c r="I2666" t="e">
        <f t="shared" ca="1" si="83"/>
        <v>#NAME?</v>
      </c>
    </row>
    <row r="2667" spans="1:9" x14ac:dyDescent="0.25">
      <c r="A2667" s="2" t="s">
        <v>4399</v>
      </c>
      <c r="B2667" s="2" t="s">
        <v>10</v>
      </c>
      <c r="C2667" s="3">
        <v>38625</v>
      </c>
      <c r="D2667" t="s">
        <v>4400</v>
      </c>
      <c r="E2667" s="2" t="s">
        <v>12</v>
      </c>
      <c r="F2667" s="2" t="s">
        <v>12</v>
      </c>
      <c r="G2667" t="s">
        <v>3923</v>
      </c>
      <c r="H2667" t="str">
        <f t="shared" si="82"/>
        <v>https://videplast.com.br/consulta-imobilizado?id=32000144&amp;nome=RACK%20FECHADO</v>
      </c>
      <c r="I2667" t="e">
        <f t="shared" ca="1" si="83"/>
        <v>#NAME?</v>
      </c>
    </row>
    <row r="2668" spans="1:9" x14ac:dyDescent="0.25">
      <c r="A2668" s="2" t="s">
        <v>4401</v>
      </c>
      <c r="B2668" s="2" t="s">
        <v>10</v>
      </c>
      <c r="C2668" s="3">
        <v>38630</v>
      </c>
      <c r="D2668" t="s">
        <v>4402</v>
      </c>
      <c r="E2668" s="2" t="s">
        <v>12</v>
      </c>
      <c r="F2668" s="2" t="s">
        <v>12</v>
      </c>
      <c r="G2668" t="s">
        <v>3923</v>
      </c>
      <c r="H2668" t="str">
        <f t="shared" si="82"/>
        <v>https://videplast.com.br/consulta-imobilizado?id=32000149&amp;nome=16%20CAMERAS%20COLOR%20CTCC2720</v>
      </c>
      <c r="I2668" t="e">
        <f t="shared" ca="1" si="83"/>
        <v>#NAME?</v>
      </c>
    </row>
    <row r="2669" spans="1:9" x14ac:dyDescent="0.25">
      <c r="A2669" s="2" t="s">
        <v>4401</v>
      </c>
      <c r="B2669" s="2" t="s">
        <v>26</v>
      </c>
      <c r="C2669" s="3">
        <v>45511</v>
      </c>
      <c r="D2669" t="s">
        <v>4403</v>
      </c>
      <c r="E2669" s="2" t="s">
        <v>12</v>
      </c>
      <c r="F2669" s="2" t="s">
        <v>12</v>
      </c>
      <c r="G2669" t="s">
        <v>3923</v>
      </c>
      <c r="H2669" t="str">
        <f t="shared" si="82"/>
        <v>https://videplast.com.br/consulta-imobilizado?id=32000149&amp;nome=TERMINAL%20DE%20BATERIA%20E%20RACK%20PARA%20CAMERAS%20DA%20FABRICA</v>
      </c>
      <c r="I2669" t="e">
        <f t="shared" ca="1" si="83"/>
        <v>#NAME?</v>
      </c>
    </row>
    <row r="2670" spans="1:9" x14ac:dyDescent="0.25">
      <c r="A2670" s="2" t="s">
        <v>4401</v>
      </c>
      <c r="B2670" s="2" t="s">
        <v>21</v>
      </c>
      <c r="C2670" s="3">
        <v>45511</v>
      </c>
      <c r="D2670" t="s">
        <v>4404</v>
      </c>
      <c r="E2670" s="2" t="s">
        <v>12</v>
      </c>
      <c r="F2670" s="2" t="s">
        <v>12</v>
      </c>
      <c r="G2670" t="s">
        <v>3923</v>
      </c>
      <c r="H2670" t="str">
        <f t="shared" si="82"/>
        <v>https://videplast.com.br/consulta-imobilizado?id=32000149&amp;nome=16%20BATERIAS%20DUREX%20STRADA%20PARA%20CAMERAS%20DA%20FABRICA</v>
      </c>
      <c r="I2670" t="e">
        <f t="shared" ca="1" si="83"/>
        <v>#NAME?</v>
      </c>
    </row>
    <row r="2671" spans="1:9" x14ac:dyDescent="0.25">
      <c r="A2671" s="2" t="s">
        <v>4405</v>
      </c>
      <c r="B2671" s="2" t="s">
        <v>10</v>
      </c>
      <c r="C2671" s="3">
        <v>38680</v>
      </c>
      <c r="D2671" t="s">
        <v>4406</v>
      </c>
      <c r="E2671" s="2" t="s">
        <v>12</v>
      </c>
      <c r="F2671" s="2" t="s">
        <v>12</v>
      </c>
      <c r="G2671" t="s">
        <v>3923</v>
      </c>
      <c r="H2671" t="str">
        <f t="shared" si="82"/>
        <v>https://videplast.com.br/consulta-imobilizado?id=32000150&amp;nome=10%20LEITOR%20METROLOGIC</v>
      </c>
      <c r="I2671" t="e">
        <f t="shared" ca="1" si="83"/>
        <v>#NAME?</v>
      </c>
    </row>
    <row r="2672" spans="1:9" x14ac:dyDescent="0.25">
      <c r="A2672" s="2" t="s">
        <v>4407</v>
      </c>
      <c r="B2672" s="2" t="s">
        <v>10</v>
      </c>
      <c r="C2672" s="3">
        <v>38659</v>
      </c>
      <c r="D2672" t="s">
        <v>4408</v>
      </c>
      <c r="E2672" s="2" t="s">
        <v>12</v>
      </c>
      <c r="F2672" s="2" t="s">
        <v>12</v>
      </c>
      <c r="G2672" t="s">
        <v>3923</v>
      </c>
      <c r="H2672" t="str">
        <f t="shared" si="82"/>
        <v>https://videplast.com.br/consulta-imobilizado?id=32000151&amp;nome=MATEIRAIS%20ELETRICOS%20P/INSTALACOES%20NO%20CPD%20DA%20INDUST</v>
      </c>
      <c r="I2672" t="e">
        <f t="shared" ca="1" si="83"/>
        <v>#NAME?</v>
      </c>
    </row>
    <row r="2673" spans="1:9" x14ac:dyDescent="0.25">
      <c r="A2673" s="2" t="s">
        <v>4409</v>
      </c>
      <c r="B2673" s="2" t="s">
        <v>10</v>
      </c>
      <c r="C2673" s="3">
        <v>38659</v>
      </c>
      <c r="D2673" t="s">
        <v>4408</v>
      </c>
      <c r="E2673" s="2" t="s">
        <v>12</v>
      </c>
      <c r="F2673" s="2" t="s">
        <v>12</v>
      </c>
      <c r="G2673" t="s">
        <v>3923</v>
      </c>
      <c r="H2673" t="str">
        <f t="shared" si="82"/>
        <v>https://videplast.com.br/consulta-imobilizado?id=32000152&amp;nome=MATEIRAIS%20ELETRICOS%20P/INSTALACOES%20NO%20CPD%20DA%20INDUST</v>
      </c>
      <c r="I2673" t="e">
        <f t="shared" ca="1" si="83"/>
        <v>#NAME?</v>
      </c>
    </row>
    <row r="2674" spans="1:9" x14ac:dyDescent="0.25">
      <c r="A2674" s="2" t="s">
        <v>4410</v>
      </c>
      <c r="B2674" s="2" t="s">
        <v>10</v>
      </c>
      <c r="C2674" s="3">
        <v>38733</v>
      </c>
      <c r="D2674" t="s">
        <v>4411</v>
      </c>
      <c r="E2674" s="2" t="s">
        <v>12</v>
      </c>
      <c r="F2674" s="2" t="s">
        <v>12</v>
      </c>
      <c r="G2674" t="s">
        <v>3923</v>
      </c>
      <c r="H2674" t="str">
        <f t="shared" si="82"/>
        <v>https://videplast.com.br/consulta-imobilizado?id=32000154&amp;nome=CABOS%20E%20DEMAIS%20MATERIAIS%20P/INSTALACAO%20DA%20BALANCA</v>
      </c>
      <c r="I2674" t="e">
        <f t="shared" ca="1" si="83"/>
        <v>#NAME?</v>
      </c>
    </row>
    <row r="2675" spans="1:9" x14ac:dyDescent="0.25">
      <c r="A2675" s="2" t="s">
        <v>4412</v>
      </c>
      <c r="B2675" s="2" t="s">
        <v>10</v>
      </c>
      <c r="C2675" s="3">
        <v>38876</v>
      </c>
      <c r="D2675" t="s">
        <v>4413</v>
      </c>
      <c r="E2675" s="2" t="s">
        <v>12</v>
      </c>
      <c r="F2675" s="2" t="s">
        <v>12</v>
      </c>
      <c r="G2675" t="s">
        <v>3923</v>
      </c>
      <c r="H2675" t="str">
        <f t="shared" si="82"/>
        <v>https://videplast.com.br/consulta-imobilizado?id=32000158&amp;nome=6%20LEITORES%20METROLOGIC%20MK5145%20ECLIPSE</v>
      </c>
      <c r="I2675" t="e">
        <f t="shared" ca="1" si="83"/>
        <v>#NAME?</v>
      </c>
    </row>
    <row r="2676" spans="1:9" x14ac:dyDescent="0.25">
      <c r="A2676" s="2" t="s">
        <v>4414</v>
      </c>
      <c r="B2676" s="2" t="s">
        <v>10</v>
      </c>
      <c r="C2676" s="3">
        <v>38915</v>
      </c>
      <c r="D2676" t="s">
        <v>4415</v>
      </c>
      <c r="E2676" s="2" t="s">
        <v>12</v>
      </c>
      <c r="F2676" s="2" t="s">
        <v>12</v>
      </c>
      <c r="G2676" t="s">
        <v>3923</v>
      </c>
      <c r="H2676" t="str">
        <f t="shared" si="82"/>
        <v>https://videplast.com.br/consulta-imobilizado?id=32000161&amp;nome=5%20LEITORES%20LASER%20METROLOGIC</v>
      </c>
      <c r="I2676" t="e">
        <f t="shared" ca="1" si="83"/>
        <v>#NAME?</v>
      </c>
    </row>
    <row r="2677" spans="1:9" x14ac:dyDescent="0.25">
      <c r="A2677" s="2" t="s">
        <v>4416</v>
      </c>
      <c r="B2677" s="2" t="s">
        <v>10</v>
      </c>
      <c r="C2677" s="3">
        <v>38924</v>
      </c>
      <c r="D2677" t="s">
        <v>4417</v>
      </c>
      <c r="E2677" s="2" t="s">
        <v>12</v>
      </c>
      <c r="F2677" s="2" t="s">
        <v>12</v>
      </c>
      <c r="G2677" t="s">
        <v>3923</v>
      </c>
      <c r="H2677" s="5" t="str">
        <f t="shared" si="82"/>
        <v>https://videplast.com.br/consulta-imobilizado?id=32000162&amp;nome=COMPUTADOR%20COMPLETO%20INTEL%20CELERON%202.13%20256%20MB</v>
      </c>
      <c r="I2677" t="e">
        <f t="shared" ca="1" si="83"/>
        <v>#NAME?</v>
      </c>
    </row>
    <row r="2678" spans="1:9" x14ac:dyDescent="0.25">
      <c r="A2678" s="2" t="s">
        <v>4418</v>
      </c>
      <c r="B2678" s="2" t="s">
        <v>10</v>
      </c>
      <c r="C2678" s="3">
        <v>38922</v>
      </c>
      <c r="D2678" t="s">
        <v>4419</v>
      </c>
      <c r="E2678" s="2" t="s">
        <v>12</v>
      </c>
      <c r="F2678" s="2" t="s">
        <v>12</v>
      </c>
      <c r="G2678" t="s">
        <v>3923</v>
      </c>
      <c r="H2678" s="5" t="str">
        <f t="shared" si="82"/>
        <v>https://videplast.com.br/consulta-imobilizado?id=32000163&amp;nome=COMPUTADOR%20COMPLETO%20AMD%20SEMPRON%203000%20512%20MB</v>
      </c>
      <c r="I2678" t="e">
        <f t="shared" ca="1" si="83"/>
        <v>#NAME?</v>
      </c>
    </row>
    <row r="2679" spans="1:9" x14ac:dyDescent="0.25">
      <c r="A2679" s="2" t="s">
        <v>4420</v>
      </c>
      <c r="B2679" s="2" t="s">
        <v>10</v>
      </c>
      <c r="C2679" s="3">
        <v>39000</v>
      </c>
      <c r="D2679" t="s">
        <v>4421</v>
      </c>
      <c r="E2679" s="2" t="s">
        <v>12</v>
      </c>
      <c r="F2679" s="2" t="s">
        <v>12</v>
      </c>
      <c r="G2679" t="s">
        <v>3923</v>
      </c>
      <c r="H2679" t="str">
        <f t="shared" si="82"/>
        <v>https://videplast.com.br/consulta-imobilizado?id=32000164&amp;nome=5%20LEITORES%20DE%20COD%20DE%20BARRAS%20METROLOGIC</v>
      </c>
      <c r="I2679" t="e">
        <f t="shared" ca="1" si="83"/>
        <v>#NAME?</v>
      </c>
    </row>
    <row r="2680" spans="1:9" x14ac:dyDescent="0.25">
      <c r="A2680" s="2" t="s">
        <v>4422</v>
      </c>
      <c r="B2680" s="2" t="s">
        <v>10</v>
      </c>
      <c r="C2680" s="3">
        <v>39077</v>
      </c>
      <c r="D2680" t="s">
        <v>4423</v>
      </c>
      <c r="E2680" s="2" t="s">
        <v>12</v>
      </c>
      <c r="F2680" s="2" t="s">
        <v>12</v>
      </c>
      <c r="G2680" t="s">
        <v>3923</v>
      </c>
      <c r="H2680" t="str">
        <f t="shared" si="82"/>
        <v>https://videplast.com.br/consulta-imobilizado?id=32000165&amp;nome=6%20LEITORES%20METROLOGIC%20MK%205145%20ECLIPSE</v>
      </c>
      <c r="I2680" t="e">
        <f t="shared" ca="1" si="83"/>
        <v>#NAME?</v>
      </c>
    </row>
    <row r="2681" spans="1:9" x14ac:dyDescent="0.25">
      <c r="A2681" s="2" t="s">
        <v>4424</v>
      </c>
      <c r="B2681" s="2" t="s">
        <v>10</v>
      </c>
      <c r="C2681" s="3">
        <v>39498</v>
      </c>
      <c r="D2681" t="s">
        <v>4425</v>
      </c>
      <c r="E2681" s="2" t="s">
        <v>12</v>
      </c>
      <c r="F2681" s="2" t="s">
        <v>12</v>
      </c>
      <c r="G2681" t="s">
        <v>3923</v>
      </c>
      <c r="H2681" s="5" t="str">
        <f t="shared" si="82"/>
        <v>https://videplast.com.br/consulta-imobilizado?id=32000177&amp;nome=10%20MICROCOMPUTADOR%20DELL%20OPTIPLEX%20740</v>
      </c>
      <c r="I2681" t="e">
        <f t="shared" ca="1" si="83"/>
        <v>#NAME?</v>
      </c>
    </row>
    <row r="2682" spans="1:9" x14ac:dyDescent="0.25">
      <c r="A2682" s="2" t="s">
        <v>4426</v>
      </c>
      <c r="B2682" s="2" t="s">
        <v>10</v>
      </c>
      <c r="C2682" s="3">
        <v>39538</v>
      </c>
      <c r="D2682" t="s">
        <v>4427</v>
      </c>
      <c r="E2682" s="2" t="s">
        <v>12</v>
      </c>
      <c r="F2682" s="2" t="s">
        <v>12</v>
      </c>
      <c r="G2682" t="s">
        <v>3923</v>
      </c>
      <c r="H2682" t="str">
        <f t="shared" si="82"/>
        <v>https://videplast.com.br/consulta-imobilizado?id=32000180&amp;nome=CABO%20BLINDADO</v>
      </c>
      <c r="I2682" t="e">
        <f t="shared" ca="1" si="83"/>
        <v>#NAME?</v>
      </c>
    </row>
    <row r="2683" spans="1:9" x14ac:dyDescent="0.25">
      <c r="A2683" s="2" t="s">
        <v>4428</v>
      </c>
      <c r="B2683" s="2" t="s">
        <v>10</v>
      </c>
      <c r="C2683" s="3">
        <v>39599</v>
      </c>
      <c r="D2683" t="s">
        <v>4429</v>
      </c>
      <c r="E2683" s="2" t="s">
        <v>12</v>
      </c>
      <c r="F2683" s="2" t="s">
        <v>12</v>
      </c>
      <c r="G2683" t="s">
        <v>3923</v>
      </c>
      <c r="H2683" s="5" t="str">
        <f t="shared" si="82"/>
        <v>https://videplast.com.br/consulta-imobilizado?id=32000181&amp;nome=COMPUTADOR%20SLIMTEK%20IDC2160004B%201.8%20HD%20160</v>
      </c>
      <c r="I2683" t="e">
        <f t="shared" ca="1" si="83"/>
        <v>#NAME?</v>
      </c>
    </row>
    <row r="2684" spans="1:9" x14ac:dyDescent="0.25">
      <c r="A2684" s="2" t="s">
        <v>4430</v>
      </c>
      <c r="B2684" s="2" t="s">
        <v>10</v>
      </c>
      <c r="C2684" s="3">
        <v>39599</v>
      </c>
      <c r="D2684" t="s">
        <v>4431</v>
      </c>
      <c r="E2684" s="2" t="s">
        <v>12</v>
      </c>
      <c r="F2684" s="2" t="s">
        <v>12</v>
      </c>
      <c r="G2684" t="s">
        <v>3923</v>
      </c>
      <c r="H2684" t="str">
        <f t="shared" si="82"/>
        <v>https://videplast.com.br/consulta-imobilizado?id=32000183&amp;nome=RACK%20DE%20PISO%2019"%20COM%20KIT%20DE%20VENTILACAO%20PARA%20TETO</v>
      </c>
      <c r="I2684" t="e">
        <f t="shared" ca="1" si="83"/>
        <v>#NAME?</v>
      </c>
    </row>
    <row r="2685" spans="1:9" x14ac:dyDescent="0.25">
      <c r="A2685" s="2" t="s">
        <v>4432</v>
      </c>
      <c r="B2685" s="2" t="s">
        <v>10</v>
      </c>
      <c r="C2685" s="3">
        <v>39714</v>
      </c>
      <c r="D2685" t="s">
        <v>4433</v>
      </c>
      <c r="E2685" s="2" t="s">
        <v>12</v>
      </c>
      <c r="F2685" s="2" t="s">
        <v>12</v>
      </c>
      <c r="G2685" t="s">
        <v>3923</v>
      </c>
      <c r="H2685" t="str">
        <f t="shared" si="82"/>
        <v>https://videplast.com.br/consulta-imobilizado?id=32000187&amp;nome=ACIONADOR%20MANUAL%20ENDER</v>
      </c>
      <c r="I2685" t="e">
        <f t="shared" ca="1" si="83"/>
        <v>#NAME?</v>
      </c>
    </row>
    <row r="2686" spans="1:9" x14ac:dyDescent="0.25">
      <c r="A2686" s="2" t="s">
        <v>4434</v>
      </c>
      <c r="B2686" s="2" t="s">
        <v>10</v>
      </c>
      <c r="C2686" s="3">
        <v>39748</v>
      </c>
      <c r="D2686" t="s">
        <v>4435</v>
      </c>
      <c r="E2686" s="2" t="s">
        <v>12</v>
      </c>
      <c r="F2686" s="2" t="s">
        <v>12</v>
      </c>
      <c r="G2686" t="s">
        <v>3923</v>
      </c>
      <c r="H2686" t="str">
        <f t="shared" si="82"/>
        <v>https://videplast.com.br/consulta-imobilizado?id=32000189&amp;nome=VENTILADOR%20PARA%20A%20FABRICA</v>
      </c>
      <c r="I2686" t="e">
        <f t="shared" ca="1" si="83"/>
        <v>#NAME?</v>
      </c>
    </row>
    <row r="2687" spans="1:9" x14ac:dyDescent="0.25">
      <c r="A2687" s="2" t="s">
        <v>4436</v>
      </c>
      <c r="B2687" s="2" t="s">
        <v>10</v>
      </c>
      <c r="C2687" s="3">
        <v>39751</v>
      </c>
      <c r="D2687" t="s">
        <v>4437</v>
      </c>
      <c r="E2687" s="2" t="s">
        <v>12</v>
      </c>
      <c r="F2687" s="2" t="s">
        <v>12</v>
      </c>
      <c r="G2687" t="s">
        <v>3923</v>
      </c>
      <c r="H2687" t="str">
        <f t="shared" si="82"/>
        <v>https://videplast.com.br/consulta-imobilizado?id=32000190&amp;nome=COMPUADOR%20DE%20BORDO,%20SIRENE,%20BLOQ,%20BAT,%20CHIC%20PRINC</v>
      </c>
      <c r="I2687" t="e">
        <f t="shared" ca="1" si="83"/>
        <v>#NAME?</v>
      </c>
    </row>
    <row r="2688" spans="1:9" x14ac:dyDescent="0.25">
      <c r="A2688" s="2" t="s">
        <v>4438</v>
      </c>
      <c r="B2688" s="2" t="s">
        <v>10</v>
      </c>
      <c r="C2688" s="3">
        <v>39776</v>
      </c>
      <c r="D2688" t="s">
        <v>4439</v>
      </c>
      <c r="E2688" s="2" t="s">
        <v>12</v>
      </c>
      <c r="F2688" s="2" t="s">
        <v>12</v>
      </c>
      <c r="G2688" t="s">
        <v>3923</v>
      </c>
      <c r="H2688" t="str">
        <f t="shared" si="82"/>
        <v>https://videplast.com.br/consulta-imobilizado?id=32000191&amp;nome=PRANCHA%20KIT%20PRIMEIROS%20SOCORROS</v>
      </c>
      <c r="I2688" t="e">
        <f t="shared" ca="1" si="83"/>
        <v>#NAME?</v>
      </c>
    </row>
    <row r="2689" spans="1:9" x14ac:dyDescent="0.25">
      <c r="A2689" s="2" t="s">
        <v>4438</v>
      </c>
      <c r="B2689" s="2" t="s">
        <v>26</v>
      </c>
      <c r="C2689" s="3">
        <v>45511</v>
      </c>
      <c r="D2689" t="s">
        <v>4440</v>
      </c>
      <c r="E2689" s="2" t="s">
        <v>12</v>
      </c>
      <c r="F2689" s="2" t="s">
        <v>12</v>
      </c>
      <c r="G2689" t="s">
        <v>3923</v>
      </c>
      <c r="H2689" t="str">
        <f t="shared" si="82"/>
        <v>https://videplast.com.br/consulta-imobilizado?id=32000191&amp;nome=FRETE%20TRANSPORTE%20DE%203%20PRANCHA%20KIT%20PRIMEIROS%20SOCORR</v>
      </c>
      <c r="I2689" t="e">
        <f t="shared" ca="1" si="83"/>
        <v>#NAME?</v>
      </c>
    </row>
    <row r="2690" spans="1:9" x14ac:dyDescent="0.25">
      <c r="A2690" s="2" t="s">
        <v>4441</v>
      </c>
      <c r="B2690" s="2" t="s">
        <v>10</v>
      </c>
      <c r="C2690" s="3">
        <v>39994</v>
      </c>
      <c r="D2690" t="s">
        <v>4442</v>
      </c>
      <c r="E2690" s="2" t="s">
        <v>12</v>
      </c>
      <c r="F2690" s="2" t="s">
        <v>12</v>
      </c>
      <c r="G2690" t="s">
        <v>3923</v>
      </c>
      <c r="H2690" t="str">
        <f t="shared" ref="H2690:H2753" si="84" xml:space="preserve"> "https://videplast.com.br/consulta-imobilizado?id=" &amp; A2690 &amp; "&amp;nome=" &amp; SUBSTITUTE(D2690, " ", "%20")</f>
        <v>https://videplast.com.br/consulta-imobilizado?id=32000193&amp;nome=MONITOR%20LCD%2015"</v>
      </c>
      <c r="I2690" t="e">
        <f t="shared" ref="I2690:I2753" ca="1" si="85">_xlfn.IMAGE("https://chart.googleapis.com/chart?chs=150x150&amp;cht=qr&amp;chl=" &amp; H2690)</f>
        <v>#NAME?</v>
      </c>
    </row>
    <row r="2691" spans="1:9" x14ac:dyDescent="0.25">
      <c r="A2691" s="2" t="s">
        <v>4443</v>
      </c>
      <c r="B2691" s="2" t="s">
        <v>10</v>
      </c>
      <c r="C2691" s="3">
        <v>40207</v>
      </c>
      <c r="D2691" t="s">
        <v>3821</v>
      </c>
      <c r="E2691" s="2" t="s">
        <v>12</v>
      </c>
      <c r="F2691" s="2" t="s">
        <v>12</v>
      </c>
      <c r="G2691" t="s">
        <v>3923</v>
      </c>
      <c r="H2691" t="str">
        <f t="shared" si="84"/>
        <v>https://videplast.com.br/consulta-imobilizado?id=32000201&amp;nome=SWITCH%2024%20PORTAS%203%20COM%2010/100/1000</v>
      </c>
      <c r="I2691" t="e">
        <f t="shared" ca="1" si="85"/>
        <v>#NAME?</v>
      </c>
    </row>
    <row r="2692" spans="1:9" x14ac:dyDescent="0.25">
      <c r="A2692" s="2" t="s">
        <v>4444</v>
      </c>
      <c r="B2692" s="2" t="s">
        <v>10</v>
      </c>
      <c r="C2692" s="3">
        <v>40329</v>
      </c>
      <c r="D2692" t="s">
        <v>4445</v>
      </c>
      <c r="E2692" s="2" t="s">
        <v>12</v>
      </c>
      <c r="F2692" s="2" t="s">
        <v>12</v>
      </c>
      <c r="G2692" t="s">
        <v>3923</v>
      </c>
      <c r="H2692" t="str">
        <f t="shared" si="84"/>
        <v>https://videplast.com.br/consulta-imobilizado?id=32000202&amp;nome=BATERIAS%20P/NOBREAK%20DA%20FABRICA%20GERAL%20NF%20553</v>
      </c>
      <c r="I2692" t="e">
        <f t="shared" ca="1" si="85"/>
        <v>#NAME?</v>
      </c>
    </row>
    <row r="2693" spans="1:9" x14ac:dyDescent="0.25">
      <c r="A2693" s="2" t="s">
        <v>4446</v>
      </c>
      <c r="B2693" s="2" t="s">
        <v>10</v>
      </c>
      <c r="C2693" s="3">
        <v>40359</v>
      </c>
      <c r="D2693" t="s">
        <v>4447</v>
      </c>
      <c r="E2693" s="2" t="s">
        <v>12</v>
      </c>
      <c r="F2693" s="2" t="s">
        <v>4448</v>
      </c>
      <c r="G2693" t="s">
        <v>3923</v>
      </c>
      <c r="H2693" t="str">
        <f t="shared" si="84"/>
        <v>https://videplast.com.br/consulta-imobilizado?id=32000203&amp;nome=BRAKLESS%20AABB%20XYZ</v>
      </c>
      <c r="I2693" t="e">
        <f t="shared" ca="1" si="85"/>
        <v>#NAME?</v>
      </c>
    </row>
    <row r="2694" spans="1:9" x14ac:dyDescent="0.25">
      <c r="A2694" s="2" t="s">
        <v>4449</v>
      </c>
      <c r="B2694" s="2" t="s">
        <v>10</v>
      </c>
      <c r="C2694" s="3">
        <v>40390</v>
      </c>
      <c r="D2694" t="s">
        <v>4450</v>
      </c>
      <c r="E2694" s="2" t="s">
        <v>12</v>
      </c>
      <c r="F2694" s="2" t="s">
        <v>12</v>
      </c>
      <c r="G2694" t="s">
        <v>3923</v>
      </c>
      <c r="H2694" t="str">
        <f t="shared" si="84"/>
        <v>https://videplast.com.br/consulta-imobilizado?id=32000207&amp;nome=MONITOR%2015,6"%20SANSUNG</v>
      </c>
      <c r="I2694" t="e">
        <f t="shared" ca="1" si="85"/>
        <v>#NAME?</v>
      </c>
    </row>
    <row r="2695" spans="1:9" x14ac:dyDescent="0.25">
      <c r="A2695" s="2" t="s">
        <v>4451</v>
      </c>
      <c r="B2695" s="2" t="s">
        <v>10</v>
      </c>
      <c r="C2695" s="3">
        <v>42241</v>
      </c>
      <c r="D2695" t="s">
        <v>506</v>
      </c>
      <c r="E2695" s="2" t="s">
        <v>12</v>
      </c>
      <c r="F2695" s="2" t="s">
        <v>12</v>
      </c>
      <c r="G2695" t="s">
        <v>3923</v>
      </c>
      <c r="H2695" t="str">
        <f t="shared" si="84"/>
        <v>https://videplast.com.br/consulta-imobilizado?id=32000874&amp;nome=IMPRESSOR%20TERMICO%20ZEBRA%20GC%20420</v>
      </c>
      <c r="I2695" t="e">
        <f t="shared" ca="1" si="85"/>
        <v>#NAME?</v>
      </c>
    </row>
    <row r="2696" spans="1:9" x14ac:dyDescent="0.25">
      <c r="A2696" s="2" t="s">
        <v>4452</v>
      </c>
      <c r="B2696" s="2" t="s">
        <v>10</v>
      </c>
      <c r="C2696" s="3">
        <v>43327</v>
      </c>
      <c r="D2696" t="s">
        <v>510</v>
      </c>
      <c r="E2696" s="2" t="s">
        <v>12</v>
      </c>
      <c r="F2696" s="2" t="s">
        <v>12</v>
      </c>
      <c r="G2696" t="s">
        <v>3923</v>
      </c>
      <c r="H2696" t="str">
        <f t="shared" si="84"/>
        <v>https://videplast.com.br/consulta-imobilizado?id=32001112&amp;nome=NOTEBOOK%20DELL%20VOSTRO%203468%20I5-7200U%20WIN%2010%20PRO%208GB</v>
      </c>
      <c r="I2696" t="e">
        <f t="shared" ca="1" si="85"/>
        <v>#NAME?</v>
      </c>
    </row>
    <row r="2697" spans="1:9" x14ac:dyDescent="0.25">
      <c r="A2697" s="2" t="s">
        <v>4453</v>
      </c>
      <c r="B2697" s="2" t="s">
        <v>10</v>
      </c>
      <c r="C2697" s="3">
        <v>43554</v>
      </c>
      <c r="D2697" t="s">
        <v>4454</v>
      </c>
      <c r="E2697" s="2" t="s">
        <v>12</v>
      </c>
      <c r="F2697" s="2" t="s">
        <v>4455</v>
      </c>
      <c r="G2697" t="s">
        <v>3923</v>
      </c>
      <c r="H2697" t="str">
        <f t="shared" si="84"/>
        <v>https://videplast.com.br/consulta-imobilizado?id=32001331&amp;nome=NOTEBOOK%20DELL%20VOSTRO%2014%203468%20I5%208GB%20RAM</v>
      </c>
      <c r="I2697" t="e">
        <f t="shared" ca="1" si="85"/>
        <v>#NAME?</v>
      </c>
    </row>
    <row r="2698" spans="1:9" x14ac:dyDescent="0.25">
      <c r="A2698" s="2" t="s">
        <v>4456</v>
      </c>
      <c r="B2698" s="2" t="s">
        <v>10</v>
      </c>
      <c r="C2698" s="3">
        <v>44000</v>
      </c>
      <c r="D2698" t="s">
        <v>4457</v>
      </c>
      <c r="E2698" s="2" t="s">
        <v>12</v>
      </c>
      <c r="F2698" s="2" t="s">
        <v>4458</v>
      </c>
      <c r="G2698" t="s">
        <v>3923</v>
      </c>
      <c r="H2698" t="str">
        <f t="shared" si="84"/>
        <v>https://videplast.com.br/consulta-imobilizado?id=32001710&amp;nome=MONITOR%20LED%2024"%20DELL%20ULTRASHARP%20U2415</v>
      </c>
      <c r="I2698" t="e">
        <f t="shared" ca="1" si="85"/>
        <v>#NAME?</v>
      </c>
    </row>
    <row r="2699" spans="1:9" x14ac:dyDescent="0.25">
      <c r="A2699" s="2" t="s">
        <v>4459</v>
      </c>
      <c r="B2699" s="2" t="s">
        <v>10</v>
      </c>
      <c r="C2699" s="3">
        <v>44407</v>
      </c>
      <c r="D2699" t="s">
        <v>2316</v>
      </c>
      <c r="E2699" s="2" t="s">
        <v>12</v>
      </c>
      <c r="F2699" s="2" t="s">
        <v>4460</v>
      </c>
      <c r="G2699" t="s">
        <v>3923</v>
      </c>
      <c r="H2699" s="5" t="str">
        <f t="shared" si="84"/>
        <v>https://videplast.com.br/consulta-imobilizado?id=32002194&amp;nome=COMPUTADOR%20DELL%20OPTIPLEX/VOSTRO%20I3%204GB%20SSD256%2010P</v>
      </c>
      <c r="I2699" t="e">
        <f t="shared" ca="1" si="85"/>
        <v>#NAME?</v>
      </c>
    </row>
    <row r="2700" spans="1:9" x14ac:dyDescent="0.25">
      <c r="A2700" s="2" t="s">
        <v>4461</v>
      </c>
      <c r="B2700" s="2" t="s">
        <v>10</v>
      </c>
      <c r="C2700" s="3">
        <v>44403</v>
      </c>
      <c r="D2700" t="s">
        <v>3456</v>
      </c>
      <c r="E2700" s="2" t="s">
        <v>12</v>
      </c>
      <c r="F2700" s="2" t="s">
        <v>4462</v>
      </c>
      <c r="G2700" t="s">
        <v>3923</v>
      </c>
      <c r="H2700" t="str">
        <f t="shared" si="84"/>
        <v>https://videplast.com.br/consulta-imobilizado?id=32002197&amp;nome=MONITOR%20LED%2018,5"%20DELL%20E1920H</v>
      </c>
      <c r="I2700" t="e">
        <f t="shared" ca="1" si="85"/>
        <v>#NAME?</v>
      </c>
    </row>
    <row r="2701" spans="1:9" x14ac:dyDescent="0.25">
      <c r="A2701" s="2" t="s">
        <v>4463</v>
      </c>
      <c r="B2701" s="2" t="s">
        <v>10</v>
      </c>
      <c r="C2701" s="3">
        <v>44705</v>
      </c>
      <c r="D2701" t="s">
        <v>4464</v>
      </c>
      <c r="E2701" s="2" t="s">
        <v>4465</v>
      </c>
      <c r="F2701" s="2" t="s">
        <v>4466</v>
      </c>
      <c r="G2701" t="s">
        <v>3923</v>
      </c>
      <c r="H2701" t="str">
        <f t="shared" si="84"/>
        <v>https://videplast.com.br/consulta-imobilizado?id=32002438&amp;nome=NOTEBOOK%20DELL%20VOSTRO%2014%20i5%208GB%20HD%20SSD240GB%20W10P</v>
      </c>
      <c r="I2701" t="e">
        <f t="shared" ca="1" si="85"/>
        <v>#NAME?</v>
      </c>
    </row>
    <row r="2702" spans="1:9" x14ac:dyDescent="0.25">
      <c r="A2702" s="2" t="s">
        <v>4467</v>
      </c>
      <c r="B2702" s="2" t="s">
        <v>10</v>
      </c>
      <c r="C2702" s="3">
        <v>44803</v>
      </c>
      <c r="D2702" t="s">
        <v>4468</v>
      </c>
      <c r="E2702" s="2" t="s">
        <v>4469</v>
      </c>
      <c r="F2702" s="2" t="s">
        <v>12</v>
      </c>
      <c r="G2702" t="s">
        <v>3923</v>
      </c>
      <c r="H2702" t="str">
        <f t="shared" si="84"/>
        <v>https://videplast.com.br/consulta-imobilizado?id=32002502&amp;nome=TELEVISAO%20LG%20TELA%20PLANA%2042"%20LED%20FULL%20HD%20HDMI</v>
      </c>
      <c r="I2702" t="e">
        <f t="shared" ca="1" si="85"/>
        <v>#NAME?</v>
      </c>
    </row>
    <row r="2703" spans="1:9" x14ac:dyDescent="0.25">
      <c r="A2703" s="2" t="s">
        <v>4470</v>
      </c>
      <c r="B2703" s="2" t="s">
        <v>10</v>
      </c>
      <c r="C2703" s="3">
        <v>44820</v>
      </c>
      <c r="D2703" t="s">
        <v>4471</v>
      </c>
      <c r="E2703" s="2" t="s">
        <v>4472</v>
      </c>
      <c r="F2703" s="2" t="s">
        <v>12</v>
      </c>
      <c r="G2703" t="s">
        <v>3923</v>
      </c>
      <c r="H2703" s="5" t="str">
        <f t="shared" si="84"/>
        <v>https://videplast.com.br/consulta-imobilizado?id=32002503&amp;nome=COMPUTADOR%20DELL%20XPS%20I7%2016GB%20HD%201TB%20W10P%20SSD240GB</v>
      </c>
      <c r="I2703" t="e">
        <f t="shared" ca="1" si="85"/>
        <v>#NAME?</v>
      </c>
    </row>
    <row r="2704" spans="1:9" x14ac:dyDescent="0.25">
      <c r="A2704" s="2" t="s">
        <v>4470</v>
      </c>
      <c r="B2704" s="2" t="s">
        <v>26</v>
      </c>
      <c r="C2704" s="3">
        <v>44802</v>
      </c>
      <c r="D2704" t="s">
        <v>579</v>
      </c>
      <c r="E2704" s="2" t="s">
        <v>12</v>
      </c>
      <c r="F2704" s="2" t="s">
        <v>12</v>
      </c>
      <c r="G2704" t="s">
        <v>3923</v>
      </c>
      <c r="H2704" t="str">
        <f t="shared" si="84"/>
        <v>https://videplast.com.br/consulta-imobilizado?id=32002503&amp;nome=SUPORTE%20TECNICO%20EM%20INFORMATICA</v>
      </c>
      <c r="I2704" t="e">
        <f t="shared" ca="1" si="85"/>
        <v>#NAME?</v>
      </c>
    </row>
    <row r="2705" spans="1:9" x14ac:dyDescent="0.25">
      <c r="A2705" s="2" t="s">
        <v>4473</v>
      </c>
      <c r="B2705" s="2" t="s">
        <v>10</v>
      </c>
      <c r="C2705" s="3">
        <v>45121</v>
      </c>
      <c r="D2705" t="s">
        <v>4474</v>
      </c>
      <c r="E2705" s="2" t="s">
        <v>12</v>
      </c>
      <c r="F2705" s="2" t="s">
        <v>4475</v>
      </c>
      <c r="G2705" t="s">
        <v>3923</v>
      </c>
      <c r="H2705" s="5" t="str">
        <f t="shared" si="84"/>
        <v>https://videplast.com.br/consulta-imobilizado?id=32002758&amp;nome=COMPUTADOR%20DELL%20VASTRO%203681</v>
      </c>
      <c r="I2705" t="e">
        <f t="shared" ca="1" si="85"/>
        <v>#NAME?</v>
      </c>
    </row>
    <row r="2706" spans="1:9" x14ac:dyDescent="0.25">
      <c r="A2706" s="2" t="s">
        <v>4476</v>
      </c>
      <c r="B2706" s="2" t="s">
        <v>10</v>
      </c>
      <c r="C2706" s="3">
        <v>45121</v>
      </c>
      <c r="D2706" t="s">
        <v>4417</v>
      </c>
      <c r="E2706" s="2" t="s">
        <v>12</v>
      </c>
      <c r="F2706" s="2" t="s">
        <v>12</v>
      </c>
      <c r="G2706" t="s">
        <v>3923</v>
      </c>
      <c r="H2706" s="5" t="str">
        <f t="shared" si="84"/>
        <v>https://videplast.com.br/consulta-imobilizado?id=32002759&amp;nome=COMPUTADOR%20COMPLETO%20INTEL%20CELERON%202.13%20256%20MB</v>
      </c>
      <c r="I2706" t="e">
        <f t="shared" ca="1" si="85"/>
        <v>#NAME?</v>
      </c>
    </row>
    <row r="2707" spans="1:9" x14ac:dyDescent="0.25">
      <c r="A2707" s="2" t="s">
        <v>4477</v>
      </c>
      <c r="B2707" s="2" t="s">
        <v>10</v>
      </c>
      <c r="C2707" s="3">
        <v>45391</v>
      </c>
      <c r="D2707" t="s">
        <v>3479</v>
      </c>
      <c r="E2707" s="2" t="s">
        <v>12</v>
      </c>
      <c r="F2707" s="2" t="s">
        <v>4478</v>
      </c>
      <c r="G2707" t="s">
        <v>3923</v>
      </c>
      <c r="H2707" t="str">
        <f t="shared" si="84"/>
        <v>https://videplast.com.br/consulta-imobilizado?id=32002907&amp;nome=CATRACA%20FIT%204%20TOPDATA%20COM%20LEITOR%20DE%20BIOMETRIA%20LFD</v>
      </c>
      <c r="I2707" t="e">
        <f t="shared" ca="1" si="85"/>
        <v>#NAME?</v>
      </c>
    </row>
    <row r="2708" spans="1:9" x14ac:dyDescent="0.25">
      <c r="A2708" s="2" t="s">
        <v>4479</v>
      </c>
      <c r="B2708" s="2" t="s">
        <v>10</v>
      </c>
      <c r="C2708" s="3">
        <v>45391</v>
      </c>
      <c r="D2708" t="s">
        <v>3479</v>
      </c>
      <c r="E2708" s="2" t="s">
        <v>12</v>
      </c>
      <c r="F2708" s="2" t="s">
        <v>4480</v>
      </c>
      <c r="G2708" t="s">
        <v>3923</v>
      </c>
      <c r="H2708" t="str">
        <f t="shared" si="84"/>
        <v>https://videplast.com.br/consulta-imobilizado?id=32002908&amp;nome=CATRACA%20FIT%204%20TOPDATA%20COM%20LEITOR%20DE%20BIOMETRIA%20LFD</v>
      </c>
      <c r="I2708" t="e">
        <f t="shared" ca="1" si="85"/>
        <v>#NAME?</v>
      </c>
    </row>
    <row r="2709" spans="1:9" x14ac:dyDescent="0.25">
      <c r="A2709" s="2" t="s">
        <v>4481</v>
      </c>
      <c r="B2709" s="2" t="s">
        <v>10</v>
      </c>
      <c r="C2709" s="3">
        <v>45499</v>
      </c>
      <c r="D2709" t="s">
        <v>2341</v>
      </c>
      <c r="E2709" s="2" t="s">
        <v>12</v>
      </c>
      <c r="F2709" s="2" t="s">
        <v>4482</v>
      </c>
      <c r="G2709" t="s">
        <v>3923</v>
      </c>
      <c r="H2709" t="str">
        <f t="shared" si="84"/>
        <v>https://videplast.com.br/consulta-imobilizado?id=32003018&amp;nome=MONITOR%20DELL%2021.5"%20P2222H</v>
      </c>
      <c r="I2709" t="e">
        <f t="shared" ca="1" si="85"/>
        <v>#NAME?</v>
      </c>
    </row>
    <row r="2710" spans="1:9" x14ac:dyDescent="0.25">
      <c r="A2710" s="2" t="s">
        <v>4483</v>
      </c>
      <c r="B2710" s="2" t="s">
        <v>10</v>
      </c>
      <c r="C2710" s="3">
        <v>45511</v>
      </c>
      <c r="D2710" t="s">
        <v>4442</v>
      </c>
      <c r="E2710" s="2" t="s">
        <v>12</v>
      </c>
      <c r="F2710" s="2" t="s">
        <v>12</v>
      </c>
      <c r="G2710" t="s">
        <v>3923</v>
      </c>
      <c r="H2710" t="str">
        <f t="shared" si="84"/>
        <v>https://videplast.com.br/consulta-imobilizado?id=32003065&amp;nome=MONITOR%20LCD%2015"</v>
      </c>
      <c r="I2710" t="e">
        <f t="shared" ca="1" si="85"/>
        <v>#NAME?</v>
      </c>
    </row>
    <row r="2711" spans="1:9" x14ac:dyDescent="0.25">
      <c r="A2711" s="2" t="s">
        <v>4484</v>
      </c>
      <c r="B2711" s="2" t="s">
        <v>10</v>
      </c>
      <c r="C2711" s="3">
        <v>45511</v>
      </c>
      <c r="D2711" t="s">
        <v>4442</v>
      </c>
      <c r="E2711" s="2" t="s">
        <v>12</v>
      </c>
      <c r="F2711" s="2" t="s">
        <v>12</v>
      </c>
      <c r="G2711" t="s">
        <v>3923</v>
      </c>
      <c r="H2711" t="str">
        <f t="shared" si="84"/>
        <v>https://videplast.com.br/consulta-imobilizado?id=32003066&amp;nome=MONITOR%20LCD%2015"</v>
      </c>
      <c r="I2711" t="e">
        <f t="shared" ca="1" si="85"/>
        <v>#NAME?</v>
      </c>
    </row>
    <row r="2712" spans="1:9" x14ac:dyDescent="0.25">
      <c r="A2712" s="2" t="s">
        <v>4485</v>
      </c>
      <c r="B2712" s="2" t="s">
        <v>10</v>
      </c>
      <c r="C2712" s="3">
        <v>45511</v>
      </c>
      <c r="D2712" t="s">
        <v>4442</v>
      </c>
      <c r="E2712" s="2" t="s">
        <v>12</v>
      </c>
      <c r="F2712" s="2" t="s">
        <v>12</v>
      </c>
      <c r="G2712" t="s">
        <v>3923</v>
      </c>
      <c r="H2712" t="str">
        <f t="shared" si="84"/>
        <v>https://videplast.com.br/consulta-imobilizado?id=32003067&amp;nome=MONITOR%20LCD%2015"</v>
      </c>
      <c r="I2712" t="e">
        <f t="shared" ca="1" si="85"/>
        <v>#NAME?</v>
      </c>
    </row>
    <row r="2713" spans="1:9" x14ac:dyDescent="0.25">
      <c r="A2713" s="2" t="s">
        <v>4486</v>
      </c>
      <c r="B2713" s="2" t="s">
        <v>10</v>
      </c>
      <c r="C2713" s="3">
        <v>45511</v>
      </c>
      <c r="D2713" t="s">
        <v>4442</v>
      </c>
      <c r="E2713" s="2" t="s">
        <v>12</v>
      </c>
      <c r="F2713" s="2" t="s">
        <v>12</v>
      </c>
      <c r="G2713" t="s">
        <v>3923</v>
      </c>
      <c r="H2713" t="str">
        <f t="shared" si="84"/>
        <v>https://videplast.com.br/consulta-imobilizado?id=32003068&amp;nome=MONITOR%20LCD%2015"</v>
      </c>
      <c r="I2713" t="e">
        <f t="shared" ca="1" si="85"/>
        <v>#NAME?</v>
      </c>
    </row>
    <row r="2714" spans="1:9" x14ac:dyDescent="0.25">
      <c r="A2714" s="2" t="s">
        <v>4487</v>
      </c>
      <c r="B2714" s="2" t="s">
        <v>10</v>
      </c>
      <c r="C2714" s="3">
        <v>45511</v>
      </c>
      <c r="D2714" t="s">
        <v>4442</v>
      </c>
      <c r="E2714" s="2" t="s">
        <v>12</v>
      </c>
      <c r="F2714" s="2" t="s">
        <v>12</v>
      </c>
      <c r="G2714" t="s">
        <v>3923</v>
      </c>
      <c r="H2714" t="str">
        <f t="shared" si="84"/>
        <v>https://videplast.com.br/consulta-imobilizado?id=32003069&amp;nome=MONITOR%20LCD%2015"</v>
      </c>
      <c r="I2714" t="e">
        <f t="shared" ca="1" si="85"/>
        <v>#NAME?</v>
      </c>
    </row>
    <row r="2715" spans="1:9" x14ac:dyDescent="0.25">
      <c r="A2715" s="2" t="s">
        <v>4488</v>
      </c>
      <c r="B2715" s="2" t="s">
        <v>10</v>
      </c>
      <c r="C2715" s="3">
        <v>40663</v>
      </c>
      <c r="D2715" t="s">
        <v>4489</v>
      </c>
      <c r="E2715" s="2" t="s">
        <v>12</v>
      </c>
      <c r="F2715" s="2" t="s">
        <v>12</v>
      </c>
      <c r="G2715" t="s">
        <v>4490</v>
      </c>
      <c r="H2715" t="str">
        <f t="shared" si="84"/>
        <v>https://videplast.com.br/consulta-imobilizado?id=11000003&amp;nome=MATERIAIS%20PARA%20ISOLAMENTO%20DO%20SETOR%20DE%20EXPEDICAO</v>
      </c>
      <c r="I2715" t="e">
        <f t="shared" ca="1" si="85"/>
        <v>#NAME?</v>
      </c>
    </row>
    <row r="2716" spans="1:9" x14ac:dyDescent="0.25">
      <c r="A2716" s="2" t="s">
        <v>4488</v>
      </c>
      <c r="B2716" s="2" t="s">
        <v>26</v>
      </c>
      <c r="C2716" s="3">
        <v>40663</v>
      </c>
      <c r="D2716" t="s">
        <v>4491</v>
      </c>
      <c r="E2716" s="2" t="s">
        <v>12</v>
      </c>
      <c r="F2716" s="2" t="s">
        <v>12</v>
      </c>
      <c r="G2716" t="s">
        <v>4490</v>
      </c>
      <c r="H2716" t="str">
        <f t="shared" si="84"/>
        <v>https://videplast.com.br/consulta-imobilizado?id=11000003&amp;nome=METALON%2030X30%20CH%2014%206MT</v>
      </c>
      <c r="I2716" t="e">
        <f t="shared" ca="1" si="85"/>
        <v>#NAME?</v>
      </c>
    </row>
    <row r="2717" spans="1:9" x14ac:dyDescent="0.25">
      <c r="A2717" s="2" t="s">
        <v>4488</v>
      </c>
      <c r="B2717" s="2" t="s">
        <v>21</v>
      </c>
      <c r="C2717" s="3">
        <v>40663</v>
      </c>
      <c r="D2717" t="s">
        <v>4492</v>
      </c>
      <c r="E2717" s="2" t="s">
        <v>12</v>
      </c>
      <c r="F2717" s="2" t="s">
        <v>12</v>
      </c>
      <c r="G2717" t="s">
        <v>4490</v>
      </c>
      <c r="H2717" t="str">
        <f t="shared" si="84"/>
        <v>https://videplast.com.br/consulta-imobilizado?id=11000003&amp;nome=ARAME%20GALVANISADO%20TELAO%202,76%20MM</v>
      </c>
      <c r="I2717" t="e">
        <f t="shared" ca="1" si="85"/>
        <v>#NAME?</v>
      </c>
    </row>
    <row r="2718" spans="1:9" x14ac:dyDescent="0.25">
      <c r="A2718" s="2" t="s">
        <v>4488</v>
      </c>
      <c r="B2718" s="2" t="s">
        <v>29</v>
      </c>
      <c r="C2718" s="3">
        <v>40663</v>
      </c>
      <c r="D2718" t="s">
        <v>4493</v>
      </c>
      <c r="E2718" s="2" t="s">
        <v>12</v>
      </c>
      <c r="F2718" s="2" t="s">
        <v>12</v>
      </c>
      <c r="G2718" t="s">
        <v>4490</v>
      </c>
      <c r="H2718" t="str">
        <f t="shared" si="84"/>
        <v>https://videplast.com.br/consulta-imobilizado?id=11000003&amp;nome=TINTA%20GALAO%20AMAR.%20CAT-81</v>
      </c>
      <c r="I2718" t="e">
        <f t="shared" ca="1" si="85"/>
        <v>#NAME?</v>
      </c>
    </row>
    <row r="2719" spans="1:9" x14ac:dyDescent="0.25">
      <c r="A2719" s="2" t="s">
        <v>4488</v>
      </c>
      <c r="B2719" s="2" t="s">
        <v>31</v>
      </c>
      <c r="C2719" s="3">
        <v>40663</v>
      </c>
      <c r="D2719" t="s">
        <v>4494</v>
      </c>
      <c r="E2719" s="2" t="s">
        <v>12</v>
      </c>
      <c r="F2719" s="2" t="s">
        <v>12</v>
      </c>
      <c r="G2719" t="s">
        <v>4490</v>
      </c>
      <c r="H2719" t="str">
        <f t="shared" si="84"/>
        <v>https://videplast.com.br/consulta-imobilizado?id=11000003&amp;nome=SERVICOS%20PARA%20ISOLAMENTO%20DO%20SETOR%20DE%20EXPEDICAO</v>
      </c>
      <c r="I2719" t="e">
        <f t="shared" ca="1" si="85"/>
        <v>#NAME?</v>
      </c>
    </row>
    <row r="2720" spans="1:9" x14ac:dyDescent="0.25">
      <c r="A2720" s="2" t="s">
        <v>4488</v>
      </c>
      <c r="B2720" s="2" t="s">
        <v>33</v>
      </c>
      <c r="C2720" s="3">
        <v>40663</v>
      </c>
      <c r="D2720" t="s">
        <v>4495</v>
      </c>
      <c r="E2720" s="2" t="s">
        <v>12</v>
      </c>
      <c r="F2720" s="2" t="s">
        <v>12</v>
      </c>
      <c r="G2720" t="s">
        <v>4490</v>
      </c>
      <c r="H2720" t="str">
        <f t="shared" si="84"/>
        <v>https://videplast.com.br/consulta-imobilizado?id=11000003&amp;nome=SERVICOS%20EM%20TELA%20TIPO%20ARTISTICA%2035X35X12</v>
      </c>
      <c r="I2720" t="e">
        <f t="shared" ca="1" si="85"/>
        <v>#NAME?</v>
      </c>
    </row>
    <row r="2721" spans="1:9" x14ac:dyDescent="0.25">
      <c r="A2721" s="2" t="s">
        <v>4496</v>
      </c>
      <c r="B2721" s="2" t="s">
        <v>10</v>
      </c>
      <c r="C2721" s="3">
        <v>40694</v>
      </c>
      <c r="D2721" t="s">
        <v>4497</v>
      </c>
      <c r="E2721" s="2" t="s">
        <v>12</v>
      </c>
      <c r="F2721" s="2" t="s">
        <v>12</v>
      </c>
      <c r="G2721" t="s">
        <v>4490</v>
      </c>
      <c r="H2721" t="str">
        <f t="shared" si="84"/>
        <v>https://videplast.com.br/consulta-imobilizado?id=11000005&amp;nome=TRILHO%20U36X36CH14,%20ME30X30CH20</v>
      </c>
      <c r="I2721" t="e">
        <f t="shared" ca="1" si="85"/>
        <v>#NAME?</v>
      </c>
    </row>
    <row r="2722" spans="1:9" x14ac:dyDescent="0.25">
      <c r="A2722" s="2" t="s">
        <v>4496</v>
      </c>
      <c r="B2722" s="2" t="s">
        <v>26</v>
      </c>
      <c r="C2722" s="3">
        <v>40694</v>
      </c>
      <c r="D2722" t="s">
        <v>4498</v>
      </c>
      <c r="E2722" s="2" t="s">
        <v>12</v>
      </c>
      <c r="F2722" s="2" t="s">
        <v>12</v>
      </c>
      <c r="G2722" t="s">
        <v>4490</v>
      </c>
      <c r="H2722" t="str">
        <f t="shared" si="84"/>
        <v>https://videplast.com.br/consulta-imobilizado?id=11000005&amp;nome=CANTONEIRA%203/16%20X%201.1/2%20%20A-36%206MT</v>
      </c>
      <c r="I2722" t="e">
        <f t="shared" ca="1" si="85"/>
        <v>#NAME?</v>
      </c>
    </row>
    <row r="2723" spans="1:9" x14ac:dyDescent="0.25">
      <c r="A2723" s="2" t="s">
        <v>4496</v>
      </c>
      <c r="B2723" s="2" t="s">
        <v>21</v>
      </c>
      <c r="C2723" s="3">
        <v>40694</v>
      </c>
      <c r="D2723" t="s">
        <v>4499</v>
      </c>
      <c r="E2723" s="2" t="s">
        <v>12</v>
      </c>
      <c r="F2723" s="2" t="s">
        <v>12</v>
      </c>
      <c r="G2723" t="s">
        <v>4490</v>
      </c>
      <c r="H2723" t="str">
        <f t="shared" si="84"/>
        <v>https://videplast.com.br/consulta-imobilizado?id=11000005&amp;nome=TINTA%20GALAO%20AMAR.%20SLC</v>
      </c>
      <c r="I2723" t="e">
        <f t="shared" ca="1" si="85"/>
        <v>#NAME?</v>
      </c>
    </row>
    <row r="2724" spans="1:9" x14ac:dyDescent="0.25">
      <c r="A2724" s="2" t="s">
        <v>4496</v>
      </c>
      <c r="B2724" s="2" t="s">
        <v>29</v>
      </c>
      <c r="C2724" s="3">
        <v>40694</v>
      </c>
      <c r="D2724" t="s">
        <v>4500</v>
      </c>
      <c r="E2724" s="2" t="s">
        <v>12</v>
      </c>
      <c r="F2724" s="2" t="s">
        <v>12</v>
      </c>
      <c r="G2724" t="s">
        <v>4490</v>
      </c>
      <c r="H2724" t="str">
        <f t="shared" si="84"/>
        <v>https://videplast.com.br/consulta-imobilizado?id=11000005&amp;nome=SERVICO%20EM%20TELA%20TIPO%20ARTISTICA%2035X35X12</v>
      </c>
      <c r="I2724" t="e">
        <f t="shared" ca="1" si="85"/>
        <v>#NAME?</v>
      </c>
    </row>
    <row r="2725" spans="1:9" x14ac:dyDescent="0.25">
      <c r="A2725" s="2" t="s">
        <v>4496</v>
      </c>
      <c r="B2725" s="2" t="s">
        <v>31</v>
      </c>
      <c r="C2725" s="3">
        <v>40724</v>
      </c>
      <c r="D2725" t="s">
        <v>4501</v>
      </c>
      <c r="E2725" s="2" t="s">
        <v>12</v>
      </c>
      <c r="F2725" s="2" t="s">
        <v>12</v>
      </c>
      <c r="G2725" t="s">
        <v>4490</v>
      </c>
      <c r="H2725" t="str">
        <f t="shared" si="84"/>
        <v>https://videplast.com.br/consulta-imobilizado?id=11000005&amp;nome=THINER%20E%20ROLO%20DE%20ESPUMA</v>
      </c>
      <c r="I2725" t="e">
        <f t="shared" ca="1" si="85"/>
        <v>#NAME?</v>
      </c>
    </row>
    <row r="2726" spans="1:9" x14ac:dyDescent="0.25">
      <c r="A2726" s="2" t="s">
        <v>4496</v>
      </c>
      <c r="B2726" s="2" t="s">
        <v>33</v>
      </c>
      <c r="C2726" s="3">
        <v>40724</v>
      </c>
      <c r="D2726" t="s">
        <v>4502</v>
      </c>
      <c r="E2726" s="2" t="s">
        <v>12</v>
      </c>
      <c r="F2726" s="2" t="s">
        <v>12</v>
      </c>
      <c r="G2726" t="s">
        <v>4490</v>
      </c>
      <c r="H2726" t="str">
        <f t="shared" si="84"/>
        <v>https://videplast.com.br/consulta-imobilizado?id=11000005&amp;nome=TINTA%20FLAMAR%20AMAR.%20NEW%20HOLLAND%203,6%20L</v>
      </c>
      <c r="I2726" t="e">
        <f t="shared" ca="1" si="85"/>
        <v>#NAME?</v>
      </c>
    </row>
    <row r="2727" spans="1:9" x14ac:dyDescent="0.25">
      <c r="A2727" s="2" t="s">
        <v>4496</v>
      </c>
      <c r="B2727" s="2" t="s">
        <v>35</v>
      </c>
      <c r="C2727" s="3">
        <v>40755</v>
      </c>
      <c r="D2727" t="s">
        <v>4502</v>
      </c>
      <c r="E2727" s="2" t="s">
        <v>12</v>
      </c>
      <c r="F2727" s="2" t="s">
        <v>12</v>
      </c>
      <c r="G2727" t="s">
        <v>4490</v>
      </c>
      <c r="H2727" t="str">
        <f t="shared" si="84"/>
        <v>https://videplast.com.br/consulta-imobilizado?id=11000005&amp;nome=TINTA%20FLAMAR%20AMAR.%20NEW%20HOLLAND%203,6%20L</v>
      </c>
      <c r="I2727" t="e">
        <f t="shared" ca="1" si="85"/>
        <v>#NAME?</v>
      </c>
    </row>
    <row r="2728" spans="1:9" x14ac:dyDescent="0.25">
      <c r="A2728" s="2" t="s">
        <v>4496</v>
      </c>
      <c r="B2728" s="2" t="s">
        <v>37</v>
      </c>
      <c r="C2728" s="3">
        <v>40755</v>
      </c>
      <c r="D2728" t="s">
        <v>4503</v>
      </c>
      <c r="E2728" s="2" t="s">
        <v>12</v>
      </c>
      <c r="F2728" s="2" t="s">
        <v>12</v>
      </c>
      <c r="G2728" t="s">
        <v>4490</v>
      </c>
      <c r="H2728" t="str">
        <f t="shared" si="84"/>
        <v>https://videplast.com.br/consulta-imobilizado?id=11000005&amp;nome=CORALIT%20ESM.%20A.B%20AMARELO%20P/O%20SETOR%20DE%20EXPEDICAO</v>
      </c>
      <c r="I2728" t="e">
        <f t="shared" ca="1" si="85"/>
        <v>#NAME?</v>
      </c>
    </row>
    <row r="2729" spans="1:9" x14ac:dyDescent="0.25">
      <c r="A2729" s="2" t="s">
        <v>4496</v>
      </c>
      <c r="B2729" s="2" t="s">
        <v>39</v>
      </c>
      <c r="C2729" s="3">
        <v>40755</v>
      </c>
      <c r="D2729" t="s">
        <v>4504</v>
      </c>
      <c r="E2729" s="2" t="s">
        <v>12</v>
      </c>
      <c r="F2729" s="2" t="s">
        <v>12</v>
      </c>
      <c r="G2729" t="s">
        <v>4490</v>
      </c>
      <c r="H2729" t="str">
        <f t="shared" si="84"/>
        <v>https://videplast.com.br/consulta-imobilizado?id=11000005&amp;nome=METALON%2030X50%20CHG%2014%206%20MT,%200,50%20BR%20CH%204,75</v>
      </c>
      <c r="I2729" t="e">
        <f t="shared" ca="1" si="85"/>
        <v>#NAME?</v>
      </c>
    </row>
    <row r="2730" spans="1:9" x14ac:dyDescent="0.25">
      <c r="A2730" s="2" t="s">
        <v>4496</v>
      </c>
      <c r="B2730" s="2" t="s">
        <v>126</v>
      </c>
      <c r="C2730" s="3">
        <v>40755</v>
      </c>
      <c r="D2730" t="s">
        <v>4505</v>
      </c>
      <c r="E2730" s="2" t="s">
        <v>12</v>
      </c>
      <c r="F2730" s="2" t="s">
        <v>12</v>
      </c>
      <c r="G2730" t="s">
        <v>4490</v>
      </c>
      <c r="H2730" t="str">
        <f t="shared" si="84"/>
        <v>https://videplast.com.br/consulta-imobilizado?id=11000005&amp;nome=ARAME%20GALVANIZADO%20TELAO%202,76%20MM</v>
      </c>
      <c r="I2730" t="e">
        <f t="shared" ca="1" si="85"/>
        <v>#NAME?</v>
      </c>
    </row>
    <row r="2731" spans="1:9" x14ac:dyDescent="0.25">
      <c r="A2731" s="2" t="s">
        <v>4496</v>
      </c>
      <c r="B2731" s="2" t="s">
        <v>127</v>
      </c>
      <c r="C2731" s="3">
        <v>40755</v>
      </c>
      <c r="D2731" t="s">
        <v>4506</v>
      </c>
      <c r="E2731" s="2" t="s">
        <v>12</v>
      </c>
      <c r="F2731" s="2" t="s">
        <v>12</v>
      </c>
      <c r="G2731" t="s">
        <v>4490</v>
      </c>
      <c r="H2731" t="str">
        <f t="shared" si="84"/>
        <v>https://videplast.com.br/consulta-imobilizado?id=11000005&amp;nome=PERFIL%20U%20100X50%20E%20METALON</v>
      </c>
      <c r="I2731" t="e">
        <f t="shared" ca="1" si="85"/>
        <v>#NAME?</v>
      </c>
    </row>
    <row r="2732" spans="1:9" x14ac:dyDescent="0.25">
      <c r="A2732" s="2" t="s">
        <v>4507</v>
      </c>
      <c r="B2732" s="2" t="s">
        <v>10</v>
      </c>
      <c r="C2732" s="3">
        <v>43200</v>
      </c>
      <c r="D2732" t="s">
        <v>4508</v>
      </c>
      <c r="E2732" s="2" t="s">
        <v>12</v>
      </c>
      <c r="F2732" s="2" t="s">
        <v>12</v>
      </c>
      <c r="G2732" t="s">
        <v>4490</v>
      </c>
      <c r="H2732" t="str">
        <f t="shared" si="84"/>
        <v>https://videplast.com.br/consulta-imobilizado?id=11000149&amp;nome=SALA%20COORDENAÇÃO%20EXPEDIÇÃO</v>
      </c>
      <c r="I2732" t="e">
        <f t="shared" ca="1" si="85"/>
        <v>#NAME?</v>
      </c>
    </row>
    <row r="2733" spans="1:9" x14ac:dyDescent="0.25">
      <c r="A2733" s="2" t="s">
        <v>4509</v>
      </c>
      <c r="B2733" s="2" t="s">
        <v>10</v>
      </c>
      <c r="C2733" s="3">
        <v>44831</v>
      </c>
      <c r="D2733" t="s">
        <v>4510</v>
      </c>
      <c r="E2733" s="2" t="s">
        <v>12</v>
      </c>
      <c r="F2733" s="2" t="s">
        <v>12</v>
      </c>
      <c r="G2733" t="s">
        <v>4490</v>
      </c>
      <c r="H2733" t="str">
        <f t="shared" si="84"/>
        <v>https://videplast.com.br/consulta-imobilizado?id=11000185&amp;nome=FECHAMENTO%20FRONTAL%20E%20ATERRAMENTO%20DAS%20DOCAS</v>
      </c>
      <c r="I2733" t="e">
        <f t="shared" ca="1" si="85"/>
        <v>#NAME?</v>
      </c>
    </row>
    <row r="2734" spans="1:9" x14ac:dyDescent="0.25">
      <c r="A2734" s="2" t="s">
        <v>4511</v>
      </c>
      <c r="B2734" s="2" t="s">
        <v>10</v>
      </c>
      <c r="C2734" s="3">
        <v>40999</v>
      </c>
      <c r="D2734" t="s">
        <v>4512</v>
      </c>
      <c r="E2734" s="2" t="s">
        <v>12</v>
      </c>
      <c r="F2734" s="2" t="s">
        <v>12</v>
      </c>
      <c r="G2734" t="s">
        <v>4490</v>
      </c>
      <c r="H2734" t="str">
        <f t="shared" si="84"/>
        <v>https://videplast.com.br/consulta-imobilizado?id=21000319&amp;nome=TRANSPALETEIRA%20HIDRAULICA%20PALETRANS%20TM%203020%203000KG</v>
      </c>
      <c r="I2734" t="e">
        <f t="shared" ca="1" si="85"/>
        <v>#NAME?</v>
      </c>
    </row>
    <row r="2735" spans="1:9" x14ac:dyDescent="0.25">
      <c r="A2735" s="2" t="s">
        <v>4513</v>
      </c>
      <c r="B2735" s="2" t="s">
        <v>26</v>
      </c>
      <c r="C2735" s="3">
        <v>41973</v>
      </c>
      <c r="D2735" t="s">
        <v>4514</v>
      </c>
      <c r="E2735" s="2" t="s">
        <v>4515</v>
      </c>
      <c r="F2735" s="2" t="s">
        <v>4516</v>
      </c>
      <c r="G2735" t="s">
        <v>4490</v>
      </c>
      <c r="H2735" t="str">
        <f t="shared" si="84"/>
        <v>https://videplast.com.br/consulta-imobilizado?id=21000401&amp;nome=COLETOR%20DE%20DADOS%20MC%203190%20GUN</v>
      </c>
      <c r="I2735" t="e">
        <f t="shared" ca="1" si="85"/>
        <v>#NAME?</v>
      </c>
    </row>
    <row r="2736" spans="1:9" x14ac:dyDescent="0.25">
      <c r="A2736" s="2" t="s">
        <v>4513</v>
      </c>
      <c r="B2736" s="2" t="s">
        <v>21</v>
      </c>
      <c r="C2736" s="3">
        <v>41973</v>
      </c>
      <c r="D2736" t="s">
        <v>4514</v>
      </c>
      <c r="E2736" s="2" t="s">
        <v>4517</v>
      </c>
      <c r="F2736" s="2" t="s">
        <v>4518</v>
      </c>
      <c r="G2736" t="s">
        <v>4490</v>
      </c>
      <c r="H2736" t="str">
        <f t="shared" si="84"/>
        <v>https://videplast.com.br/consulta-imobilizado?id=21000401&amp;nome=COLETOR%20DE%20DADOS%20MC%203190%20GUN</v>
      </c>
      <c r="I2736" t="e">
        <f t="shared" ca="1" si="85"/>
        <v>#NAME?</v>
      </c>
    </row>
    <row r="2737" spans="1:9" x14ac:dyDescent="0.25">
      <c r="A2737" s="2" t="s">
        <v>4519</v>
      </c>
      <c r="B2737" s="2" t="s">
        <v>10</v>
      </c>
      <c r="C2737" s="3">
        <v>38519</v>
      </c>
      <c r="D2737" t="s">
        <v>4520</v>
      </c>
      <c r="E2737" s="2" t="s">
        <v>12</v>
      </c>
      <c r="F2737" s="2" t="s">
        <v>12</v>
      </c>
      <c r="G2737" t="s">
        <v>4490</v>
      </c>
      <c r="H2737" t="str">
        <f t="shared" si="84"/>
        <v>https://videplast.com.br/consulta-imobilizado?id=21000415&amp;nome=PORTAO%20PARA%20EXPEDICAO</v>
      </c>
      <c r="I2737" t="e">
        <f t="shared" ca="1" si="85"/>
        <v>#NAME?</v>
      </c>
    </row>
    <row r="2738" spans="1:9" x14ac:dyDescent="0.25">
      <c r="A2738" s="2" t="s">
        <v>4521</v>
      </c>
      <c r="B2738" s="2" t="s">
        <v>10</v>
      </c>
      <c r="C2738" s="3">
        <v>38555</v>
      </c>
      <c r="D2738" t="s">
        <v>4522</v>
      </c>
      <c r="E2738" s="2" t="s">
        <v>12</v>
      </c>
      <c r="F2738" s="2" t="s">
        <v>12</v>
      </c>
      <c r="G2738" t="s">
        <v>4490</v>
      </c>
      <c r="H2738" t="str">
        <f t="shared" si="84"/>
        <v>https://videplast.com.br/consulta-imobilizado?id=21000418&amp;nome=CARRINHO%20HIDRAULICO%20PARA%20PALETES</v>
      </c>
      <c r="I2738" t="e">
        <f t="shared" ca="1" si="85"/>
        <v>#NAME?</v>
      </c>
    </row>
    <row r="2739" spans="1:9" x14ac:dyDescent="0.25">
      <c r="A2739" s="2" t="s">
        <v>4523</v>
      </c>
      <c r="B2739" s="2" t="s">
        <v>10</v>
      </c>
      <c r="C2739" s="3">
        <v>38611</v>
      </c>
      <c r="D2739" t="s">
        <v>4524</v>
      </c>
      <c r="E2739" s="2" t="s">
        <v>12</v>
      </c>
      <c r="F2739" s="2" t="s">
        <v>12</v>
      </c>
      <c r="G2739" t="s">
        <v>4490</v>
      </c>
      <c r="H2739" t="str">
        <f t="shared" si="84"/>
        <v>https://videplast.com.br/consulta-imobilizado?id=21000420&amp;nome=APARELHO%20STRASH%20PLATAFORMA%20ESPECIAL%20E%20RAMPA</v>
      </c>
      <c r="I2739" t="e">
        <f t="shared" ca="1" si="85"/>
        <v>#NAME?</v>
      </c>
    </row>
    <row r="2740" spans="1:9" x14ac:dyDescent="0.25">
      <c r="A2740" s="2" t="s">
        <v>4523</v>
      </c>
      <c r="B2740" s="2" t="s">
        <v>26</v>
      </c>
      <c r="C2740" s="3">
        <v>45511</v>
      </c>
      <c r="D2740" t="s">
        <v>4525</v>
      </c>
      <c r="E2740" s="2" t="s">
        <v>12</v>
      </c>
      <c r="F2740" s="2" t="s">
        <v>12</v>
      </c>
      <c r="G2740" t="s">
        <v>4490</v>
      </c>
      <c r="H2740" t="str">
        <f t="shared" si="84"/>
        <v>https://videplast.com.br/consulta-imobilizado?id=21000420&amp;nome=FRETE%20APARELHO%20P/%20STRASH%20SIST%20AC%20P/%20EPFS%20STRAPACK</v>
      </c>
      <c r="I2740" t="e">
        <f t="shared" ca="1" si="85"/>
        <v>#NAME?</v>
      </c>
    </row>
    <row r="2741" spans="1:9" x14ac:dyDescent="0.25">
      <c r="A2741" s="2" t="s">
        <v>4526</v>
      </c>
      <c r="B2741" s="2" t="s">
        <v>10</v>
      </c>
      <c r="C2741" s="3">
        <v>38673</v>
      </c>
      <c r="D2741" t="s">
        <v>4527</v>
      </c>
      <c r="E2741" s="2" t="s">
        <v>12</v>
      </c>
      <c r="F2741" s="2" t="s">
        <v>12</v>
      </c>
      <c r="G2741" t="s">
        <v>4490</v>
      </c>
      <c r="H2741" t="str">
        <f t="shared" si="84"/>
        <v>https://videplast.com.br/consulta-imobilizado?id=21000424&amp;nome=CARROS%20HIDRAULICO%20PARA%20PALETES%202,2%20TON%20PALETRANS</v>
      </c>
      <c r="I2741" t="e">
        <f t="shared" ca="1" si="85"/>
        <v>#NAME?</v>
      </c>
    </row>
    <row r="2742" spans="1:9" x14ac:dyDescent="0.25">
      <c r="A2742" s="2" t="s">
        <v>4528</v>
      </c>
      <c r="B2742" s="2" t="s">
        <v>10</v>
      </c>
      <c r="C2742" s="3">
        <v>38730</v>
      </c>
      <c r="D2742" t="s">
        <v>4529</v>
      </c>
      <c r="E2742" s="2" t="s">
        <v>12</v>
      </c>
      <c r="F2742" s="2" t="s">
        <v>12</v>
      </c>
      <c r="G2742" t="s">
        <v>4490</v>
      </c>
      <c r="H2742" t="str">
        <f t="shared" si="84"/>
        <v>https://videplast.com.br/consulta-imobilizado?id=21000436&amp;nome=NIVELADOR%20HIDRAULICO%20DE%20CARGA</v>
      </c>
      <c r="I2742" t="e">
        <f t="shared" ca="1" si="85"/>
        <v>#NAME?</v>
      </c>
    </row>
    <row r="2743" spans="1:9" x14ac:dyDescent="0.25">
      <c r="A2743" s="2" t="s">
        <v>4530</v>
      </c>
      <c r="B2743" s="2" t="s">
        <v>10</v>
      </c>
      <c r="C2743" s="3">
        <v>38954</v>
      </c>
      <c r="D2743" t="s">
        <v>4531</v>
      </c>
      <c r="E2743" s="2" t="s">
        <v>12</v>
      </c>
      <c r="F2743" s="2" t="s">
        <v>12</v>
      </c>
      <c r="G2743" t="s">
        <v>4490</v>
      </c>
      <c r="H2743" t="str">
        <f t="shared" si="84"/>
        <v>https://videplast.com.br/consulta-imobilizado?id=21000452&amp;nome=MATERIAIS%20USADOS%20NA%20EMPILHADEIRA%20DA%20EXPEDICAO</v>
      </c>
      <c r="I2743" t="e">
        <f t="shared" ca="1" si="85"/>
        <v>#NAME?</v>
      </c>
    </row>
    <row r="2744" spans="1:9" x14ac:dyDescent="0.25">
      <c r="A2744" s="2" t="s">
        <v>4532</v>
      </c>
      <c r="B2744" s="2" t="s">
        <v>10</v>
      </c>
      <c r="C2744" s="3">
        <v>39020</v>
      </c>
      <c r="D2744" t="s">
        <v>4533</v>
      </c>
      <c r="E2744" s="2" t="s">
        <v>12</v>
      </c>
      <c r="F2744" s="2" t="s">
        <v>12</v>
      </c>
      <c r="G2744" t="s">
        <v>4490</v>
      </c>
      <c r="H2744" t="str">
        <f t="shared" si="84"/>
        <v>https://videplast.com.br/consulta-imobilizado?id=21000456&amp;nome=PORTA%20PALETE%20SISTEMA%20DE%20ESTRUTURA%20EM%20ACO</v>
      </c>
      <c r="I2744" t="e">
        <f t="shared" ca="1" si="85"/>
        <v>#NAME?</v>
      </c>
    </row>
    <row r="2745" spans="1:9" x14ac:dyDescent="0.25">
      <c r="A2745" s="2" t="s">
        <v>4534</v>
      </c>
      <c r="B2745" s="2" t="s">
        <v>10</v>
      </c>
      <c r="C2745" s="3">
        <v>39020</v>
      </c>
      <c r="D2745" t="s">
        <v>4535</v>
      </c>
      <c r="E2745" s="2" t="s">
        <v>12</v>
      </c>
      <c r="F2745" s="2" t="s">
        <v>12</v>
      </c>
      <c r="G2745" t="s">
        <v>4490</v>
      </c>
      <c r="H2745" t="str">
        <f t="shared" si="84"/>
        <v>https://videplast.com.br/consulta-imobilizado?id=21000457&amp;nome=PORTA%20PALETE%20ESTRUTURA%20EM%20ACO%20LONG%20RACK</v>
      </c>
      <c r="I2745" t="e">
        <f t="shared" ca="1" si="85"/>
        <v>#NAME?</v>
      </c>
    </row>
    <row r="2746" spans="1:9" x14ac:dyDescent="0.25">
      <c r="A2746" s="2" t="s">
        <v>4536</v>
      </c>
      <c r="B2746" s="2" t="s">
        <v>10</v>
      </c>
      <c r="C2746" s="3">
        <v>39029</v>
      </c>
      <c r="D2746" t="s">
        <v>4537</v>
      </c>
      <c r="E2746" s="2" t="s">
        <v>12</v>
      </c>
      <c r="F2746" s="2" t="s">
        <v>12</v>
      </c>
      <c r="G2746" t="s">
        <v>4490</v>
      </c>
      <c r="H2746" t="str">
        <f t="shared" si="84"/>
        <v>https://videplast.com.br/consulta-imobilizado?id=21000459&amp;nome=SERVICO%20DE%20INSTALACAO%20DE%20PRATELEIRAS</v>
      </c>
      <c r="I2746" t="e">
        <f t="shared" ca="1" si="85"/>
        <v>#NAME?</v>
      </c>
    </row>
    <row r="2747" spans="1:9" x14ac:dyDescent="0.25">
      <c r="A2747" s="2" t="s">
        <v>4538</v>
      </c>
      <c r="B2747" s="2" t="s">
        <v>10</v>
      </c>
      <c r="C2747" s="3">
        <v>39959</v>
      </c>
      <c r="D2747" t="s">
        <v>4539</v>
      </c>
      <c r="E2747" s="2" t="s">
        <v>12</v>
      </c>
      <c r="F2747" s="2" t="s">
        <v>12</v>
      </c>
      <c r="G2747" t="s">
        <v>4490</v>
      </c>
      <c r="H2747" t="str">
        <f t="shared" si="84"/>
        <v>https://videplast.com.br/consulta-imobilizado?id=21000598&amp;nome=CILINDRO%20TIPO%20T</v>
      </c>
      <c r="I2747" t="e">
        <f t="shared" ca="1" si="85"/>
        <v>#NAME?</v>
      </c>
    </row>
    <row r="2748" spans="1:9" x14ac:dyDescent="0.25">
      <c r="A2748" s="2" t="s">
        <v>4540</v>
      </c>
      <c r="B2748" s="2" t="s">
        <v>10</v>
      </c>
      <c r="C2748" s="3">
        <v>40633</v>
      </c>
      <c r="D2748" t="s">
        <v>4541</v>
      </c>
      <c r="E2748" s="2" t="s">
        <v>12</v>
      </c>
      <c r="F2748" s="2" t="s">
        <v>12</v>
      </c>
      <c r="G2748" t="s">
        <v>4490</v>
      </c>
      <c r="H2748" t="str">
        <f t="shared" si="84"/>
        <v>https://videplast.com.br/consulta-imobilizado?id=21000658&amp;nome=3%20CARRO%20HIDRAULICO%20TM%202220%20680X1150%20DUPLO%20NYLON</v>
      </c>
      <c r="I2748" t="e">
        <f t="shared" ca="1" si="85"/>
        <v>#NAME?</v>
      </c>
    </row>
    <row r="2749" spans="1:9" x14ac:dyDescent="0.25">
      <c r="A2749" s="2" t="s">
        <v>4542</v>
      </c>
      <c r="B2749" s="2" t="s">
        <v>10</v>
      </c>
      <c r="C2749" s="3">
        <v>40390</v>
      </c>
      <c r="D2749" t="s">
        <v>3749</v>
      </c>
      <c r="E2749" s="2" t="s">
        <v>12</v>
      </c>
      <c r="F2749" s="2" t="s">
        <v>12</v>
      </c>
      <c r="G2749" t="s">
        <v>4490</v>
      </c>
      <c r="H2749" t="str">
        <f t="shared" si="84"/>
        <v>https://videplast.com.br/consulta-imobilizado?id=21000661&amp;nome=ALONGADOR%20DE%20GARFO%20PARA%20EMPILHADEIRA</v>
      </c>
      <c r="I2749" t="e">
        <f t="shared" ca="1" si="85"/>
        <v>#NAME?</v>
      </c>
    </row>
    <row r="2750" spans="1:9" x14ac:dyDescent="0.25">
      <c r="A2750" s="2" t="s">
        <v>3748</v>
      </c>
      <c r="B2750" s="2" t="s">
        <v>26</v>
      </c>
      <c r="C2750" s="3">
        <v>40421</v>
      </c>
      <c r="D2750" t="s">
        <v>4543</v>
      </c>
      <c r="E2750" s="2" t="s">
        <v>12</v>
      </c>
      <c r="F2750" s="2" t="s">
        <v>12</v>
      </c>
      <c r="G2750" t="s">
        <v>4490</v>
      </c>
      <c r="H2750" t="str">
        <f t="shared" si="84"/>
        <v>https://videplast.com.br/consulta-imobilizado?id=21000662&amp;nome=SERVICO%20DE%20RETIFICA%20COMPLETA%20DE%20MOTOR%20EMP.%20HYSTER</v>
      </c>
      <c r="I2750" t="e">
        <f t="shared" ca="1" si="85"/>
        <v>#NAME?</v>
      </c>
    </row>
    <row r="2751" spans="1:9" x14ac:dyDescent="0.25">
      <c r="A2751" s="2" t="s">
        <v>3748</v>
      </c>
      <c r="B2751" s="2" t="s">
        <v>21</v>
      </c>
      <c r="C2751" s="3">
        <v>40421</v>
      </c>
      <c r="D2751" t="s">
        <v>4544</v>
      </c>
      <c r="E2751" s="2" t="s">
        <v>12</v>
      </c>
      <c r="F2751" s="2" t="s">
        <v>12</v>
      </c>
      <c r="G2751" t="s">
        <v>4490</v>
      </c>
      <c r="H2751" t="str">
        <f t="shared" si="84"/>
        <v>https://videplast.com.br/consulta-imobilizado?id=21000662&amp;nome=EQUIPAMENTOS%20DIVERSOS%20P%20EMPILHADEIRA%20HYSTER</v>
      </c>
      <c r="I2751" t="e">
        <f t="shared" ca="1" si="85"/>
        <v>#NAME?</v>
      </c>
    </row>
    <row r="2752" spans="1:9" x14ac:dyDescent="0.25">
      <c r="A2752" s="2" t="s">
        <v>4545</v>
      </c>
      <c r="B2752" s="2" t="s">
        <v>10</v>
      </c>
      <c r="C2752" s="3">
        <v>37111</v>
      </c>
      <c r="D2752" t="s">
        <v>4546</v>
      </c>
      <c r="E2752" s="2" t="s">
        <v>12</v>
      </c>
      <c r="F2752" s="2" t="s">
        <v>12</v>
      </c>
      <c r="G2752" t="s">
        <v>4490</v>
      </c>
      <c r="H2752" t="str">
        <f t="shared" si="84"/>
        <v>https://videplast.com.br/consulta-imobilizado?id=21000677&amp;nome=BALANCA%20DE%203T%20COM%209091%20TOLEDO%20COM%20SAIDA</v>
      </c>
      <c r="I2752" t="e">
        <f t="shared" ca="1" si="85"/>
        <v>#NAME?</v>
      </c>
    </row>
    <row r="2753" spans="1:9" x14ac:dyDescent="0.25">
      <c r="A2753" s="2" t="s">
        <v>4547</v>
      </c>
      <c r="B2753" s="2" t="s">
        <v>10</v>
      </c>
      <c r="C2753" s="3">
        <v>37855</v>
      </c>
      <c r="D2753" t="s">
        <v>4548</v>
      </c>
      <c r="E2753" s="2" t="s">
        <v>12</v>
      </c>
      <c r="F2753" s="2" t="s">
        <v>12</v>
      </c>
      <c r="G2753" t="s">
        <v>4490</v>
      </c>
      <c r="H2753" t="str">
        <f t="shared" si="84"/>
        <v>https://videplast.com.br/consulta-imobilizado?id=21000687&amp;nome=PORTA%20PALETE%20PARA%20EXPEDICAO</v>
      </c>
      <c r="I2753" t="e">
        <f t="shared" ca="1" si="85"/>
        <v>#NAME?</v>
      </c>
    </row>
    <row r="2754" spans="1:9" x14ac:dyDescent="0.25">
      <c r="A2754" s="2" t="s">
        <v>4549</v>
      </c>
      <c r="B2754" s="2" t="s">
        <v>10</v>
      </c>
      <c r="C2754" s="3">
        <v>37795</v>
      </c>
      <c r="D2754" t="s">
        <v>4550</v>
      </c>
      <c r="E2754" s="2" t="s">
        <v>12</v>
      </c>
      <c r="F2754" s="2" t="s">
        <v>12</v>
      </c>
      <c r="G2754" t="s">
        <v>4490</v>
      </c>
      <c r="H2754" t="str">
        <f t="shared" ref="H2754:H2817" si="86" xml:space="preserve"> "https://videplast.com.br/consulta-imobilizado?id=" &amp; A2754 &amp; "&amp;nome=" &amp; SUBSTITUTE(D2754, " ", "%20")</f>
        <v>https://videplast.com.br/consulta-imobilizado?id=21000688&amp;nome=PORTA%20PALETE%20GP%2010</v>
      </c>
      <c r="I2754" t="e">
        <f t="shared" ref="I2754:I2817" ca="1" si="87">_xlfn.IMAGE("https://chart.googleapis.com/chart?chs=150x150&amp;cht=qr&amp;chl=" &amp; H2754)</f>
        <v>#NAME?</v>
      </c>
    </row>
    <row r="2755" spans="1:9" x14ac:dyDescent="0.25">
      <c r="A2755" s="2" t="s">
        <v>4551</v>
      </c>
      <c r="B2755" s="2" t="s">
        <v>10</v>
      </c>
      <c r="C2755" s="3">
        <v>37915</v>
      </c>
      <c r="D2755" t="s">
        <v>4552</v>
      </c>
      <c r="E2755" s="2" t="s">
        <v>12</v>
      </c>
      <c r="F2755" s="2" t="s">
        <v>12</v>
      </c>
      <c r="G2755" t="s">
        <v>4490</v>
      </c>
      <c r="H2755" t="str">
        <f t="shared" si="86"/>
        <v>https://videplast.com.br/consulta-imobilizado?id=21000692&amp;nome=CARRO%20HIDRAULICO%20DE%20LEVANTAR%20PALETT</v>
      </c>
      <c r="I2755" t="e">
        <f t="shared" ca="1" si="87"/>
        <v>#NAME?</v>
      </c>
    </row>
    <row r="2756" spans="1:9" x14ac:dyDescent="0.25">
      <c r="A2756" s="2" t="s">
        <v>4553</v>
      </c>
      <c r="B2756" s="2" t="s">
        <v>10</v>
      </c>
      <c r="C2756" s="3">
        <v>42825</v>
      </c>
      <c r="D2756" t="s">
        <v>291</v>
      </c>
      <c r="E2756" s="2" t="s">
        <v>12</v>
      </c>
      <c r="F2756" s="2" t="s">
        <v>12</v>
      </c>
      <c r="G2756" t="s">
        <v>4490</v>
      </c>
      <c r="H2756" t="str">
        <f t="shared" si="86"/>
        <v>https://videplast.com.br/consulta-imobilizado?id=21003273&amp;nome=CARRO%20HIDRAULICO%20PALETRANS%20P/%20PALLET%20TM%203020%20RTN68</v>
      </c>
      <c r="I2756" t="e">
        <f t="shared" ca="1" si="87"/>
        <v>#NAME?</v>
      </c>
    </row>
    <row r="2757" spans="1:9" x14ac:dyDescent="0.25">
      <c r="A2757" s="2" t="s">
        <v>4554</v>
      </c>
      <c r="B2757" s="2" t="s">
        <v>10</v>
      </c>
      <c r="C2757" s="3">
        <v>42825</v>
      </c>
      <c r="D2757" t="s">
        <v>291</v>
      </c>
      <c r="E2757" s="2" t="s">
        <v>12</v>
      </c>
      <c r="F2757" s="2" t="s">
        <v>12</v>
      </c>
      <c r="G2757" t="s">
        <v>4490</v>
      </c>
      <c r="H2757" t="str">
        <f t="shared" si="86"/>
        <v>https://videplast.com.br/consulta-imobilizado?id=21003274&amp;nome=CARRO%20HIDRAULICO%20PALETRANS%20P/%20PALLET%20TM%203020%20RTN68</v>
      </c>
      <c r="I2757" t="e">
        <f t="shared" ca="1" si="87"/>
        <v>#NAME?</v>
      </c>
    </row>
    <row r="2758" spans="1:9" x14ac:dyDescent="0.25">
      <c r="A2758" s="2" t="s">
        <v>4555</v>
      </c>
      <c r="B2758" s="2" t="s">
        <v>10</v>
      </c>
      <c r="C2758" s="3">
        <v>43481</v>
      </c>
      <c r="D2758" t="s">
        <v>4556</v>
      </c>
      <c r="E2758" s="2" t="s">
        <v>4557</v>
      </c>
      <c r="F2758" s="2" t="s">
        <v>12</v>
      </c>
      <c r="G2758" t="s">
        <v>4490</v>
      </c>
      <c r="H2758" t="str">
        <f t="shared" si="86"/>
        <v>https://videplast.com.br/consulta-imobilizado?id=21004087&amp;nome=PALETEIRA%20ELETRICA%20HYSTER%20P2.0BR-24V</v>
      </c>
      <c r="I2758" t="e">
        <f t="shared" ca="1" si="87"/>
        <v>#NAME?</v>
      </c>
    </row>
    <row r="2759" spans="1:9" x14ac:dyDescent="0.25">
      <c r="A2759" s="2" t="s">
        <v>4558</v>
      </c>
      <c r="B2759" s="2" t="s">
        <v>10</v>
      </c>
      <c r="C2759" s="3">
        <v>44182</v>
      </c>
      <c r="D2759" t="s">
        <v>4559</v>
      </c>
      <c r="E2759" s="2" t="s">
        <v>12</v>
      </c>
      <c r="F2759" s="2" t="s">
        <v>12</v>
      </c>
      <c r="G2759" t="s">
        <v>4490</v>
      </c>
      <c r="H2759" t="str">
        <f t="shared" si="86"/>
        <v>https://videplast.com.br/consulta-imobilizado?id=21005793&amp;nome=SISTEMA%20DA%20MAQ%20ENVOLVEDORA%20DE%20PALET%20COM%20PLATAFORMA</v>
      </c>
      <c r="I2759" t="e">
        <f t="shared" ca="1" si="87"/>
        <v>#NAME?</v>
      </c>
    </row>
    <row r="2760" spans="1:9" x14ac:dyDescent="0.25">
      <c r="A2760" s="2" t="s">
        <v>4558</v>
      </c>
      <c r="B2760" s="2" t="s">
        <v>26</v>
      </c>
      <c r="C2760" s="3">
        <v>44182</v>
      </c>
      <c r="D2760" t="s">
        <v>4560</v>
      </c>
      <c r="E2760" s="2" t="s">
        <v>12</v>
      </c>
      <c r="F2760" s="2" t="s">
        <v>12</v>
      </c>
      <c r="G2760" t="s">
        <v>4490</v>
      </c>
      <c r="H2760" t="str">
        <f t="shared" si="86"/>
        <v>https://videplast.com.br/consulta-imobilizado?id=21005793&amp;nome=SERVICO%20DE%20FRETE%20TRANSPORTE%202%20ENVOLVEDORA%20DE%20PALET</v>
      </c>
      <c r="I2760" t="e">
        <f t="shared" ca="1" si="87"/>
        <v>#NAME?</v>
      </c>
    </row>
    <row r="2761" spans="1:9" x14ac:dyDescent="0.25">
      <c r="A2761" s="2" t="s">
        <v>4561</v>
      </c>
      <c r="B2761" s="2" t="s">
        <v>10</v>
      </c>
      <c r="C2761" s="3">
        <v>44684</v>
      </c>
      <c r="D2761" t="s">
        <v>4562</v>
      </c>
      <c r="E2761" s="2" t="s">
        <v>4563</v>
      </c>
      <c r="F2761" s="2" t="s">
        <v>12</v>
      </c>
      <c r="G2761" t="s">
        <v>4490</v>
      </c>
      <c r="H2761" t="str">
        <f t="shared" si="86"/>
        <v>https://videplast.com.br/consulta-imobilizado?id=21006047&amp;nome=MAQUINA%20DE%20ARQUEAR%20BATERIA%20CM40</v>
      </c>
      <c r="I2761" t="e">
        <f t="shared" ca="1" si="87"/>
        <v>#NAME?</v>
      </c>
    </row>
    <row r="2762" spans="1:9" x14ac:dyDescent="0.25">
      <c r="A2762" s="2" t="s">
        <v>4564</v>
      </c>
      <c r="B2762" s="2" t="s">
        <v>10</v>
      </c>
      <c r="C2762" s="3">
        <v>44692</v>
      </c>
      <c r="D2762" t="s">
        <v>4512</v>
      </c>
      <c r="E2762" s="2" t="s">
        <v>12</v>
      </c>
      <c r="F2762" s="2" t="s">
        <v>12</v>
      </c>
      <c r="G2762" t="s">
        <v>4490</v>
      </c>
      <c r="H2762" t="str">
        <f t="shared" si="86"/>
        <v>https://videplast.com.br/consulta-imobilizado?id=21006100&amp;nome=TRANSPALETEIRA%20HIDRAULICA%20PALETRANS%20TM%203020%203000KG</v>
      </c>
      <c r="I2762" t="e">
        <f t="shared" ca="1" si="87"/>
        <v>#NAME?</v>
      </c>
    </row>
    <row r="2763" spans="1:9" x14ac:dyDescent="0.25">
      <c r="A2763" s="2" t="s">
        <v>4565</v>
      </c>
      <c r="B2763" s="2" t="s">
        <v>10</v>
      </c>
      <c r="C2763" s="3">
        <v>45197</v>
      </c>
      <c r="D2763" t="s">
        <v>4566</v>
      </c>
      <c r="E2763" s="2" t="s">
        <v>12</v>
      </c>
      <c r="F2763" s="2" t="s">
        <v>4567</v>
      </c>
      <c r="G2763" t="s">
        <v>4490</v>
      </c>
      <c r="H2763" t="str">
        <f t="shared" si="86"/>
        <v>https://videplast.com.br/consulta-imobilizado?id=21006364&amp;nome=ENVOLVEDORA%20DE%20STRETCH%20PLT%20300%20TOUCH%20PARA%20PALLET</v>
      </c>
      <c r="I2763" t="e">
        <f t="shared" ca="1" si="87"/>
        <v>#NAME?</v>
      </c>
    </row>
    <row r="2764" spans="1:9" x14ac:dyDescent="0.25">
      <c r="A2764" s="2" t="s">
        <v>4565</v>
      </c>
      <c r="B2764" s="2" t="s">
        <v>26</v>
      </c>
      <c r="C2764" s="3">
        <v>45201</v>
      </c>
      <c r="D2764" t="s">
        <v>4568</v>
      </c>
      <c r="E2764" s="2" t="s">
        <v>12</v>
      </c>
      <c r="F2764" s="2" t="s">
        <v>12</v>
      </c>
      <c r="G2764" t="s">
        <v>4490</v>
      </c>
      <c r="H2764" t="str">
        <f t="shared" si="86"/>
        <v>https://videplast.com.br/consulta-imobilizado?id=21006364&amp;nome=RAMPA%20PARA%20ENVOLVEDORA%20DE%20STRETCH</v>
      </c>
      <c r="I2764" t="e">
        <f t="shared" ca="1" si="87"/>
        <v>#NAME?</v>
      </c>
    </row>
    <row r="2765" spans="1:9" x14ac:dyDescent="0.25">
      <c r="A2765" s="2" t="s">
        <v>4569</v>
      </c>
      <c r="B2765" s="2" t="s">
        <v>10</v>
      </c>
      <c r="C2765" s="3">
        <v>45128</v>
      </c>
      <c r="D2765" t="s">
        <v>4570</v>
      </c>
      <c r="E2765" s="2" t="s">
        <v>4571</v>
      </c>
      <c r="F2765" s="2" t="s">
        <v>4572</v>
      </c>
      <c r="G2765" t="s">
        <v>4490</v>
      </c>
      <c r="H2765" t="str">
        <f t="shared" si="86"/>
        <v>https://videplast.com.br/consulta-imobilizado?id=21006367&amp;nome=MAQUINA%20ENVOLVEDORA%20DE%20PALETS%20STRAPACK%20MOD%202141C</v>
      </c>
      <c r="I2765" t="e">
        <f t="shared" ca="1" si="87"/>
        <v>#NAME?</v>
      </c>
    </row>
    <row r="2766" spans="1:9" x14ac:dyDescent="0.25">
      <c r="A2766" s="2" t="s">
        <v>4573</v>
      </c>
      <c r="B2766" s="2" t="s">
        <v>10</v>
      </c>
      <c r="C2766" s="3">
        <v>45175</v>
      </c>
      <c r="D2766" t="s">
        <v>4574</v>
      </c>
      <c r="E2766" s="2" t="s">
        <v>3425</v>
      </c>
      <c r="F2766" s="2" t="s">
        <v>12</v>
      </c>
      <c r="G2766" t="s">
        <v>4490</v>
      </c>
      <c r="H2766" t="str">
        <f t="shared" si="86"/>
        <v>https://videplast.com.br/consulta-imobilizado?id=21006376&amp;nome=CORTINA%20DE%20AR/EXAUSTOR%20%20SH%20-%20322</v>
      </c>
      <c r="I2766" t="e">
        <f t="shared" ca="1" si="87"/>
        <v>#NAME?</v>
      </c>
    </row>
    <row r="2767" spans="1:9" x14ac:dyDescent="0.25">
      <c r="A2767" s="2" t="s">
        <v>4575</v>
      </c>
      <c r="B2767" s="2" t="s">
        <v>10</v>
      </c>
      <c r="C2767" s="3">
        <v>45407</v>
      </c>
      <c r="D2767" t="s">
        <v>4576</v>
      </c>
      <c r="E2767" s="2" t="s">
        <v>12</v>
      </c>
      <c r="F2767" s="2" t="s">
        <v>4577</v>
      </c>
      <c r="G2767" t="s">
        <v>4490</v>
      </c>
      <c r="H2767" t="str">
        <f t="shared" si="86"/>
        <v>https://videplast.com.br/consulta-imobilizado?id=21006455&amp;nome=MAQUINA%20PARA%20CINTA%20PLASTICA%20A%20BATERIA%20FROMM%20P-328</v>
      </c>
      <c r="I2767" t="e">
        <f t="shared" ca="1" si="87"/>
        <v>#NAME?</v>
      </c>
    </row>
    <row r="2768" spans="1:9" x14ac:dyDescent="0.25">
      <c r="A2768" s="2" t="s">
        <v>4578</v>
      </c>
      <c r="B2768" s="2" t="s">
        <v>10</v>
      </c>
      <c r="C2768" s="3">
        <v>40847</v>
      </c>
      <c r="D2768" t="s">
        <v>4579</v>
      </c>
      <c r="E2768" s="2" t="s">
        <v>12</v>
      </c>
      <c r="F2768" s="2" t="s">
        <v>12</v>
      </c>
      <c r="G2768" t="s">
        <v>4490</v>
      </c>
      <c r="H2768" t="str">
        <f t="shared" si="86"/>
        <v>https://videplast.com.br/consulta-imobilizado?id=30000110&amp;nome=ARMARIO%20DE%20ACO%20DE%200,76X0,90X0,40%20CNZ</v>
      </c>
      <c r="I2768" t="e">
        <f t="shared" ca="1" si="87"/>
        <v>#NAME?</v>
      </c>
    </row>
    <row r="2769" spans="1:9" x14ac:dyDescent="0.25">
      <c r="A2769" s="2" t="s">
        <v>4580</v>
      </c>
      <c r="B2769" s="2" t="s">
        <v>10</v>
      </c>
      <c r="C2769" s="3">
        <v>41305</v>
      </c>
      <c r="D2769" t="s">
        <v>4581</v>
      </c>
      <c r="E2769" s="2" t="s">
        <v>12</v>
      </c>
      <c r="F2769" s="2" t="s">
        <v>12</v>
      </c>
      <c r="G2769" t="s">
        <v>4490</v>
      </c>
      <c r="H2769" t="str">
        <f t="shared" si="86"/>
        <v>https://videplast.com.br/consulta-imobilizado?id=30000128&amp;nome=BEBEDOURO%20ACQUA%20GELATA%20PAG%20100%203%20TORNEIRAS%20220V</v>
      </c>
      <c r="I2769" t="e">
        <f t="shared" ca="1" si="87"/>
        <v>#NAME?</v>
      </c>
    </row>
    <row r="2770" spans="1:9" x14ac:dyDescent="0.25">
      <c r="A2770" s="2" t="s">
        <v>4582</v>
      </c>
      <c r="B2770" s="2" t="s">
        <v>10</v>
      </c>
      <c r="C2770" s="3">
        <v>42185</v>
      </c>
      <c r="D2770" t="s">
        <v>4583</v>
      </c>
      <c r="E2770" s="2" t="s">
        <v>12</v>
      </c>
      <c r="F2770" s="2" t="s">
        <v>12</v>
      </c>
      <c r="G2770" t="s">
        <v>4490</v>
      </c>
      <c r="H2770" t="str">
        <f t="shared" si="86"/>
        <v>https://videplast.com.br/consulta-imobilizado?id=30001235&amp;nome=MESA%20DE%20ESCRITÓRIO</v>
      </c>
      <c r="I2770" t="e">
        <f t="shared" ca="1" si="87"/>
        <v>#NAME?</v>
      </c>
    </row>
    <row r="2771" spans="1:9" x14ac:dyDescent="0.25">
      <c r="A2771" s="2" t="s">
        <v>4584</v>
      </c>
      <c r="B2771" s="2" t="s">
        <v>10</v>
      </c>
      <c r="C2771" s="3">
        <v>42185</v>
      </c>
      <c r="D2771" t="s">
        <v>4583</v>
      </c>
      <c r="E2771" s="2" t="s">
        <v>12</v>
      </c>
      <c r="F2771" s="2" t="s">
        <v>12</v>
      </c>
      <c r="G2771" t="s">
        <v>4490</v>
      </c>
      <c r="H2771" t="str">
        <f t="shared" si="86"/>
        <v>https://videplast.com.br/consulta-imobilizado?id=30001236&amp;nome=MESA%20DE%20ESCRITÓRIO</v>
      </c>
      <c r="I2771" t="e">
        <f t="shared" ca="1" si="87"/>
        <v>#NAME?</v>
      </c>
    </row>
    <row r="2772" spans="1:9" x14ac:dyDescent="0.25">
      <c r="A2772" s="2" t="s">
        <v>4585</v>
      </c>
      <c r="B2772" s="2" t="s">
        <v>10</v>
      </c>
      <c r="C2772" s="3">
        <v>43006</v>
      </c>
      <c r="D2772" t="s">
        <v>4586</v>
      </c>
      <c r="E2772" s="2" t="s">
        <v>12</v>
      </c>
      <c r="F2772" s="2" t="s">
        <v>12</v>
      </c>
      <c r="G2772" t="s">
        <v>4490</v>
      </c>
      <c r="H2772" t="str">
        <f t="shared" si="86"/>
        <v>https://videplast.com.br/consulta-imobilizado?id=30001641&amp;nome=SERRA%20CIRCULAR%20KONSTRUMACK%20SCK3T220V</v>
      </c>
      <c r="I2772" t="e">
        <f t="shared" ca="1" si="87"/>
        <v>#NAME?</v>
      </c>
    </row>
    <row r="2773" spans="1:9" x14ac:dyDescent="0.25">
      <c r="A2773" s="2" t="s">
        <v>4587</v>
      </c>
      <c r="B2773" s="2" t="s">
        <v>10</v>
      </c>
      <c r="C2773" s="3">
        <v>43003</v>
      </c>
      <c r="D2773" t="s">
        <v>428</v>
      </c>
      <c r="E2773" s="2" t="s">
        <v>12</v>
      </c>
      <c r="F2773" s="2" t="s">
        <v>12</v>
      </c>
      <c r="G2773" t="s">
        <v>4490</v>
      </c>
      <c r="H2773" t="str">
        <f t="shared" si="86"/>
        <v>https://videplast.com.br/consulta-imobilizado?id=30001649&amp;nome=CADEIRA%20SECRETARIA%20GIRATORIA%20SEM%20BRAÇOS%20REVESTIDA</v>
      </c>
      <c r="I2773" t="e">
        <f t="shared" ca="1" si="87"/>
        <v>#NAME?</v>
      </c>
    </row>
    <row r="2774" spans="1:9" x14ac:dyDescent="0.25">
      <c r="A2774" s="2" t="s">
        <v>4588</v>
      </c>
      <c r="B2774" s="2" t="s">
        <v>10</v>
      </c>
      <c r="C2774" s="3">
        <v>43003</v>
      </c>
      <c r="D2774" t="s">
        <v>428</v>
      </c>
      <c r="E2774" s="2" t="s">
        <v>12</v>
      </c>
      <c r="F2774" s="2" t="s">
        <v>12</v>
      </c>
      <c r="G2774" t="s">
        <v>4490</v>
      </c>
      <c r="H2774" t="str">
        <f t="shared" si="86"/>
        <v>https://videplast.com.br/consulta-imobilizado?id=30001650&amp;nome=CADEIRA%20SECRETARIA%20GIRATORIA%20SEM%20BRAÇOS%20REVESTIDA</v>
      </c>
      <c r="I2774" t="e">
        <f t="shared" ca="1" si="87"/>
        <v>#NAME?</v>
      </c>
    </row>
    <row r="2775" spans="1:9" x14ac:dyDescent="0.25">
      <c r="A2775" s="2" t="s">
        <v>4589</v>
      </c>
      <c r="B2775" s="2" t="s">
        <v>10</v>
      </c>
      <c r="C2775" s="3">
        <v>43524</v>
      </c>
      <c r="D2775" t="s">
        <v>4590</v>
      </c>
      <c r="E2775" s="2" t="s">
        <v>12</v>
      </c>
      <c r="F2775" s="2" t="s">
        <v>12</v>
      </c>
      <c r="G2775" t="s">
        <v>4490</v>
      </c>
      <c r="H2775" t="str">
        <f t="shared" si="86"/>
        <v>https://videplast.com.br/consulta-imobilizado?id=30001849&amp;nome=PORTA%20PALETE%20AÇO%20DESMONTAVEL</v>
      </c>
      <c r="I2775" t="e">
        <f t="shared" ca="1" si="87"/>
        <v>#NAME?</v>
      </c>
    </row>
    <row r="2776" spans="1:9" x14ac:dyDescent="0.25">
      <c r="A2776" s="2" t="s">
        <v>4591</v>
      </c>
      <c r="B2776" s="2" t="s">
        <v>10</v>
      </c>
      <c r="C2776" s="3">
        <v>44008</v>
      </c>
      <c r="D2776" t="s">
        <v>4592</v>
      </c>
      <c r="E2776" s="2" t="s">
        <v>12</v>
      </c>
      <c r="F2776" s="2" t="s">
        <v>12</v>
      </c>
      <c r="G2776" t="s">
        <v>4490</v>
      </c>
      <c r="H2776" t="str">
        <f t="shared" si="86"/>
        <v>https://videplast.com.br/consulta-imobilizado?id=30002605&amp;nome=CARRINHO%20DESBOBINADOR%20P/%20FITA%20DE%20ARQUEAR</v>
      </c>
      <c r="I2776" t="e">
        <f t="shared" ca="1" si="87"/>
        <v>#NAME?</v>
      </c>
    </row>
    <row r="2777" spans="1:9" x14ac:dyDescent="0.25">
      <c r="A2777" s="2" t="s">
        <v>4593</v>
      </c>
      <c r="B2777" s="2" t="s">
        <v>10</v>
      </c>
      <c r="C2777" s="3">
        <v>44224</v>
      </c>
      <c r="D2777" t="s">
        <v>4594</v>
      </c>
      <c r="E2777" s="2" t="s">
        <v>12</v>
      </c>
      <c r="F2777" s="2" t="s">
        <v>12</v>
      </c>
      <c r="G2777" t="s">
        <v>4490</v>
      </c>
      <c r="H2777" t="str">
        <f t="shared" si="86"/>
        <v>https://videplast.com.br/consulta-imobilizado?id=30003382&amp;nome=COLETOR%20DADOS%20ZEBRA%202D%20QR%20CODE%20LONGA%20DISTANCIA</v>
      </c>
      <c r="I2777" t="e">
        <f t="shared" ca="1" si="87"/>
        <v>#NAME?</v>
      </c>
    </row>
    <row r="2778" spans="1:9" x14ac:dyDescent="0.25">
      <c r="A2778" s="2" t="s">
        <v>4593</v>
      </c>
      <c r="B2778" s="2" t="s">
        <v>26</v>
      </c>
      <c r="C2778" s="3">
        <v>44251</v>
      </c>
      <c r="D2778" t="s">
        <v>4595</v>
      </c>
      <c r="E2778" s="2" t="s">
        <v>12</v>
      </c>
      <c r="F2778" s="2" t="s">
        <v>12</v>
      </c>
      <c r="G2778" t="s">
        <v>4490</v>
      </c>
      <c r="H2778" t="str">
        <f t="shared" si="86"/>
        <v>https://videplast.com.br/consulta-imobilizado?id=30003382&amp;nome=CAPA%20PROTECAO%20P/%20COLETOR%20ZEBRA%20MC3200</v>
      </c>
      <c r="I2778" t="e">
        <f t="shared" ca="1" si="87"/>
        <v>#NAME?</v>
      </c>
    </row>
    <row r="2779" spans="1:9" x14ac:dyDescent="0.25">
      <c r="A2779" s="2" t="s">
        <v>4596</v>
      </c>
      <c r="B2779" s="2" t="s">
        <v>10</v>
      </c>
      <c r="C2779" s="3">
        <v>44224</v>
      </c>
      <c r="D2779" t="s">
        <v>4594</v>
      </c>
      <c r="E2779" s="2" t="s">
        <v>12</v>
      </c>
      <c r="F2779" s="2" t="s">
        <v>12</v>
      </c>
      <c r="G2779" t="s">
        <v>4490</v>
      </c>
      <c r="H2779" t="str">
        <f t="shared" si="86"/>
        <v>https://videplast.com.br/consulta-imobilizado?id=30003383&amp;nome=COLETOR%20DADOS%20ZEBRA%202D%20QR%20CODE%20LONGA%20DISTANCIA</v>
      </c>
      <c r="I2779" t="e">
        <f t="shared" ca="1" si="87"/>
        <v>#NAME?</v>
      </c>
    </row>
    <row r="2780" spans="1:9" x14ac:dyDescent="0.25">
      <c r="A2780" s="2" t="s">
        <v>4596</v>
      </c>
      <c r="B2780" s="2" t="s">
        <v>26</v>
      </c>
      <c r="C2780" s="3">
        <v>44251</v>
      </c>
      <c r="D2780" t="s">
        <v>4595</v>
      </c>
      <c r="E2780" s="2" t="s">
        <v>12</v>
      </c>
      <c r="F2780" s="2" t="s">
        <v>12</v>
      </c>
      <c r="G2780" t="s">
        <v>4490</v>
      </c>
      <c r="H2780" t="str">
        <f t="shared" si="86"/>
        <v>https://videplast.com.br/consulta-imobilizado?id=30003383&amp;nome=CAPA%20PROTECAO%20P/%20COLETOR%20ZEBRA%20MC3200</v>
      </c>
      <c r="I2780" t="e">
        <f t="shared" ca="1" si="87"/>
        <v>#NAME?</v>
      </c>
    </row>
    <row r="2781" spans="1:9" x14ac:dyDescent="0.25">
      <c r="A2781" s="2" t="s">
        <v>4597</v>
      </c>
      <c r="B2781" s="2" t="s">
        <v>10</v>
      </c>
      <c r="C2781" s="3">
        <v>44685</v>
      </c>
      <c r="D2781" t="s">
        <v>4598</v>
      </c>
      <c r="E2781" s="2" t="s">
        <v>12</v>
      </c>
      <c r="F2781" s="2" t="s">
        <v>12</v>
      </c>
      <c r="G2781" t="s">
        <v>4490</v>
      </c>
      <c r="H2781" t="str">
        <f t="shared" si="86"/>
        <v>https://videplast.com.br/consulta-imobilizado?id=30003607&amp;nome=COLETOR%20DE%20DADOS%20ZEBRA%202D%20QRCODE%20LONGA%20DISTANCIA</v>
      </c>
      <c r="I2781" t="e">
        <f t="shared" ca="1" si="87"/>
        <v>#NAME?</v>
      </c>
    </row>
    <row r="2782" spans="1:9" x14ac:dyDescent="0.25">
      <c r="A2782" s="2" t="s">
        <v>4599</v>
      </c>
      <c r="B2782" s="2" t="s">
        <v>10</v>
      </c>
      <c r="C2782" s="3">
        <v>44956</v>
      </c>
      <c r="D2782" t="s">
        <v>4600</v>
      </c>
      <c r="E2782" s="2" t="s">
        <v>4601</v>
      </c>
      <c r="F2782" s="2" t="s">
        <v>4602</v>
      </c>
      <c r="G2782" t="s">
        <v>4490</v>
      </c>
      <c r="H2782" t="str">
        <f t="shared" si="86"/>
        <v>https://videplast.com.br/consulta-imobilizado?id=30003770&amp;nome=AR%20CONDICIONADO%20INT/EXT%20FRIO%20FUJITSU%2024000%20BTUS</v>
      </c>
      <c r="I2782" t="e">
        <f t="shared" ca="1" si="87"/>
        <v>#NAME?</v>
      </c>
    </row>
    <row r="2783" spans="1:9" x14ac:dyDescent="0.25">
      <c r="A2783" s="2" t="s">
        <v>4603</v>
      </c>
      <c r="B2783" s="2" t="s">
        <v>10</v>
      </c>
      <c r="C2783" s="3">
        <v>45483</v>
      </c>
      <c r="D2783" t="s">
        <v>4604</v>
      </c>
      <c r="E2783" s="2" t="s">
        <v>4605</v>
      </c>
      <c r="F2783" s="2" t="s">
        <v>4606</v>
      </c>
      <c r="G2783" t="s">
        <v>4490</v>
      </c>
      <c r="H2783" t="str">
        <f t="shared" si="86"/>
        <v>https://videplast.com.br/consulta-imobilizado?id=30004106&amp;nome=AR%20CONDICIONADO%20FRIO%20FUJITSU%20INVERTER%2018000%20BTU</v>
      </c>
      <c r="I2783" t="e">
        <f t="shared" ca="1" si="87"/>
        <v>#NAME?</v>
      </c>
    </row>
    <row r="2784" spans="1:9" x14ac:dyDescent="0.25">
      <c r="A2784" s="2" t="s">
        <v>4607</v>
      </c>
      <c r="B2784" s="2" t="s">
        <v>10</v>
      </c>
      <c r="C2784" s="3">
        <v>40724</v>
      </c>
      <c r="D2784" t="s">
        <v>4608</v>
      </c>
      <c r="E2784" s="2" t="s">
        <v>4609</v>
      </c>
      <c r="F2784" s="2" t="s">
        <v>4610</v>
      </c>
      <c r="G2784" t="s">
        <v>4490</v>
      </c>
      <c r="H2784" t="str">
        <f t="shared" si="86"/>
        <v>https://videplast.com.br/consulta-imobilizado?id=31000002&amp;nome=EPILHADEIRA%20HYSTER%20H50CT%20/GLP%20CAP.%202500%20KG</v>
      </c>
      <c r="I2784" t="e">
        <f t="shared" ca="1" si="87"/>
        <v>#NAME?</v>
      </c>
    </row>
    <row r="2785" spans="1:9" x14ac:dyDescent="0.25">
      <c r="A2785" s="2" t="s">
        <v>4611</v>
      </c>
      <c r="B2785" s="2" t="s">
        <v>10</v>
      </c>
      <c r="C2785" s="3">
        <v>44257</v>
      </c>
      <c r="D2785" t="s">
        <v>4612</v>
      </c>
      <c r="E2785" s="2" t="s">
        <v>4613</v>
      </c>
      <c r="F2785" s="2" t="s">
        <v>4614</v>
      </c>
      <c r="G2785" t="s">
        <v>4490</v>
      </c>
      <c r="H2785" t="str">
        <f t="shared" si="86"/>
        <v>https://videplast.com.br/consulta-imobilizado?id=31000245&amp;nome=EMPILHADEIRA%20HYSTER%20MOD.%20H50CT/GLP%20CAP.%202500%20KG</v>
      </c>
      <c r="I2785" t="e">
        <f t="shared" ca="1" si="87"/>
        <v>#NAME?</v>
      </c>
    </row>
    <row r="2786" spans="1:9" x14ac:dyDescent="0.25">
      <c r="A2786" s="2" t="s">
        <v>4615</v>
      </c>
      <c r="B2786" s="2" t="s">
        <v>10</v>
      </c>
      <c r="C2786" s="3">
        <v>40724</v>
      </c>
      <c r="D2786" t="s">
        <v>4616</v>
      </c>
      <c r="E2786" s="2" t="s">
        <v>12</v>
      </c>
      <c r="F2786" s="2" t="s">
        <v>12</v>
      </c>
      <c r="G2786" t="s">
        <v>4490</v>
      </c>
      <c r="H2786" t="str">
        <f t="shared" si="86"/>
        <v>https://videplast.com.br/consulta-imobilizado?id=32000064&amp;nome=CONECTOR%20BALLUN%20PASSIVO%204%20CANAIS</v>
      </c>
      <c r="I2786" t="e">
        <f t="shared" ca="1" si="87"/>
        <v>#NAME?</v>
      </c>
    </row>
    <row r="2787" spans="1:9" x14ac:dyDescent="0.25">
      <c r="A2787" s="2" t="s">
        <v>4617</v>
      </c>
      <c r="B2787" s="2" t="s">
        <v>10</v>
      </c>
      <c r="C2787" s="3">
        <v>38622</v>
      </c>
      <c r="D2787" t="s">
        <v>4618</v>
      </c>
      <c r="E2787" s="2" t="s">
        <v>12</v>
      </c>
      <c r="F2787" s="2" t="s">
        <v>12</v>
      </c>
      <c r="G2787" t="s">
        <v>4490</v>
      </c>
      <c r="H2787" s="5" t="str">
        <f t="shared" si="86"/>
        <v>https://videplast.com.br/consulta-imobilizado?id=32000141&amp;nome=COMPUTADOR%20COMPLETO</v>
      </c>
      <c r="I2787" t="e">
        <f t="shared" ca="1" si="87"/>
        <v>#NAME?</v>
      </c>
    </row>
    <row r="2788" spans="1:9" x14ac:dyDescent="0.25">
      <c r="A2788" s="2" t="s">
        <v>4619</v>
      </c>
      <c r="B2788" s="2" t="s">
        <v>10</v>
      </c>
      <c r="C2788" s="3">
        <v>39210</v>
      </c>
      <c r="D2788" t="s">
        <v>4620</v>
      </c>
      <c r="E2788" s="2" t="s">
        <v>12</v>
      </c>
      <c r="F2788" s="2" t="s">
        <v>12</v>
      </c>
      <c r="G2788" t="s">
        <v>4490</v>
      </c>
      <c r="H2788" s="5" t="str">
        <f t="shared" si="86"/>
        <v>https://videplast.com.br/consulta-imobilizado?id=32000173&amp;nome=COMPUTADOR%20INTEL%20CELERON%202.8%20GHZ%20PRETO%20E%20PRATA</v>
      </c>
      <c r="I2788" t="e">
        <f t="shared" ca="1" si="87"/>
        <v>#NAME?</v>
      </c>
    </row>
    <row r="2789" spans="1:9" x14ac:dyDescent="0.25">
      <c r="A2789" s="2" t="s">
        <v>4621</v>
      </c>
      <c r="B2789" s="2" t="s">
        <v>10</v>
      </c>
      <c r="C2789" s="3">
        <v>43494</v>
      </c>
      <c r="D2789" t="s">
        <v>4622</v>
      </c>
      <c r="E2789" s="2" t="s">
        <v>12</v>
      </c>
      <c r="F2789" s="2" t="s">
        <v>4623</v>
      </c>
      <c r="G2789" t="s">
        <v>4490</v>
      </c>
      <c r="H2789" s="5" t="str">
        <f t="shared" si="86"/>
        <v>https://videplast.com.br/consulta-imobilizado?id=32001216&amp;nome=COMPUTADOR%20DELL%20VOSTRO%20CORE%20I3%204C%203.6GHZ,%204GB%20RAM</v>
      </c>
      <c r="I2789" t="e">
        <f t="shared" ca="1" si="87"/>
        <v>#NAME?</v>
      </c>
    </row>
    <row r="2790" spans="1:9" x14ac:dyDescent="0.25">
      <c r="A2790" s="2" t="s">
        <v>4624</v>
      </c>
      <c r="B2790" s="2" t="s">
        <v>10</v>
      </c>
      <c r="C2790" s="3">
        <v>43494</v>
      </c>
      <c r="D2790" t="s">
        <v>515</v>
      </c>
      <c r="E2790" s="2" t="s">
        <v>12</v>
      </c>
      <c r="F2790" s="2" t="s">
        <v>4625</v>
      </c>
      <c r="G2790" t="s">
        <v>4490</v>
      </c>
      <c r="H2790" t="str">
        <f t="shared" si="86"/>
        <v>https://videplast.com.br/consulta-imobilizado?id=32001217&amp;nome=MONITOR%20LED%2018,5"%20DELL%20E1916H</v>
      </c>
      <c r="I2790" t="e">
        <f t="shared" ca="1" si="87"/>
        <v>#NAME?</v>
      </c>
    </row>
    <row r="2791" spans="1:9" x14ac:dyDescent="0.25">
      <c r="A2791" s="2" t="s">
        <v>4626</v>
      </c>
      <c r="B2791" s="2" t="s">
        <v>10</v>
      </c>
      <c r="C2791" s="3">
        <v>44202</v>
      </c>
      <c r="D2791" t="s">
        <v>515</v>
      </c>
      <c r="E2791" s="2" t="s">
        <v>12</v>
      </c>
      <c r="F2791" s="2" t="s">
        <v>4627</v>
      </c>
      <c r="G2791" t="s">
        <v>4490</v>
      </c>
      <c r="H2791" t="str">
        <f t="shared" si="86"/>
        <v>https://videplast.com.br/consulta-imobilizado?id=32002021&amp;nome=MONITOR%20LED%2018,5"%20DELL%20E1916H</v>
      </c>
      <c r="I2791" t="e">
        <f t="shared" ca="1" si="87"/>
        <v>#NAME?</v>
      </c>
    </row>
    <row r="2792" spans="1:9" x14ac:dyDescent="0.25">
      <c r="A2792" s="2" t="s">
        <v>4628</v>
      </c>
      <c r="B2792" s="2" t="s">
        <v>10</v>
      </c>
      <c r="C2792" s="3">
        <v>44202</v>
      </c>
      <c r="D2792" t="s">
        <v>515</v>
      </c>
      <c r="E2792" s="2" t="s">
        <v>12</v>
      </c>
      <c r="F2792" s="2" t="s">
        <v>4629</v>
      </c>
      <c r="G2792" t="s">
        <v>4490</v>
      </c>
      <c r="H2792" t="str">
        <f t="shared" si="86"/>
        <v>https://videplast.com.br/consulta-imobilizado?id=32002022&amp;nome=MONITOR%20LED%2018,5"%20DELL%20E1916H</v>
      </c>
      <c r="I2792" t="e">
        <f t="shared" ca="1" si="87"/>
        <v>#NAME?</v>
      </c>
    </row>
    <row r="2793" spans="1:9" x14ac:dyDescent="0.25">
      <c r="A2793" s="2" t="s">
        <v>4630</v>
      </c>
      <c r="B2793" s="2" t="s">
        <v>10</v>
      </c>
      <c r="C2793" s="3">
        <v>44167</v>
      </c>
      <c r="D2793" t="s">
        <v>4631</v>
      </c>
      <c r="E2793" s="2" t="s">
        <v>12</v>
      </c>
      <c r="F2793" s="2" t="s">
        <v>4632</v>
      </c>
      <c r="G2793" t="s">
        <v>4490</v>
      </c>
      <c r="H2793" s="5" t="str">
        <f t="shared" si="86"/>
        <v>https://videplast.com.br/consulta-imobilizado?id=32002023&amp;nome=COMPUTADOR%20DELL%20VOSTRO%20I3%204GB%20SSD120GB%20W10P</v>
      </c>
      <c r="I2793" t="e">
        <f t="shared" ca="1" si="87"/>
        <v>#NAME?</v>
      </c>
    </row>
    <row r="2794" spans="1:9" x14ac:dyDescent="0.25">
      <c r="A2794" s="2" t="s">
        <v>4633</v>
      </c>
      <c r="B2794" s="2" t="s">
        <v>10</v>
      </c>
      <c r="C2794" s="3">
        <v>44167</v>
      </c>
      <c r="D2794" t="s">
        <v>4631</v>
      </c>
      <c r="E2794" s="2" t="s">
        <v>12</v>
      </c>
      <c r="F2794" s="2" t="s">
        <v>4634</v>
      </c>
      <c r="G2794" t="s">
        <v>4490</v>
      </c>
      <c r="H2794" s="5" t="str">
        <f t="shared" si="86"/>
        <v>https://videplast.com.br/consulta-imobilizado?id=32002024&amp;nome=COMPUTADOR%20DELL%20VOSTRO%20I3%204GB%20SSD120GB%20W10P</v>
      </c>
      <c r="I2794" t="e">
        <f t="shared" ca="1" si="87"/>
        <v>#NAME?</v>
      </c>
    </row>
    <row r="2795" spans="1:9" x14ac:dyDescent="0.25">
      <c r="A2795" s="2" t="s">
        <v>4635</v>
      </c>
      <c r="B2795" s="2" t="s">
        <v>10</v>
      </c>
      <c r="C2795" s="3">
        <v>44161</v>
      </c>
      <c r="D2795" t="s">
        <v>4636</v>
      </c>
      <c r="E2795" s="2" t="s">
        <v>12</v>
      </c>
      <c r="F2795" s="2" t="s">
        <v>12</v>
      </c>
      <c r="G2795" t="s">
        <v>4490</v>
      </c>
      <c r="H2795" t="str">
        <f t="shared" si="86"/>
        <v>https://videplast.com.br/consulta-imobilizado?id=32002025&amp;nome=SWITCH%20ARUBA%202530%2048G%20POE</v>
      </c>
      <c r="I2795" t="e">
        <f t="shared" ca="1" si="87"/>
        <v>#NAME?</v>
      </c>
    </row>
    <row r="2796" spans="1:9" x14ac:dyDescent="0.25">
      <c r="A2796" s="2" t="s">
        <v>4637</v>
      </c>
      <c r="B2796" s="2" t="s">
        <v>10</v>
      </c>
      <c r="C2796" s="3">
        <v>44195</v>
      </c>
      <c r="D2796" t="s">
        <v>2958</v>
      </c>
      <c r="E2796" s="2" t="s">
        <v>12</v>
      </c>
      <c r="F2796" s="2" t="s">
        <v>4638</v>
      </c>
      <c r="G2796" t="s">
        <v>4490</v>
      </c>
      <c r="H2796" t="str">
        <f t="shared" si="86"/>
        <v>https://videplast.com.br/consulta-imobilizado?id=32002032&amp;nome=THINPC%20SUPERA%20SPMJ18TPSSD%20WINDOWS%2010%20IOT</v>
      </c>
      <c r="I2796" t="e">
        <f t="shared" ca="1" si="87"/>
        <v>#NAME?</v>
      </c>
    </row>
    <row r="2797" spans="1:9" x14ac:dyDescent="0.25">
      <c r="A2797" s="2" t="s">
        <v>4639</v>
      </c>
      <c r="B2797" s="2" t="s">
        <v>10</v>
      </c>
      <c r="C2797" s="3">
        <v>44194</v>
      </c>
      <c r="D2797" t="s">
        <v>3130</v>
      </c>
      <c r="E2797" s="2" t="s">
        <v>12</v>
      </c>
      <c r="F2797" s="2" t="s">
        <v>12</v>
      </c>
      <c r="G2797" t="s">
        <v>4490</v>
      </c>
      <c r="H2797" t="str">
        <f t="shared" si="86"/>
        <v>https://videplast.com.br/consulta-imobilizado?id=32002033&amp;nome=MONITOR%20PCTOP%2019"%20LED%20VGA%20C/CABO%20HDMI</v>
      </c>
      <c r="I2797" t="e">
        <f t="shared" ca="1" si="87"/>
        <v>#NAME?</v>
      </c>
    </row>
    <row r="2798" spans="1:9" x14ac:dyDescent="0.25">
      <c r="A2798" s="2" t="s">
        <v>4640</v>
      </c>
      <c r="B2798" s="2" t="s">
        <v>10</v>
      </c>
      <c r="C2798" s="3">
        <v>44407</v>
      </c>
      <c r="D2798" t="s">
        <v>2316</v>
      </c>
      <c r="E2798" s="2" t="s">
        <v>12</v>
      </c>
      <c r="F2798" s="2" t="s">
        <v>4641</v>
      </c>
      <c r="G2798" t="s">
        <v>4490</v>
      </c>
      <c r="H2798" s="5" t="str">
        <f t="shared" si="86"/>
        <v>https://videplast.com.br/consulta-imobilizado?id=32002196&amp;nome=COMPUTADOR%20DELL%20OPTIPLEX/VOSTRO%20I3%204GB%20SSD256%2010P</v>
      </c>
      <c r="I2798" t="e">
        <f t="shared" ca="1" si="87"/>
        <v>#NAME?</v>
      </c>
    </row>
    <row r="2799" spans="1:9" x14ac:dyDescent="0.25">
      <c r="A2799" s="2" t="s">
        <v>4642</v>
      </c>
      <c r="B2799" s="2" t="s">
        <v>10</v>
      </c>
      <c r="C2799" s="3">
        <v>44403</v>
      </c>
      <c r="D2799" t="s">
        <v>3456</v>
      </c>
      <c r="E2799" s="2" t="s">
        <v>12</v>
      </c>
      <c r="F2799" s="2" t="s">
        <v>4643</v>
      </c>
      <c r="G2799" t="s">
        <v>4490</v>
      </c>
      <c r="H2799" t="str">
        <f t="shared" si="86"/>
        <v>https://videplast.com.br/consulta-imobilizado?id=32002199&amp;nome=MONITOR%20LED%2018,5"%20DELL%20E1920H</v>
      </c>
      <c r="I2799" t="e">
        <f t="shared" ca="1" si="87"/>
        <v>#NAME?</v>
      </c>
    </row>
    <row r="2800" spans="1:9" x14ac:dyDescent="0.25">
      <c r="A2800" s="2" t="s">
        <v>4644</v>
      </c>
      <c r="B2800" s="2" t="s">
        <v>10</v>
      </c>
      <c r="C2800" s="3">
        <v>44700</v>
      </c>
      <c r="D2800" t="s">
        <v>535</v>
      </c>
      <c r="E2800" s="2" t="s">
        <v>4645</v>
      </c>
      <c r="F2800" s="2" t="s">
        <v>12</v>
      </c>
      <c r="G2800" t="s">
        <v>4490</v>
      </c>
      <c r="H2800" s="5" t="str">
        <f t="shared" si="86"/>
        <v>https://videplast.com.br/consulta-imobilizado?id=32002373&amp;nome=COMPUTADOR%20DELL%20OPTIPLEX/VASTRO%20I3%204GB%20SSD256%20W10P</v>
      </c>
      <c r="I2800" t="e">
        <f t="shared" ca="1" si="87"/>
        <v>#NAME?</v>
      </c>
    </row>
    <row r="2801" spans="1:9" x14ac:dyDescent="0.25">
      <c r="A2801" s="2" t="s">
        <v>4646</v>
      </c>
      <c r="B2801" s="2" t="s">
        <v>10</v>
      </c>
      <c r="C2801" s="3">
        <v>44700</v>
      </c>
      <c r="D2801" t="s">
        <v>535</v>
      </c>
      <c r="E2801" s="2" t="s">
        <v>4647</v>
      </c>
      <c r="F2801" s="2" t="s">
        <v>540</v>
      </c>
      <c r="G2801" t="s">
        <v>4490</v>
      </c>
      <c r="H2801" s="5" t="str">
        <f t="shared" si="86"/>
        <v>https://videplast.com.br/consulta-imobilizado?id=32002374&amp;nome=COMPUTADOR%20DELL%20OPTIPLEX/VASTRO%20I3%204GB%20SSD256%20W10P</v>
      </c>
      <c r="I2801" t="e">
        <f t="shared" ca="1" si="87"/>
        <v>#NAME?</v>
      </c>
    </row>
    <row r="2802" spans="1:9" x14ac:dyDescent="0.25">
      <c r="A2802" s="2" t="s">
        <v>4648</v>
      </c>
      <c r="B2802" s="2" t="s">
        <v>10</v>
      </c>
      <c r="C2802" s="3">
        <v>44700</v>
      </c>
      <c r="D2802" t="s">
        <v>535</v>
      </c>
      <c r="E2802" s="2" t="s">
        <v>4649</v>
      </c>
      <c r="F2802" s="2" t="s">
        <v>12</v>
      </c>
      <c r="G2802" t="s">
        <v>4490</v>
      </c>
      <c r="H2802" s="5" t="str">
        <f t="shared" si="86"/>
        <v>https://videplast.com.br/consulta-imobilizado?id=32002375&amp;nome=COMPUTADOR%20DELL%20OPTIPLEX/VASTRO%20I3%204GB%20SSD256%20W10P</v>
      </c>
      <c r="I2802" t="e">
        <f t="shared" ca="1" si="87"/>
        <v>#NAME?</v>
      </c>
    </row>
    <row r="2803" spans="1:9" x14ac:dyDescent="0.25">
      <c r="A2803" s="2" t="s">
        <v>4650</v>
      </c>
      <c r="B2803" s="2" t="s">
        <v>10</v>
      </c>
      <c r="C2803" s="3">
        <v>44799</v>
      </c>
      <c r="D2803" t="s">
        <v>2341</v>
      </c>
      <c r="E2803" s="2" t="s">
        <v>4651</v>
      </c>
      <c r="F2803" s="2" t="s">
        <v>4652</v>
      </c>
      <c r="G2803" t="s">
        <v>4490</v>
      </c>
      <c r="H2803" t="str">
        <f t="shared" si="86"/>
        <v>https://videplast.com.br/consulta-imobilizado?id=32002504&amp;nome=MONITOR%20DELL%2021.5"%20P2222H</v>
      </c>
      <c r="I2803" t="e">
        <f t="shared" ca="1" si="87"/>
        <v>#NAME?</v>
      </c>
    </row>
    <row r="2804" spans="1:9" x14ac:dyDescent="0.25">
      <c r="A2804" s="2" t="s">
        <v>4653</v>
      </c>
      <c r="B2804" s="2" t="s">
        <v>10</v>
      </c>
      <c r="C2804" s="3">
        <v>44859</v>
      </c>
      <c r="D2804" t="s">
        <v>557</v>
      </c>
      <c r="E2804" s="2" t="s">
        <v>4654</v>
      </c>
      <c r="F2804" s="2" t="s">
        <v>12</v>
      </c>
      <c r="G2804" t="s">
        <v>4490</v>
      </c>
      <c r="H2804" t="str">
        <f t="shared" si="86"/>
        <v>https://videplast.com.br/consulta-imobilizado?id=32002546&amp;nome=NOBREAK%20APC%20SRV%201KVA%20RACK%20230V</v>
      </c>
      <c r="I2804" t="e">
        <f t="shared" ca="1" si="87"/>
        <v>#NAME?</v>
      </c>
    </row>
    <row r="2805" spans="1:9" x14ac:dyDescent="0.25">
      <c r="A2805" s="2" t="s">
        <v>4655</v>
      </c>
      <c r="B2805" s="2" t="s">
        <v>10</v>
      </c>
      <c r="C2805" s="3">
        <v>44869</v>
      </c>
      <c r="D2805" t="s">
        <v>2341</v>
      </c>
      <c r="E2805" s="2" t="s">
        <v>4656</v>
      </c>
      <c r="F2805" s="2" t="s">
        <v>4657</v>
      </c>
      <c r="G2805" t="s">
        <v>4490</v>
      </c>
      <c r="H2805" t="str">
        <f t="shared" si="86"/>
        <v>https://videplast.com.br/consulta-imobilizado?id=32002559&amp;nome=MONITOR%20DELL%2021.5"%20P2222H</v>
      </c>
      <c r="I2805" t="e">
        <f t="shared" ca="1" si="87"/>
        <v>#NAME?</v>
      </c>
    </row>
    <row r="2806" spans="1:9" x14ac:dyDescent="0.25">
      <c r="A2806" s="2" t="s">
        <v>4658</v>
      </c>
      <c r="B2806" s="2" t="s">
        <v>10</v>
      </c>
      <c r="C2806" s="3">
        <v>44957</v>
      </c>
      <c r="D2806" t="s">
        <v>550</v>
      </c>
      <c r="E2806" s="2" t="s">
        <v>12</v>
      </c>
      <c r="F2806" s="2" t="s">
        <v>4659</v>
      </c>
      <c r="G2806" t="s">
        <v>4490</v>
      </c>
      <c r="H2806" t="str">
        <f t="shared" si="86"/>
        <v>https://videplast.com.br/consulta-imobilizado?id=32002611&amp;nome=MONITOR%20DELL%2021.5"%20P2219H</v>
      </c>
      <c r="I2806" t="e">
        <f t="shared" ca="1" si="87"/>
        <v>#NAME?</v>
      </c>
    </row>
    <row r="2807" spans="1:9" x14ac:dyDescent="0.25">
      <c r="A2807" s="2" t="s">
        <v>4660</v>
      </c>
      <c r="B2807" s="2" t="s">
        <v>10</v>
      </c>
      <c r="C2807" s="3">
        <v>45191</v>
      </c>
      <c r="D2807" t="s">
        <v>550</v>
      </c>
      <c r="E2807" s="2" t="s">
        <v>12</v>
      </c>
      <c r="F2807" s="2" t="s">
        <v>4661</v>
      </c>
      <c r="G2807" t="s">
        <v>4490</v>
      </c>
      <c r="H2807" t="str">
        <f t="shared" si="86"/>
        <v>https://videplast.com.br/consulta-imobilizado?id=32002813&amp;nome=MONITOR%20DELL%2021.5"%20P2219H</v>
      </c>
      <c r="I2807" t="e">
        <f t="shared" ca="1" si="87"/>
        <v>#NAME?</v>
      </c>
    </row>
    <row r="2808" spans="1:9" x14ac:dyDescent="0.25">
      <c r="A2808" s="2" t="s">
        <v>4662</v>
      </c>
      <c r="B2808" s="2" t="s">
        <v>10</v>
      </c>
      <c r="C2808" s="3">
        <v>45516</v>
      </c>
      <c r="D2808" t="s">
        <v>4618</v>
      </c>
      <c r="E2808" s="2" t="s">
        <v>12</v>
      </c>
      <c r="F2808" s="2" t="s">
        <v>12</v>
      </c>
      <c r="G2808" t="s">
        <v>4490</v>
      </c>
      <c r="H2808" s="5" t="str">
        <f t="shared" si="86"/>
        <v>https://videplast.com.br/consulta-imobilizado?id=32003090&amp;nome=COMPUTADOR%20COMPLETO</v>
      </c>
      <c r="I2808" t="e">
        <f t="shared" ca="1" si="87"/>
        <v>#NAME?</v>
      </c>
    </row>
    <row r="2809" spans="1:9" x14ac:dyDescent="0.25">
      <c r="A2809" s="2" t="s">
        <v>4663</v>
      </c>
      <c r="B2809" s="2" t="s">
        <v>10</v>
      </c>
      <c r="C2809" s="3">
        <v>45719</v>
      </c>
      <c r="D2809" t="s">
        <v>2989</v>
      </c>
      <c r="E2809" s="2" t="s">
        <v>12</v>
      </c>
      <c r="F2809" s="2" t="s">
        <v>4664</v>
      </c>
      <c r="G2809" t="s">
        <v>4490</v>
      </c>
      <c r="H2809" s="5" t="str">
        <f t="shared" si="86"/>
        <v>https://videplast.com.br/consulta-imobilizado?id=32003163&amp;nome=COMPUTADOR%20DELL%20OPTIPLEX/VOSTRO%20I3%204GB%20HD%20SSD256GB</v>
      </c>
      <c r="I2809" t="e">
        <f t="shared" ca="1" si="87"/>
        <v>#NAME?</v>
      </c>
    </row>
    <row r="2810" spans="1:9" x14ac:dyDescent="0.25">
      <c r="A2810" s="2" t="s">
        <v>4665</v>
      </c>
      <c r="B2810" s="2" t="s">
        <v>10</v>
      </c>
      <c r="C2810" s="3">
        <v>45737</v>
      </c>
      <c r="D2810" t="s">
        <v>550</v>
      </c>
      <c r="E2810" s="2" t="s">
        <v>12</v>
      </c>
      <c r="F2810" s="2" t="s">
        <v>12</v>
      </c>
      <c r="G2810" t="s">
        <v>4490</v>
      </c>
      <c r="H2810" t="str">
        <f t="shared" si="86"/>
        <v>https://videplast.com.br/consulta-imobilizado?id=32003206&amp;nome=MONITOR%20DELL%2021.5"%20P2219H</v>
      </c>
      <c r="I2810" t="e">
        <f t="shared" ca="1" si="87"/>
        <v>#NAME?</v>
      </c>
    </row>
    <row r="2811" spans="1:9" x14ac:dyDescent="0.25">
      <c r="A2811" s="2" t="s">
        <v>4666</v>
      </c>
      <c r="B2811" s="2" t="s">
        <v>10</v>
      </c>
      <c r="C2811" s="3">
        <v>45443</v>
      </c>
      <c r="D2811" t="s">
        <v>4667</v>
      </c>
      <c r="E2811" s="2" t="s">
        <v>12</v>
      </c>
      <c r="F2811" s="2" t="s">
        <v>12</v>
      </c>
      <c r="G2811" t="s">
        <v>4490</v>
      </c>
      <c r="H2811" t="str">
        <f t="shared" si="86"/>
        <v>https://videplast.com.br/consulta-imobilizado?id=40000305&amp;nome=MAO%20DE%20BRA%20E%20MATERIAS%20P/TROCA%20DE%20TELHADO</v>
      </c>
      <c r="I2811" t="e">
        <f t="shared" ca="1" si="87"/>
        <v>#NAME?</v>
      </c>
    </row>
    <row r="2812" spans="1:9" x14ac:dyDescent="0.25">
      <c r="A2812" s="2" t="s">
        <v>4668</v>
      </c>
      <c r="B2812" s="2" t="s">
        <v>10</v>
      </c>
      <c r="C2812" s="3">
        <v>45596</v>
      </c>
      <c r="D2812" t="s">
        <v>4669</v>
      </c>
      <c r="E2812" s="2" t="s">
        <v>12</v>
      </c>
      <c r="F2812" s="2" t="s">
        <v>12</v>
      </c>
      <c r="G2812" t="s">
        <v>4490</v>
      </c>
      <c r="H2812" t="str">
        <f t="shared" si="86"/>
        <v>https://videplast.com.br/consulta-imobilizado?id=40000384&amp;nome=SERVICO%20LAPIDACAO%20DE%20CONCRETO%20EXPEDICAO</v>
      </c>
      <c r="I2812" t="e">
        <f t="shared" ca="1" si="87"/>
        <v>#NAME?</v>
      </c>
    </row>
    <row r="2813" spans="1:9" x14ac:dyDescent="0.25">
      <c r="A2813" s="2" t="s">
        <v>4670</v>
      </c>
      <c r="B2813" s="2" t="s">
        <v>10</v>
      </c>
      <c r="C2813" s="3">
        <v>45014</v>
      </c>
      <c r="D2813" t="s">
        <v>4671</v>
      </c>
      <c r="E2813" s="2" t="s">
        <v>4672</v>
      </c>
      <c r="F2813" s="2" t="s">
        <v>4673</v>
      </c>
      <c r="G2813" t="s">
        <v>4674</v>
      </c>
      <c r="H2813" t="str">
        <f t="shared" si="86"/>
        <v>https://videplast.com.br/consulta-imobilizado?id=30003843&amp;nome=AR%20CONDICIONADO%20INT/EXT%20FUJITSU%2012000%20BTU%20INVERTER</v>
      </c>
      <c r="I2813" t="e">
        <f t="shared" ca="1" si="87"/>
        <v>#NAME?</v>
      </c>
    </row>
    <row r="2814" spans="1:9" x14ac:dyDescent="0.25">
      <c r="A2814" s="2" t="s">
        <v>4675</v>
      </c>
      <c r="B2814" s="2" t="s">
        <v>10</v>
      </c>
      <c r="C2814" s="3">
        <v>45086</v>
      </c>
      <c r="D2814" t="s">
        <v>4676</v>
      </c>
      <c r="E2814" s="2" t="s">
        <v>4677</v>
      </c>
      <c r="F2814" s="2" t="s">
        <v>12</v>
      </c>
      <c r="G2814" t="s">
        <v>4674</v>
      </c>
      <c r="H2814" t="str">
        <f t="shared" si="86"/>
        <v>https://videplast.com.br/consulta-imobilizado?id=30003877&amp;nome=MESA%20DE%20ESCRITORIO%20TUBOLAR%20COM%202%20GAVETAS%20115X60</v>
      </c>
      <c r="I2814" t="e">
        <f t="shared" ca="1" si="87"/>
        <v>#NAME?</v>
      </c>
    </row>
    <row r="2815" spans="1:9" x14ac:dyDescent="0.25">
      <c r="A2815" s="2" t="s">
        <v>4678</v>
      </c>
      <c r="B2815" s="2" t="s">
        <v>10</v>
      </c>
      <c r="C2815" s="3">
        <v>45086</v>
      </c>
      <c r="D2815" t="s">
        <v>4676</v>
      </c>
      <c r="E2815" s="2" t="s">
        <v>4679</v>
      </c>
      <c r="F2815" s="2" t="s">
        <v>12</v>
      </c>
      <c r="G2815" t="s">
        <v>4674</v>
      </c>
      <c r="H2815" t="str">
        <f t="shared" si="86"/>
        <v>https://videplast.com.br/consulta-imobilizado?id=30003878&amp;nome=MESA%20DE%20ESCRITORIO%20TUBOLAR%20COM%202%20GAVETAS%20115X60</v>
      </c>
      <c r="I2815" t="e">
        <f t="shared" ca="1" si="87"/>
        <v>#NAME?</v>
      </c>
    </row>
    <row r="2816" spans="1:9" x14ac:dyDescent="0.25">
      <c r="A2816" s="2" t="s">
        <v>4680</v>
      </c>
      <c r="B2816" s="2" t="s">
        <v>10</v>
      </c>
      <c r="C2816" s="3">
        <v>45086</v>
      </c>
      <c r="D2816" t="s">
        <v>4676</v>
      </c>
      <c r="E2816" s="2" t="s">
        <v>4681</v>
      </c>
      <c r="F2816" s="2" t="s">
        <v>12</v>
      </c>
      <c r="G2816" t="s">
        <v>4674</v>
      </c>
      <c r="H2816" t="str">
        <f t="shared" si="86"/>
        <v>https://videplast.com.br/consulta-imobilizado?id=30003879&amp;nome=MESA%20DE%20ESCRITORIO%20TUBOLAR%20COM%202%20GAVETAS%20115X60</v>
      </c>
      <c r="I2816" t="e">
        <f t="shared" ca="1" si="87"/>
        <v>#NAME?</v>
      </c>
    </row>
    <row r="2817" spans="1:9" x14ac:dyDescent="0.25">
      <c r="A2817" s="2" t="s">
        <v>4682</v>
      </c>
      <c r="B2817" s="2" t="s">
        <v>10</v>
      </c>
      <c r="C2817" s="3">
        <v>45086</v>
      </c>
      <c r="D2817" t="s">
        <v>4676</v>
      </c>
      <c r="E2817" s="2" t="s">
        <v>4683</v>
      </c>
      <c r="F2817" s="2" t="s">
        <v>12</v>
      </c>
      <c r="G2817" t="s">
        <v>4674</v>
      </c>
      <c r="H2817" t="str">
        <f t="shared" si="86"/>
        <v>https://videplast.com.br/consulta-imobilizado?id=30003880&amp;nome=MESA%20DE%20ESCRITORIO%20TUBOLAR%20COM%202%20GAVETAS%20115X60</v>
      </c>
      <c r="I2817" t="e">
        <f t="shared" ca="1" si="87"/>
        <v>#NAME?</v>
      </c>
    </row>
    <row r="2818" spans="1:9" x14ac:dyDescent="0.25">
      <c r="A2818" s="2" t="s">
        <v>4684</v>
      </c>
      <c r="B2818" s="2" t="s">
        <v>10</v>
      </c>
      <c r="C2818" s="3">
        <v>45086</v>
      </c>
      <c r="D2818" t="s">
        <v>4676</v>
      </c>
      <c r="E2818" s="2" t="s">
        <v>4685</v>
      </c>
      <c r="F2818" s="2" t="s">
        <v>12</v>
      </c>
      <c r="G2818" t="s">
        <v>4674</v>
      </c>
      <c r="H2818" t="str">
        <f t="shared" ref="H2818:H2881" si="88" xml:space="preserve"> "https://videplast.com.br/consulta-imobilizado?id=" &amp; A2818 &amp; "&amp;nome=" &amp; SUBSTITUTE(D2818, " ", "%20")</f>
        <v>https://videplast.com.br/consulta-imobilizado?id=30003881&amp;nome=MESA%20DE%20ESCRITORIO%20TUBOLAR%20COM%202%20GAVETAS%20115X60</v>
      </c>
      <c r="I2818" t="e">
        <f t="shared" ref="I2818:I2881" ca="1" si="89">_xlfn.IMAGE("https://chart.googleapis.com/chart?chs=150x150&amp;cht=qr&amp;chl=" &amp; H2818)</f>
        <v>#NAME?</v>
      </c>
    </row>
    <row r="2819" spans="1:9" x14ac:dyDescent="0.25">
      <c r="A2819" s="2" t="s">
        <v>4686</v>
      </c>
      <c r="B2819" s="2" t="s">
        <v>10</v>
      </c>
      <c r="C2819" s="3">
        <v>45147</v>
      </c>
      <c r="D2819" t="s">
        <v>4687</v>
      </c>
      <c r="E2819" s="2" t="s">
        <v>4688</v>
      </c>
      <c r="F2819" s="2" t="s">
        <v>12</v>
      </c>
      <c r="G2819" t="s">
        <v>4674</v>
      </c>
      <c r="H2819" t="str">
        <f t="shared" si="88"/>
        <v>https://videplast.com.br/consulta-imobilizado?id=30003902&amp;nome=CADEIRA%20SECRETARIA%20EXECUTIVA%20BACK%20SISTEN%20GIRATORIA</v>
      </c>
      <c r="I2819" t="e">
        <f t="shared" ca="1" si="89"/>
        <v>#NAME?</v>
      </c>
    </row>
    <row r="2820" spans="1:9" x14ac:dyDescent="0.25">
      <c r="A2820" s="2" t="s">
        <v>4689</v>
      </c>
      <c r="B2820" s="2" t="s">
        <v>10</v>
      </c>
      <c r="C2820" s="3">
        <v>45147</v>
      </c>
      <c r="D2820" t="s">
        <v>4687</v>
      </c>
      <c r="E2820" s="2" t="s">
        <v>4690</v>
      </c>
      <c r="F2820" s="2" t="s">
        <v>12</v>
      </c>
      <c r="G2820" t="s">
        <v>4674</v>
      </c>
      <c r="H2820" t="str">
        <f t="shared" si="88"/>
        <v>https://videplast.com.br/consulta-imobilizado?id=30003903&amp;nome=CADEIRA%20SECRETARIA%20EXECUTIVA%20BACK%20SISTEN%20GIRATORIA</v>
      </c>
      <c r="I2820" t="e">
        <f t="shared" ca="1" si="89"/>
        <v>#NAME?</v>
      </c>
    </row>
    <row r="2821" spans="1:9" x14ac:dyDescent="0.25">
      <c r="A2821" s="2" t="s">
        <v>4691</v>
      </c>
      <c r="B2821" s="2" t="s">
        <v>10</v>
      </c>
      <c r="C2821" s="3">
        <v>45147</v>
      </c>
      <c r="D2821" t="s">
        <v>4687</v>
      </c>
      <c r="E2821" s="2" t="s">
        <v>4692</v>
      </c>
      <c r="F2821" s="2" t="s">
        <v>12</v>
      </c>
      <c r="G2821" t="s">
        <v>4674</v>
      </c>
      <c r="H2821" t="str">
        <f t="shared" si="88"/>
        <v>https://videplast.com.br/consulta-imobilizado?id=30003904&amp;nome=CADEIRA%20SECRETARIA%20EXECUTIVA%20BACK%20SISTEN%20GIRATORIA</v>
      </c>
      <c r="I2821" t="e">
        <f t="shared" ca="1" si="89"/>
        <v>#NAME?</v>
      </c>
    </row>
    <row r="2822" spans="1:9" x14ac:dyDescent="0.25">
      <c r="A2822" s="2" t="s">
        <v>4693</v>
      </c>
      <c r="B2822" s="2" t="s">
        <v>10</v>
      </c>
      <c r="C2822" s="3">
        <v>45147</v>
      </c>
      <c r="D2822" t="s">
        <v>4687</v>
      </c>
      <c r="E2822" s="2" t="s">
        <v>4694</v>
      </c>
      <c r="F2822" s="2" t="s">
        <v>12</v>
      </c>
      <c r="G2822" t="s">
        <v>4674</v>
      </c>
      <c r="H2822" t="str">
        <f t="shared" si="88"/>
        <v>https://videplast.com.br/consulta-imobilizado?id=30003905&amp;nome=CADEIRA%20SECRETARIA%20EXECUTIVA%20BACK%20SISTEN%20GIRATORIA</v>
      </c>
      <c r="I2822" t="e">
        <f t="shared" ca="1" si="89"/>
        <v>#NAME?</v>
      </c>
    </row>
    <row r="2823" spans="1:9" x14ac:dyDescent="0.25">
      <c r="A2823" s="2" t="s">
        <v>4695</v>
      </c>
      <c r="B2823" s="2" t="s">
        <v>10</v>
      </c>
      <c r="C2823" s="3">
        <v>45147</v>
      </c>
      <c r="D2823" t="s">
        <v>4687</v>
      </c>
      <c r="E2823" s="2" t="s">
        <v>4696</v>
      </c>
      <c r="F2823" s="2" t="s">
        <v>12</v>
      </c>
      <c r="G2823" t="s">
        <v>4674</v>
      </c>
      <c r="H2823" t="str">
        <f t="shared" si="88"/>
        <v>https://videplast.com.br/consulta-imobilizado?id=30003906&amp;nome=CADEIRA%20SECRETARIA%20EXECUTIVA%20BACK%20SISTEN%20GIRATORIA</v>
      </c>
      <c r="I2823" t="e">
        <f t="shared" ca="1" si="89"/>
        <v>#NAME?</v>
      </c>
    </row>
    <row r="2824" spans="1:9" x14ac:dyDescent="0.25">
      <c r="A2824" s="2" t="s">
        <v>4697</v>
      </c>
      <c r="B2824" s="2" t="s">
        <v>10</v>
      </c>
      <c r="C2824" s="3">
        <v>44326</v>
      </c>
      <c r="D2824" t="s">
        <v>4698</v>
      </c>
      <c r="E2824" s="2" t="s">
        <v>12</v>
      </c>
      <c r="F2824" s="2" t="s">
        <v>4699</v>
      </c>
      <c r="G2824" t="s">
        <v>4674</v>
      </c>
      <c r="H2824" t="str">
        <f t="shared" si="88"/>
        <v>https://videplast.com.br/consulta-imobilizado?id=32002117&amp;nome=NOTEBOOK%20DELL%2014%20CORE%20I3%204GB%20SSD120GB%20W10P</v>
      </c>
      <c r="I2824" t="e">
        <f t="shared" ca="1" si="89"/>
        <v>#NAME?</v>
      </c>
    </row>
    <row r="2825" spans="1:9" x14ac:dyDescent="0.25">
      <c r="A2825" s="2" t="s">
        <v>4697</v>
      </c>
      <c r="B2825" s="2" t="s">
        <v>26</v>
      </c>
      <c r="C2825" s="3">
        <v>44435</v>
      </c>
      <c r="D2825" t="s">
        <v>579</v>
      </c>
      <c r="E2825" s="2" t="s">
        <v>12</v>
      </c>
      <c r="F2825" s="2" t="s">
        <v>12</v>
      </c>
      <c r="G2825" t="s">
        <v>4674</v>
      </c>
      <c r="H2825" t="str">
        <f t="shared" si="88"/>
        <v>https://videplast.com.br/consulta-imobilizado?id=32002117&amp;nome=SUPORTE%20TECNICO%20EM%20INFORMATICA</v>
      </c>
      <c r="I2825" t="e">
        <f t="shared" ca="1" si="89"/>
        <v>#NAME?</v>
      </c>
    </row>
    <row r="2826" spans="1:9" x14ac:dyDescent="0.25">
      <c r="A2826" s="2" t="s">
        <v>4700</v>
      </c>
      <c r="B2826" s="2" t="s">
        <v>10</v>
      </c>
      <c r="C2826" s="3">
        <v>45012</v>
      </c>
      <c r="D2826" t="s">
        <v>4701</v>
      </c>
      <c r="E2826" s="2" t="s">
        <v>12</v>
      </c>
      <c r="F2826" s="2" t="s">
        <v>4702</v>
      </c>
      <c r="G2826" t="s">
        <v>4674</v>
      </c>
      <c r="H2826" t="str">
        <f t="shared" si="88"/>
        <v>https://videplast.com.br/consulta-imobilizado?id=32002658&amp;nome=NOTEBOOK%20DELL%2015,6"%20CORE%20I5%204GB%20MEMORIA%201TB</v>
      </c>
      <c r="I2826" t="e">
        <f t="shared" ca="1" si="89"/>
        <v>#NAME?</v>
      </c>
    </row>
    <row r="2827" spans="1:9" x14ac:dyDescent="0.25">
      <c r="A2827" s="2" t="s">
        <v>4703</v>
      </c>
      <c r="B2827" s="2" t="s">
        <v>10</v>
      </c>
      <c r="C2827" s="3">
        <v>45040</v>
      </c>
      <c r="D2827" t="s">
        <v>4704</v>
      </c>
      <c r="E2827" s="2" t="s">
        <v>12</v>
      </c>
      <c r="F2827" s="2" t="s">
        <v>4705</v>
      </c>
      <c r="G2827" t="s">
        <v>4674</v>
      </c>
      <c r="H2827" s="5" t="str">
        <f t="shared" si="88"/>
        <v>https://videplast.com.br/consulta-imobilizado?id=32002669&amp;nome=COMPUTADOR%20DELL%20OPTIPLEX/VOSTRO%20I3%204GB%20SSD%20256GB</v>
      </c>
      <c r="I2827" t="e">
        <f t="shared" ca="1" si="89"/>
        <v>#NAME?</v>
      </c>
    </row>
    <row r="2828" spans="1:9" x14ac:dyDescent="0.25">
      <c r="A2828" s="2" t="s">
        <v>4706</v>
      </c>
      <c r="B2828" s="2" t="s">
        <v>10</v>
      </c>
      <c r="C2828" s="3">
        <v>45063</v>
      </c>
      <c r="D2828" t="s">
        <v>4707</v>
      </c>
      <c r="E2828" s="2" t="s">
        <v>12</v>
      </c>
      <c r="F2828" s="2" t="s">
        <v>12</v>
      </c>
      <c r="G2828" t="s">
        <v>4674</v>
      </c>
      <c r="H2828" t="str">
        <f t="shared" si="88"/>
        <v>https://videplast.com.br/consulta-imobilizado?id=32002722&amp;nome=MONITOR%20LED%2020"%20DELL</v>
      </c>
      <c r="I2828" t="e">
        <f t="shared" ca="1" si="89"/>
        <v>#NAME?</v>
      </c>
    </row>
    <row r="2829" spans="1:9" x14ac:dyDescent="0.25">
      <c r="A2829" s="2" t="s">
        <v>4708</v>
      </c>
      <c r="B2829" s="2" t="s">
        <v>10</v>
      </c>
      <c r="C2829" s="3">
        <v>45687</v>
      </c>
      <c r="D2829" t="s">
        <v>2989</v>
      </c>
      <c r="E2829" s="2" t="s">
        <v>12</v>
      </c>
      <c r="F2829" s="2" t="s">
        <v>4709</v>
      </c>
      <c r="G2829" t="s">
        <v>4674</v>
      </c>
      <c r="H2829" s="5" t="str">
        <f t="shared" si="88"/>
        <v>https://videplast.com.br/consulta-imobilizado?id=32003161&amp;nome=COMPUTADOR%20DELL%20OPTIPLEX/VOSTRO%20I3%204GB%20HD%20SSD256GB</v>
      </c>
      <c r="I2829" t="e">
        <f t="shared" ca="1" si="89"/>
        <v>#NAME?</v>
      </c>
    </row>
    <row r="2830" spans="1:9" x14ac:dyDescent="0.25">
      <c r="A2830" s="2" t="s">
        <v>4710</v>
      </c>
      <c r="B2830" s="2" t="s">
        <v>10</v>
      </c>
      <c r="C2830" s="3">
        <v>45686</v>
      </c>
      <c r="D2830" t="s">
        <v>550</v>
      </c>
      <c r="E2830" s="2" t="s">
        <v>12</v>
      </c>
      <c r="F2830" s="2" t="s">
        <v>4711</v>
      </c>
      <c r="G2830" t="s">
        <v>4674</v>
      </c>
      <c r="H2830" t="str">
        <f t="shared" si="88"/>
        <v>https://videplast.com.br/consulta-imobilizado?id=32003162&amp;nome=MONITOR%20DELL%2021.5"%20P2219H</v>
      </c>
      <c r="I2830" t="e">
        <f t="shared" ca="1" si="89"/>
        <v>#NAME?</v>
      </c>
    </row>
    <row r="2831" spans="1:9" x14ac:dyDescent="0.25">
      <c r="A2831" s="2" t="s">
        <v>4712</v>
      </c>
      <c r="B2831" s="2" t="s">
        <v>10</v>
      </c>
      <c r="C2831" s="3">
        <v>38472</v>
      </c>
      <c r="D2831" t="s">
        <v>4713</v>
      </c>
      <c r="E2831" s="2" t="s">
        <v>12</v>
      </c>
      <c r="F2831" s="2" t="s">
        <v>12</v>
      </c>
      <c r="G2831" t="s">
        <v>4714</v>
      </c>
      <c r="H2831" t="str">
        <f t="shared" si="88"/>
        <v>https://videplast.com.br/consulta-imobilizado?id=30000193&amp;nome=ARQUIVO%20DE%20ACO%20COM%2004%20GAVETAS</v>
      </c>
      <c r="I2831" t="e">
        <f t="shared" ca="1" si="89"/>
        <v>#NAME?</v>
      </c>
    </row>
    <row r="2832" spans="1:9" x14ac:dyDescent="0.25">
      <c r="A2832" s="2" t="s">
        <v>4715</v>
      </c>
      <c r="B2832" s="2" t="s">
        <v>10</v>
      </c>
      <c r="C2832" s="3">
        <v>43370</v>
      </c>
      <c r="D2832" t="s">
        <v>4716</v>
      </c>
      <c r="E2832" s="2" t="s">
        <v>12</v>
      </c>
      <c r="F2832" s="2" t="s">
        <v>12</v>
      </c>
      <c r="G2832" t="s">
        <v>4714</v>
      </c>
      <c r="H2832" t="str">
        <f t="shared" si="88"/>
        <v>https://videplast.com.br/consulta-imobilizado?id=31000139&amp;nome=CHEVROLET%20PRISMA%201.4%20LT%20SEDAN%204%20PORTAS%20BRANCO</v>
      </c>
      <c r="I2832" t="e">
        <f t="shared" ca="1" si="89"/>
        <v>#NAME?</v>
      </c>
    </row>
    <row r="2833" spans="1:9" x14ac:dyDescent="0.25">
      <c r="A2833" s="2" t="s">
        <v>4717</v>
      </c>
      <c r="B2833" s="2" t="s">
        <v>10</v>
      </c>
      <c r="C2833" s="3">
        <v>41152</v>
      </c>
      <c r="D2833" t="s">
        <v>4718</v>
      </c>
      <c r="E2833" s="2" t="s">
        <v>12</v>
      </c>
      <c r="F2833" s="2" t="s">
        <v>12</v>
      </c>
      <c r="G2833" t="s">
        <v>4714</v>
      </c>
      <c r="H2833" s="5" t="str">
        <f t="shared" si="88"/>
        <v>https://videplast.com.br/consulta-imobilizado?id=32000084&amp;nome=COMPUTADOR%20ULTRABOOK%20SAMSUNG%20530U3B-AD1</v>
      </c>
      <c r="I2833" t="e">
        <f t="shared" ca="1" si="89"/>
        <v>#NAME?</v>
      </c>
    </row>
    <row r="2834" spans="1:9" x14ac:dyDescent="0.25">
      <c r="A2834" s="2" t="s">
        <v>4719</v>
      </c>
      <c r="B2834" s="2" t="s">
        <v>10</v>
      </c>
      <c r="C2834" s="3">
        <v>38553</v>
      </c>
      <c r="D2834" t="s">
        <v>494</v>
      </c>
      <c r="E2834" s="2" t="s">
        <v>12</v>
      </c>
      <c r="F2834" s="2" t="s">
        <v>12</v>
      </c>
      <c r="G2834" t="s">
        <v>4714</v>
      </c>
      <c r="H2834" s="5" t="str">
        <f t="shared" si="88"/>
        <v>https://videplast.com.br/consulta-imobilizado?id=32000139&amp;nome=COMPUTADOR%20PC%20NEO%20CELERON</v>
      </c>
      <c r="I2834" t="e">
        <f t="shared" ca="1" si="89"/>
        <v>#NAME?</v>
      </c>
    </row>
    <row r="2835" spans="1:9" x14ac:dyDescent="0.25">
      <c r="A2835" s="2" t="s">
        <v>4720</v>
      </c>
      <c r="B2835" s="2" t="s">
        <v>10</v>
      </c>
      <c r="C2835" s="3">
        <v>39470</v>
      </c>
      <c r="D2835" t="s">
        <v>4721</v>
      </c>
      <c r="E2835" s="2" t="s">
        <v>12</v>
      </c>
      <c r="F2835" s="2" t="s">
        <v>12</v>
      </c>
      <c r="G2835" t="s">
        <v>4722</v>
      </c>
      <c r="H2835" s="5" t="str">
        <f t="shared" si="88"/>
        <v>https://videplast.com.br/consulta-imobilizado?id=32000175&amp;nome=MICROCOMPUTADOR%20INTEL%20DUAL%20CORE%201.6%20GHZ%201GB</v>
      </c>
      <c r="I2835" t="e">
        <f t="shared" ca="1" si="89"/>
        <v>#NAME?</v>
      </c>
    </row>
    <row r="2836" spans="1:9" x14ac:dyDescent="0.25">
      <c r="A2836" s="2" t="s">
        <v>4723</v>
      </c>
      <c r="B2836" s="2" t="s">
        <v>10</v>
      </c>
      <c r="C2836" s="3">
        <v>39507</v>
      </c>
      <c r="D2836" t="s">
        <v>3439</v>
      </c>
      <c r="E2836" s="2" t="s">
        <v>12</v>
      </c>
      <c r="F2836" s="2" t="s">
        <v>12</v>
      </c>
      <c r="G2836" t="s">
        <v>4722</v>
      </c>
      <c r="H2836" t="str">
        <f t="shared" si="88"/>
        <v>https://videplast.com.br/consulta-imobilizado?id=32000178&amp;nome=NOTEBOOK%20ACER%203050</v>
      </c>
      <c r="I2836" t="e">
        <f t="shared" ca="1" si="89"/>
        <v>#NAME?</v>
      </c>
    </row>
    <row r="2837" spans="1:9" x14ac:dyDescent="0.25">
      <c r="A2837" s="2" t="s">
        <v>4724</v>
      </c>
      <c r="B2837" s="2" t="s">
        <v>10</v>
      </c>
      <c r="C2837" s="3">
        <v>44665</v>
      </c>
      <c r="D2837" t="s">
        <v>4725</v>
      </c>
      <c r="E2837" s="2" t="s">
        <v>12</v>
      </c>
      <c r="F2837" s="2" t="s">
        <v>12</v>
      </c>
      <c r="G2837" t="s">
        <v>4726</v>
      </c>
      <c r="H2837" t="str">
        <f t="shared" si="88"/>
        <v>https://videplast.com.br/consulta-imobilizado?id=31000262&amp;nome=CHEVROLET%20ONIX%20PLUS%20AT%20TURBO%20116%20CV</v>
      </c>
      <c r="I2837" t="e">
        <f t="shared" ca="1" si="89"/>
        <v>#NAME?</v>
      </c>
    </row>
    <row r="2838" spans="1:9" x14ac:dyDescent="0.25">
      <c r="A2838" s="2" t="s">
        <v>4727</v>
      </c>
      <c r="B2838" s="2" t="s">
        <v>10</v>
      </c>
      <c r="C2838" s="3">
        <v>42608</v>
      </c>
      <c r="D2838" t="s">
        <v>4728</v>
      </c>
      <c r="E2838" s="2" t="s">
        <v>12</v>
      </c>
      <c r="F2838" s="2" t="s">
        <v>12</v>
      </c>
      <c r="G2838" t="s">
        <v>4726</v>
      </c>
      <c r="H2838" s="5" t="str">
        <f t="shared" si="88"/>
        <v>https://videplast.com.br/consulta-imobilizado?id=32000963&amp;nome=COMPUTADOR%20DELL%20OPTIPLEX%203020</v>
      </c>
      <c r="I2838" t="e">
        <f t="shared" ca="1" si="89"/>
        <v>#NAME?</v>
      </c>
    </row>
    <row r="2839" spans="1:9" x14ac:dyDescent="0.25">
      <c r="A2839" s="2" t="s">
        <v>4729</v>
      </c>
      <c r="B2839" s="2" t="s">
        <v>10</v>
      </c>
      <c r="C2839" s="3">
        <v>44112</v>
      </c>
      <c r="D2839" t="s">
        <v>4730</v>
      </c>
      <c r="E2839" s="2" t="s">
        <v>12</v>
      </c>
      <c r="F2839" s="2" t="s">
        <v>4731</v>
      </c>
      <c r="G2839" t="s">
        <v>4726</v>
      </c>
      <c r="H2839" s="5" t="str">
        <f t="shared" si="88"/>
        <v>https://videplast.com.br/consulta-imobilizado?id=32001988&amp;nome=COMPUTADOR%20DELL%20VOSTRO%20I3%204GB%20SSD%20120GB%20W10P</v>
      </c>
      <c r="I2839" t="e">
        <f t="shared" ca="1" si="89"/>
        <v>#NAME?</v>
      </c>
    </row>
    <row r="2840" spans="1:9" x14ac:dyDescent="0.25">
      <c r="A2840" s="2" t="s">
        <v>4732</v>
      </c>
      <c r="B2840" s="2" t="s">
        <v>10</v>
      </c>
      <c r="C2840" s="3">
        <v>44112</v>
      </c>
      <c r="D2840" t="s">
        <v>515</v>
      </c>
      <c r="E2840" s="2" t="s">
        <v>12</v>
      </c>
      <c r="F2840" s="2" t="s">
        <v>4733</v>
      </c>
      <c r="G2840" t="s">
        <v>4726</v>
      </c>
      <c r="H2840" t="str">
        <f t="shared" si="88"/>
        <v>https://videplast.com.br/consulta-imobilizado?id=32001991&amp;nome=MONITOR%20LED%2018,5"%20DELL%20E1916H</v>
      </c>
      <c r="I2840" t="e">
        <f t="shared" ca="1" si="89"/>
        <v>#NAME?</v>
      </c>
    </row>
    <row r="2841" spans="1:9" x14ac:dyDescent="0.25">
      <c r="A2841" s="2" t="s">
        <v>4734</v>
      </c>
      <c r="B2841" s="2" t="s">
        <v>10</v>
      </c>
      <c r="C2841" s="3">
        <v>43830</v>
      </c>
      <c r="D2841" t="s">
        <v>4735</v>
      </c>
      <c r="E2841" s="2" t="s">
        <v>12</v>
      </c>
      <c r="F2841" s="2" t="s">
        <v>12</v>
      </c>
      <c r="G2841" t="s">
        <v>4736</v>
      </c>
      <c r="H2841" t="str">
        <f t="shared" si="88"/>
        <v>https://videplast.com.br/consulta-imobilizado?id=12000062&amp;nome=PISTA%20ABASTECIMENTO%20DIESEL</v>
      </c>
      <c r="I2841" t="e">
        <f t="shared" ca="1" si="89"/>
        <v>#NAME?</v>
      </c>
    </row>
    <row r="2842" spans="1:9" x14ac:dyDescent="0.25">
      <c r="A2842" s="2" t="s">
        <v>4737</v>
      </c>
      <c r="B2842" s="2" t="s">
        <v>26</v>
      </c>
      <c r="C2842" s="3">
        <v>40512</v>
      </c>
      <c r="D2842" t="s">
        <v>4738</v>
      </c>
      <c r="E2842" s="2" t="s">
        <v>12</v>
      </c>
      <c r="F2842" s="2" t="s">
        <v>12</v>
      </c>
      <c r="G2842" t="s">
        <v>4736</v>
      </c>
      <c r="H2842" t="str">
        <f t="shared" si="88"/>
        <v>https://videplast.com.br/consulta-imobilizado?id=21000300&amp;nome=RASTREADORES%20JABURSAT%20DMR-200%20D%20SKYWARE%20C/</v>
      </c>
      <c r="I2842" t="e">
        <f t="shared" ca="1" si="89"/>
        <v>#NAME?</v>
      </c>
    </row>
    <row r="2843" spans="1:9" x14ac:dyDescent="0.25">
      <c r="A2843" s="2" t="s">
        <v>4739</v>
      </c>
      <c r="B2843" s="2" t="s">
        <v>10</v>
      </c>
      <c r="C2843" s="3">
        <v>41882</v>
      </c>
      <c r="D2843" t="s">
        <v>4740</v>
      </c>
      <c r="E2843" s="2" t="s">
        <v>12</v>
      </c>
      <c r="F2843" s="2" t="s">
        <v>12</v>
      </c>
      <c r="G2843" t="s">
        <v>4736</v>
      </c>
      <c r="H2843" t="str">
        <f t="shared" si="88"/>
        <v>https://videplast.com.br/consulta-imobilizado?id=21000665&amp;nome=KIT%20COMPLETO%20P/RASTREAMENTO</v>
      </c>
      <c r="I2843" t="e">
        <f t="shared" ca="1" si="89"/>
        <v>#NAME?</v>
      </c>
    </row>
    <row r="2844" spans="1:9" x14ac:dyDescent="0.25">
      <c r="A2844" s="2" t="s">
        <v>4739</v>
      </c>
      <c r="B2844" s="2" t="s">
        <v>26</v>
      </c>
      <c r="C2844" s="3">
        <v>41882</v>
      </c>
      <c r="D2844" t="s">
        <v>4740</v>
      </c>
      <c r="E2844" s="2" t="s">
        <v>12</v>
      </c>
      <c r="F2844" s="2" t="s">
        <v>12</v>
      </c>
      <c r="G2844" t="s">
        <v>4736</v>
      </c>
      <c r="H2844" t="str">
        <f t="shared" si="88"/>
        <v>https://videplast.com.br/consulta-imobilizado?id=21000665&amp;nome=KIT%20COMPLETO%20P/RASTREAMENTO</v>
      </c>
      <c r="I2844" t="e">
        <f t="shared" ca="1" si="89"/>
        <v>#NAME?</v>
      </c>
    </row>
    <row r="2845" spans="1:9" x14ac:dyDescent="0.25">
      <c r="A2845" s="2" t="s">
        <v>4739</v>
      </c>
      <c r="B2845" s="2" t="s">
        <v>21</v>
      </c>
      <c r="C2845" s="3">
        <v>41882</v>
      </c>
      <c r="D2845" t="s">
        <v>4740</v>
      </c>
      <c r="E2845" s="2" t="s">
        <v>12</v>
      </c>
      <c r="F2845" s="2" t="s">
        <v>12</v>
      </c>
      <c r="G2845" t="s">
        <v>4736</v>
      </c>
      <c r="H2845" t="str">
        <f t="shared" si="88"/>
        <v>https://videplast.com.br/consulta-imobilizado?id=21000665&amp;nome=KIT%20COMPLETO%20P/RASTREAMENTO</v>
      </c>
      <c r="I2845" t="e">
        <f t="shared" ca="1" si="89"/>
        <v>#NAME?</v>
      </c>
    </row>
    <row r="2846" spans="1:9" x14ac:dyDescent="0.25">
      <c r="A2846" s="2" t="s">
        <v>4741</v>
      </c>
      <c r="B2846" s="2" t="s">
        <v>10</v>
      </c>
      <c r="C2846" s="3">
        <v>41790</v>
      </c>
      <c r="D2846" t="s">
        <v>4742</v>
      </c>
      <c r="E2846" s="2" t="s">
        <v>12</v>
      </c>
      <c r="F2846" s="2" t="s">
        <v>12</v>
      </c>
      <c r="G2846" t="s">
        <v>4736</v>
      </c>
      <c r="H2846" t="str">
        <f t="shared" si="88"/>
        <v>https://videplast.com.br/consulta-imobilizado?id=31000003&amp;nome=CAMINHÃO%20MERCEDES%20BENZ%20ACELLO%201016</v>
      </c>
      <c r="I2846" t="e">
        <f t="shared" ca="1" si="89"/>
        <v>#NAME?</v>
      </c>
    </row>
    <row r="2847" spans="1:9" x14ac:dyDescent="0.25">
      <c r="A2847" s="2" t="s">
        <v>4741</v>
      </c>
      <c r="B2847" s="2" t="s">
        <v>26</v>
      </c>
      <c r="C2847" s="3">
        <v>41790</v>
      </c>
      <c r="D2847" t="s">
        <v>4743</v>
      </c>
      <c r="E2847" s="2" t="s">
        <v>12</v>
      </c>
      <c r="F2847" s="2" t="s">
        <v>12</v>
      </c>
      <c r="G2847" t="s">
        <v>4736</v>
      </c>
      <c r="H2847" t="str">
        <f t="shared" si="88"/>
        <v>https://videplast.com.br/consulta-imobilizado?id=31000003&amp;nome=TRANSPORTE%20DO%20CAMINHAO%20MERCEDES</v>
      </c>
      <c r="I2847" t="e">
        <f t="shared" ca="1" si="89"/>
        <v>#NAME?</v>
      </c>
    </row>
    <row r="2848" spans="1:9" x14ac:dyDescent="0.25">
      <c r="A2848" s="2" t="s">
        <v>4741</v>
      </c>
      <c r="B2848" s="2" t="s">
        <v>21</v>
      </c>
      <c r="C2848" s="3">
        <v>41790</v>
      </c>
      <c r="D2848" t="s">
        <v>4744</v>
      </c>
      <c r="E2848" s="2" t="s">
        <v>12</v>
      </c>
      <c r="F2848" s="2" t="s">
        <v>12</v>
      </c>
      <c r="G2848" t="s">
        <v>4736</v>
      </c>
      <c r="H2848" t="str">
        <f t="shared" si="88"/>
        <v>https://videplast.com.br/consulta-imobilizado?id=31000003&amp;nome=FURGAO%20ALUMINIO%20CARGA%20SECA%206,2X2,3X2,4</v>
      </c>
      <c r="I2848" t="e">
        <f t="shared" ca="1" si="89"/>
        <v>#NAME?</v>
      </c>
    </row>
    <row r="2849" spans="1:9" x14ac:dyDescent="0.25">
      <c r="A2849" s="2" t="s">
        <v>4745</v>
      </c>
      <c r="B2849" s="2" t="s">
        <v>10</v>
      </c>
      <c r="C2849" s="3">
        <v>41790</v>
      </c>
      <c r="D2849" t="s">
        <v>4742</v>
      </c>
      <c r="E2849" s="2" t="s">
        <v>12</v>
      </c>
      <c r="F2849" s="2" t="s">
        <v>12</v>
      </c>
      <c r="G2849" t="s">
        <v>4736</v>
      </c>
      <c r="H2849" t="str">
        <f t="shared" si="88"/>
        <v>https://videplast.com.br/consulta-imobilizado?id=31000004&amp;nome=CAMINHÃO%20MERCEDES%20BENZ%20ACELLO%201016</v>
      </c>
      <c r="I2849" t="e">
        <f t="shared" ca="1" si="89"/>
        <v>#NAME?</v>
      </c>
    </row>
    <row r="2850" spans="1:9" x14ac:dyDescent="0.25">
      <c r="A2850" s="2" t="s">
        <v>4745</v>
      </c>
      <c r="B2850" s="2" t="s">
        <v>26</v>
      </c>
      <c r="C2850" s="3">
        <v>41790</v>
      </c>
      <c r="D2850" t="s">
        <v>4743</v>
      </c>
      <c r="E2850" s="2" t="s">
        <v>12</v>
      </c>
      <c r="F2850" s="2" t="s">
        <v>12</v>
      </c>
      <c r="G2850" t="s">
        <v>4736</v>
      </c>
      <c r="H2850" t="str">
        <f t="shared" si="88"/>
        <v>https://videplast.com.br/consulta-imobilizado?id=31000004&amp;nome=TRANSPORTE%20DO%20CAMINHAO%20MERCEDES</v>
      </c>
      <c r="I2850" t="e">
        <f t="shared" ca="1" si="89"/>
        <v>#NAME?</v>
      </c>
    </row>
    <row r="2851" spans="1:9" x14ac:dyDescent="0.25">
      <c r="A2851" s="2" t="s">
        <v>4745</v>
      </c>
      <c r="B2851" s="2" t="s">
        <v>21</v>
      </c>
      <c r="C2851" s="3">
        <v>41790</v>
      </c>
      <c r="D2851" t="s">
        <v>4746</v>
      </c>
      <c r="E2851" s="2" t="s">
        <v>12</v>
      </c>
      <c r="F2851" s="2" t="s">
        <v>12</v>
      </c>
      <c r="G2851" t="s">
        <v>4736</v>
      </c>
      <c r="H2851" t="str">
        <f t="shared" si="88"/>
        <v>https://videplast.com.br/consulta-imobilizado?id=31000004&amp;nome=FURGAO%20ALUMINIO%20CARGA%20SECA%206,2X2,3X2,4%20ANO%202014</v>
      </c>
      <c r="I2851" t="e">
        <f t="shared" ca="1" si="89"/>
        <v>#NAME?</v>
      </c>
    </row>
    <row r="2852" spans="1:9" x14ac:dyDescent="0.25">
      <c r="A2852" s="2" t="s">
        <v>4747</v>
      </c>
      <c r="B2852" s="2" t="s">
        <v>10</v>
      </c>
      <c r="C2852" s="3">
        <v>38646</v>
      </c>
      <c r="D2852" t="s">
        <v>4748</v>
      </c>
      <c r="E2852" s="2" t="s">
        <v>12</v>
      </c>
      <c r="F2852" s="2" t="s">
        <v>12</v>
      </c>
      <c r="G2852" t="s">
        <v>4736</v>
      </c>
      <c r="H2852" t="str">
        <f t="shared" si="88"/>
        <v>https://videplast.com.br/consulta-imobilizado?id=31000008&amp;nome=CARROCERIA%20FURGAO%20LONADO</v>
      </c>
      <c r="I2852" t="e">
        <f t="shared" ca="1" si="89"/>
        <v>#NAME?</v>
      </c>
    </row>
    <row r="2853" spans="1:9" x14ac:dyDescent="0.25">
      <c r="A2853" s="2" t="s">
        <v>4749</v>
      </c>
      <c r="B2853" s="2" t="s">
        <v>10</v>
      </c>
      <c r="C2853" s="3">
        <v>38653</v>
      </c>
      <c r="D2853" t="s">
        <v>4750</v>
      </c>
      <c r="E2853" s="2" t="s">
        <v>12</v>
      </c>
      <c r="F2853" s="2" t="s">
        <v>12</v>
      </c>
      <c r="G2853" t="s">
        <v>4736</v>
      </c>
      <c r="H2853" t="str">
        <f t="shared" si="88"/>
        <v>https://videplast.com.br/consulta-imobilizado?id=31000009&amp;nome=KIT%20TERCEIRO%20EIXO%20BALANCIM</v>
      </c>
      <c r="I2853" t="e">
        <f t="shared" ca="1" si="89"/>
        <v>#NAME?</v>
      </c>
    </row>
    <row r="2854" spans="1:9" x14ac:dyDescent="0.25">
      <c r="A2854" s="2" t="s">
        <v>4751</v>
      </c>
      <c r="B2854" s="2" t="s">
        <v>10</v>
      </c>
      <c r="C2854" s="3">
        <v>38653</v>
      </c>
      <c r="D2854" t="s">
        <v>4752</v>
      </c>
      <c r="E2854" s="2" t="s">
        <v>12</v>
      </c>
      <c r="F2854" s="2" t="s">
        <v>12</v>
      </c>
      <c r="G2854" t="s">
        <v>4736</v>
      </c>
      <c r="H2854" t="str">
        <f t="shared" si="88"/>
        <v>https://videplast.com.br/consulta-imobilizado?id=31000010&amp;nome=KIT%20TERCEIRO%20EIXO%20MARCA%20RANDON</v>
      </c>
      <c r="I2854" t="e">
        <f t="shared" ca="1" si="89"/>
        <v>#NAME?</v>
      </c>
    </row>
    <row r="2855" spans="1:9" x14ac:dyDescent="0.25">
      <c r="A2855" s="2" t="s">
        <v>4753</v>
      </c>
      <c r="B2855" s="2" t="s">
        <v>10</v>
      </c>
      <c r="C2855" s="3">
        <v>38646</v>
      </c>
      <c r="D2855" t="s">
        <v>4754</v>
      </c>
      <c r="E2855" s="2" t="s">
        <v>12</v>
      </c>
      <c r="F2855" s="2" t="s">
        <v>12</v>
      </c>
      <c r="G2855" t="s">
        <v>4736</v>
      </c>
      <c r="H2855" t="str">
        <f t="shared" si="88"/>
        <v>https://videplast.com.br/consulta-imobilizado?id=31000011&amp;nome=CARROCERIA%20FURGAO%20SIDER%20RANDON</v>
      </c>
      <c r="I2855" t="e">
        <f t="shared" ca="1" si="89"/>
        <v>#NAME?</v>
      </c>
    </row>
    <row r="2856" spans="1:9" x14ac:dyDescent="0.25">
      <c r="A2856" s="2" t="s">
        <v>4755</v>
      </c>
      <c r="B2856" s="2" t="s">
        <v>10</v>
      </c>
      <c r="C2856" s="3">
        <v>39141</v>
      </c>
      <c r="D2856" t="s">
        <v>4756</v>
      </c>
      <c r="E2856" s="2" t="s">
        <v>12</v>
      </c>
      <c r="F2856" s="2" t="s">
        <v>12</v>
      </c>
      <c r="G2856" t="s">
        <v>4736</v>
      </c>
      <c r="H2856" t="str">
        <f t="shared" si="88"/>
        <v>https://videplast.com.br/consulta-imobilizado?id=31000012&amp;nome=KIT%20FURGAO%20ENLONADO%20PLANO%20CURTAIN%20SIDER</v>
      </c>
      <c r="I2856" t="e">
        <f t="shared" ca="1" si="89"/>
        <v>#NAME?</v>
      </c>
    </row>
    <row r="2857" spans="1:9" x14ac:dyDescent="0.25">
      <c r="A2857" s="2" t="s">
        <v>4757</v>
      </c>
      <c r="B2857" s="2" t="s">
        <v>10</v>
      </c>
      <c r="C2857" s="3">
        <v>39147</v>
      </c>
      <c r="D2857" t="s">
        <v>4758</v>
      </c>
      <c r="E2857" s="2" t="s">
        <v>12</v>
      </c>
      <c r="F2857" s="2" t="s">
        <v>12</v>
      </c>
      <c r="G2857" t="s">
        <v>4736</v>
      </c>
      <c r="H2857" t="str">
        <f t="shared" si="88"/>
        <v>https://videplast.com.br/consulta-imobilizado?id=31000013&amp;nome=MAO%20DE%20OBRA%20PARA%20MONTAGEM%20DE%20UMA%20CARROCERIA</v>
      </c>
      <c r="I2857" t="e">
        <f t="shared" ca="1" si="89"/>
        <v>#NAME?</v>
      </c>
    </row>
    <row r="2858" spans="1:9" x14ac:dyDescent="0.25">
      <c r="A2858" s="2" t="s">
        <v>4759</v>
      </c>
      <c r="B2858" s="2" t="s">
        <v>10</v>
      </c>
      <c r="C2858" s="3">
        <v>39150</v>
      </c>
      <c r="D2858" t="s">
        <v>4758</v>
      </c>
      <c r="E2858" s="2" t="s">
        <v>12</v>
      </c>
      <c r="F2858" s="2" t="s">
        <v>12</v>
      </c>
      <c r="G2858" t="s">
        <v>4736</v>
      </c>
      <c r="H2858" t="str">
        <f t="shared" si="88"/>
        <v>https://videplast.com.br/consulta-imobilizado?id=31000014&amp;nome=MAO%20DE%20OBRA%20PARA%20MONTAGEM%20DE%20UMA%20CARROCERIA</v>
      </c>
      <c r="I2858" t="e">
        <f t="shared" ca="1" si="89"/>
        <v>#NAME?</v>
      </c>
    </row>
    <row r="2859" spans="1:9" x14ac:dyDescent="0.25">
      <c r="A2859" s="2" t="s">
        <v>4760</v>
      </c>
      <c r="B2859" s="2" t="s">
        <v>10</v>
      </c>
      <c r="C2859" s="3">
        <v>39506</v>
      </c>
      <c r="D2859" t="s">
        <v>4761</v>
      </c>
      <c r="E2859" s="2" t="s">
        <v>12</v>
      </c>
      <c r="F2859" s="2" t="s">
        <v>12</v>
      </c>
      <c r="G2859" t="s">
        <v>4736</v>
      </c>
      <c r="H2859" t="str">
        <f t="shared" si="88"/>
        <v>https://videplast.com.br/consulta-imobilizado?id=31000015&amp;nome=KIT%20COMPLETO%20TERCEIRO%20EIXO%20DIANTEIRO</v>
      </c>
      <c r="I2859" t="e">
        <f t="shared" ca="1" si="89"/>
        <v>#NAME?</v>
      </c>
    </row>
    <row r="2860" spans="1:9" x14ac:dyDescent="0.25">
      <c r="A2860" s="2" t="s">
        <v>4762</v>
      </c>
      <c r="B2860" s="2" t="s">
        <v>10</v>
      </c>
      <c r="C2860" s="3">
        <v>39506</v>
      </c>
      <c r="D2860" t="s">
        <v>4761</v>
      </c>
      <c r="E2860" s="2" t="s">
        <v>12</v>
      </c>
      <c r="F2860" s="2" t="s">
        <v>12</v>
      </c>
      <c r="G2860" t="s">
        <v>4736</v>
      </c>
      <c r="H2860" t="str">
        <f t="shared" si="88"/>
        <v>https://videplast.com.br/consulta-imobilizado?id=31000016&amp;nome=KIT%20COMPLETO%20TERCEIRO%20EIXO%20DIANTEIRO</v>
      </c>
      <c r="I2860" t="e">
        <f t="shared" ca="1" si="89"/>
        <v>#NAME?</v>
      </c>
    </row>
    <row r="2861" spans="1:9" x14ac:dyDescent="0.25">
      <c r="A2861" s="2" t="s">
        <v>4763</v>
      </c>
      <c r="B2861" s="2" t="s">
        <v>10</v>
      </c>
      <c r="C2861" s="3">
        <v>39675</v>
      </c>
      <c r="D2861" t="s">
        <v>4764</v>
      </c>
      <c r="E2861" s="2" t="s">
        <v>12</v>
      </c>
      <c r="F2861" s="2" t="s">
        <v>12</v>
      </c>
      <c r="G2861" t="s">
        <v>4736</v>
      </c>
      <c r="H2861" t="str">
        <f t="shared" si="88"/>
        <v>https://videplast.com.br/consulta-imobilizado?id=31000017&amp;nome=CARROCERIA%20TIPO%20BAU%20FECHADA</v>
      </c>
      <c r="I2861" t="e">
        <f t="shared" ca="1" si="89"/>
        <v>#NAME?</v>
      </c>
    </row>
    <row r="2862" spans="1:9" x14ac:dyDescent="0.25">
      <c r="A2862" s="2" t="s">
        <v>4763</v>
      </c>
      <c r="B2862" s="2" t="s">
        <v>26</v>
      </c>
      <c r="C2862" s="3">
        <v>39675</v>
      </c>
      <c r="D2862" t="s">
        <v>4765</v>
      </c>
      <c r="E2862" s="2" t="s">
        <v>12</v>
      </c>
      <c r="F2862" s="2" t="s">
        <v>12</v>
      </c>
      <c r="G2862" t="s">
        <v>4736</v>
      </c>
      <c r="H2862" t="str">
        <f t="shared" si="88"/>
        <v>https://videplast.com.br/consulta-imobilizado?id=31000017&amp;nome=VLR%20DIFERENCIAL%20DE%20ALIQUOTA%20REF.%20NF%20270%20VIDEFERRO</v>
      </c>
      <c r="I2862" t="e">
        <f t="shared" ca="1" si="89"/>
        <v>#NAME?</v>
      </c>
    </row>
    <row r="2863" spans="1:9" x14ac:dyDescent="0.25">
      <c r="A2863" s="2" t="s">
        <v>4766</v>
      </c>
      <c r="B2863" s="2" t="s">
        <v>10</v>
      </c>
      <c r="C2863" s="3">
        <v>39666</v>
      </c>
      <c r="D2863" t="s">
        <v>4767</v>
      </c>
      <c r="E2863" s="2" t="s">
        <v>12</v>
      </c>
      <c r="F2863" s="2" t="s">
        <v>12</v>
      </c>
      <c r="G2863" t="s">
        <v>4736</v>
      </c>
      <c r="H2863" t="str">
        <f t="shared" si="88"/>
        <v>https://videplast.com.br/consulta-imobilizado?id=31000018&amp;nome=CARROCERIA%20FURGAO%20ENLONADO%20PLANO%20CURTAIN</v>
      </c>
      <c r="I2863" t="e">
        <f t="shared" ca="1" si="89"/>
        <v>#NAME?</v>
      </c>
    </row>
    <row r="2864" spans="1:9" x14ac:dyDescent="0.25">
      <c r="A2864" s="2" t="s">
        <v>4766</v>
      </c>
      <c r="B2864" s="2" t="s">
        <v>26</v>
      </c>
      <c r="C2864" s="3">
        <v>39666</v>
      </c>
      <c r="D2864" t="s">
        <v>4768</v>
      </c>
      <c r="E2864" s="2" t="s">
        <v>12</v>
      </c>
      <c r="F2864" s="2" t="s">
        <v>12</v>
      </c>
      <c r="G2864" t="s">
        <v>4736</v>
      </c>
      <c r="H2864" t="str">
        <f t="shared" si="88"/>
        <v>https://videplast.com.br/consulta-imobilizado?id=31000018&amp;nome=VLR%20DIFERENCIAL%20DE%20ALIQUOTA%20REF%20NF%20134303%20RANDON</v>
      </c>
      <c r="I2864" t="e">
        <f t="shared" ca="1" si="89"/>
        <v>#NAME?</v>
      </c>
    </row>
    <row r="2865" spans="1:9" x14ac:dyDescent="0.25">
      <c r="A2865" s="2" t="s">
        <v>4769</v>
      </c>
      <c r="B2865" s="2" t="s">
        <v>10</v>
      </c>
      <c r="C2865" s="3">
        <v>41274</v>
      </c>
      <c r="D2865" t="s">
        <v>4770</v>
      </c>
      <c r="E2865" s="2" t="s">
        <v>12</v>
      </c>
      <c r="F2865" s="2" t="s">
        <v>12</v>
      </c>
      <c r="G2865" t="s">
        <v>4736</v>
      </c>
      <c r="H2865" t="str">
        <f t="shared" si="88"/>
        <v>https://videplast.com.br/consulta-imobilizado?id=31000077&amp;nome=CAMINHAO%20VW%2024.280%20CRM%206X2</v>
      </c>
      <c r="I2865" t="e">
        <f t="shared" ca="1" si="89"/>
        <v>#NAME?</v>
      </c>
    </row>
    <row r="2866" spans="1:9" x14ac:dyDescent="0.25">
      <c r="A2866" s="2" t="s">
        <v>4771</v>
      </c>
      <c r="B2866" s="2" t="s">
        <v>10</v>
      </c>
      <c r="C2866" s="3">
        <v>41274</v>
      </c>
      <c r="D2866" t="s">
        <v>4770</v>
      </c>
      <c r="E2866" s="2" t="s">
        <v>12</v>
      </c>
      <c r="F2866" s="2" t="s">
        <v>12</v>
      </c>
      <c r="G2866" t="s">
        <v>4736</v>
      </c>
      <c r="H2866" t="str">
        <f t="shared" si="88"/>
        <v>https://videplast.com.br/consulta-imobilizado?id=31000079&amp;nome=CAMINHAO%20VW%2024.280%20CRM%206X2</v>
      </c>
      <c r="I2866" t="e">
        <f t="shared" ca="1" si="89"/>
        <v>#NAME?</v>
      </c>
    </row>
    <row r="2867" spans="1:9" x14ac:dyDescent="0.25">
      <c r="A2867" s="2" t="s">
        <v>4771</v>
      </c>
      <c r="B2867" s="2" t="s">
        <v>26</v>
      </c>
      <c r="C2867" s="3">
        <v>41333</v>
      </c>
      <c r="D2867" t="s">
        <v>4772</v>
      </c>
      <c r="E2867" s="2" t="s">
        <v>12</v>
      </c>
      <c r="F2867" s="2" t="s">
        <v>12</v>
      </c>
      <c r="G2867" t="s">
        <v>4736</v>
      </c>
      <c r="H2867" t="str">
        <f t="shared" si="88"/>
        <v>https://videplast.com.br/consulta-imobilizado?id=31000079&amp;nome=SERVICO%20DE%20INSTALACAO%20DO%20FURGAO</v>
      </c>
      <c r="I2867" t="e">
        <f t="shared" ca="1" si="89"/>
        <v>#NAME?</v>
      </c>
    </row>
    <row r="2868" spans="1:9" x14ac:dyDescent="0.25">
      <c r="A2868" s="2" t="s">
        <v>4771</v>
      </c>
      <c r="B2868" s="2" t="s">
        <v>21</v>
      </c>
      <c r="C2868" s="3">
        <v>41333</v>
      </c>
      <c r="D2868" t="s">
        <v>4773</v>
      </c>
      <c r="E2868" s="2" t="s">
        <v>12</v>
      </c>
      <c r="F2868" s="2" t="s">
        <v>12</v>
      </c>
      <c r="G2868" t="s">
        <v>4736</v>
      </c>
      <c r="H2868" t="str">
        <f t="shared" si="88"/>
        <v>https://videplast.com.br/consulta-imobilizado?id=31000079&amp;nome=DEFLETOR%20DE%20AR,%20KT%20MANGUEIRA%20E%20PISTOLA,%20COLHA%20DE</v>
      </c>
      <c r="I2868" t="e">
        <f t="shared" ca="1" si="89"/>
        <v>#NAME?</v>
      </c>
    </row>
    <row r="2869" spans="1:9" x14ac:dyDescent="0.25">
      <c r="A2869" s="2" t="s">
        <v>4771</v>
      </c>
      <c r="B2869" s="2" t="s">
        <v>29</v>
      </c>
      <c r="C2869" s="3">
        <v>41333</v>
      </c>
      <c r="D2869" t="s">
        <v>4774</v>
      </c>
      <c r="E2869" s="2" t="s">
        <v>12</v>
      </c>
      <c r="F2869" s="2" t="s">
        <v>12</v>
      </c>
      <c r="G2869" t="s">
        <v>4736</v>
      </c>
      <c r="H2869" t="str">
        <f t="shared" si="88"/>
        <v>https://videplast.com.br/consulta-imobilizado?id=31000079&amp;nome=PECAS%20PARA%20INSTALACAO%20DO%20FURGAO</v>
      </c>
      <c r="I2869" t="e">
        <f t="shared" ca="1" si="89"/>
        <v>#NAME?</v>
      </c>
    </row>
    <row r="2870" spans="1:9" x14ac:dyDescent="0.25">
      <c r="A2870" s="2" t="s">
        <v>4771</v>
      </c>
      <c r="B2870" s="2" t="s">
        <v>31</v>
      </c>
      <c r="C2870" s="3">
        <v>41333</v>
      </c>
      <c r="D2870" t="s">
        <v>4775</v>
      </c>
      <c r="E2870" s="2" t="s">
        <v>12</v>
      </c>
      <c r="F2870" s="2" t="s">
        <v>12</v>
      </c>
      <c r="G2870" t="s">
        <v>4736</v>
      </c>
      <c r="H2870" t="str">
        <f t="shared" si="88"/>
        <v>https://videplast.com.br/consulta-imobilizado?id=31000079&amp;nome=PROTETOR%20LATERAL%20E%20PRACHOQUE%20HOMOLOGADO%20COMPLETO</v>
      </c>
      <c r="I2870" t="e">
        <f t="shared" ca="1" si="89"/>
        <v>#NAME?</v>
      </c>
    </row>
    <row r="2871" spans="1:9" x14ac:dyDescent="0.25">
      <c r="A2871" s="2" t="s">
        <v>4771</v>
      </c>
      <c r="B2871" s="2" t="s">
        <v>33</v>
      </c>
      <c r="C2871" s="3">
        <v>41333</v>
      </c>
      <c r="D2871" t="s">
        <v>4776</v>
      </c>
      <c r="E2871" s="2" t="s">
        <v>12</v>
      </c>
      <c r="F2871" s="2" t="s">
        <v>12</v>
      </c>
      <c r="G2871" t="s">
        <v>4736</v>
      </c>
      <c r="H2871" t="str">
        <f t="shared" si="88"/>
        <v>https://videplast.com.br/consulta-imobilizado?id=31000079&amp;nome=SOFA%20CAMA,%20BANCO%20,TAPETE%20VERNIZ,%20BANCO,%20MALEIRO</v>
      </c>
      <c r="I2871" t="e">
        <f t="shared" ca="1" si="89"/>
        <v>#NAME?</v>
      </c>
    </row>
    <row r="2872" spans="1:9" x14ac:dyDescent="0.25">
      <c r="A2872" s="2" t="s">
        <v>4771</v>
      </c>
      <c r="B2872" s="2" t="s">
        <v>35</v>
      </c>
      <c r="C2872" s="3">
        <v>41547</v>
      </c>
      <c r="D2872" t="s">
        <v>4777</v>
      </c>
      <c r="E2872" s="2" t="s">
        <v>12</v>
      </c>
      <c r="F2872" s="2" t="s">
        <v>12</v>
      </c>
      <c r="G2872" t="s">
        <v>4736</v>
      </c>
      <c r="H2872" s="5" t="str">
        <f t="shared" si="88"/>
        <v>https://videplast.com.br/consulta-imobilizado?id=31000079&amp;nome=COMPUTADOR%20DE%20BORDO%20IV%20,PAINEL%20DE%20CONTROLE</v>
      </c>
      <c r="I2872" t="e">
        <f t="shared" ca="1" si="89"/>
        <v>#NAME?</v>
      </c>
    </row>
    <row r="2873" spans="1:9" x14ac:dyDescent="0.25">
      <c r="A2873" s="2" t="s">
        <v>4778</v>
      </c>
      <c r="B2873" s="2" t="s">
        <v>10</v>
      </c>
      <c r="C2873" s="3">
        <v>41274</v>
      </c>
      <c r="D2873" t="s">
        <v>4770</v>
      </c>
      <c r="E2873" s="2" t="s">
        <v>12</v>
      </c>
      <c r="F2873" s="2" t="s">
        <v>12</v>
      </c>
      <c r="G2873" t="s">
        <v>4736</v>
      </c>
      <c r="H2873" t="str">
        <f t="shared" si="88"/>
        <v>https://videplast.com.br/consulta-imobilizado?id=31000080&amp;nome=CAMINHAO%20VW%2024.280%20CRM%206X2</v>
      </c>
      <c r="I2873" t="e">
        <f t="shared" ca="1" si="89"/>
        <v>#NAME?</v>
      </c>
    </row>
    <row r="2874" spans="1:9" x14ac:dyDescent="0.25">
      <c r="A2874" s="2" t="s">
        <v>4778</v>
      </c>
      <c r="B2874" s="2" t="s">
        <v>26</v>
      </c>
      <c r="C2874" s="3">
        <v>41333</v>
      </c>
      <c r="D2874" t="s">
        <v>4779</v>
      </c>
      <c r="E2874" s="2" t="s">
        <v>12</v>
      </c>
      <c r="F2874" s="2" t="s">
        <v>12</v>
      </c>
      <c r="G2874" t="s">
        <v>4736</v>
      </c>
      <c r="H2874" t="str">
        <f t="shared" si="88"/>
        <v>https://videplast.com.br/consulta-imobilizado?id=31000080&amp;nome=CLIMATIZADOR,%20DEFLETOR%20DE%20AR,%20CALHA%20DE%20CHUVA,</v>
      </c>
      <c r="I2874" t="e">
        <f t="shared" ca="1" si="89"/>
        <v>#NAME?</v>
      </c>
    </row>
    <row r="2875" spans="1:9" x14ac:dyDescent="0.25">
      <c r="A2875" s="2" t="s">
        <v>4778</v>
      </c>
      <c r="B2875" s="2" t="s">
        <v>21</v>
      </c>
      <c r="C2875" s="3">
        <v>41333</v>
      </c>
      <c r="D2875" t="s">
        <v>4776</v>
      </c>
      <c r="E2875" s="2" t="s">
        <v>12</v>
      </c>
      <c r="F2875" s="2" t="s">
        <v>12</v>
      </c>
      <c r="G2875" t="s">
        <v>4736</v>
      </c>
      <c r="H2875" t="str">
        <f t="shared" si="88"/>
        <v>https://videplast.com.br/consulta-imobilizado?id=31000080&amp;nome=SOFA%20CAMA,%20BANCO%20,TAPETE%20VERNIZ,%20BANCO,%20MALEIRO</v>
      </c>
      <c r="I2875" t="e">
        <f t="shared" ca="1" si="89"/>
        <v>#NAME?</v>
      </c>
    </row>
    <row r="2876" spans="1:9" x14ac:dyDescent="0.25">
      <c r="A2876" s="2" t="s">
        <v>4778</v>
      </c>
      <c r="B2876" s="2" t="s">
        <v>29</v>
      </c>
      <c r="C2876" s="3">
        <v>41394</v>
      </c>
      <c r="D2876" t="s">
        <v>4780</v>
      </c>
      <c r="E2876" s="2" t="s">
        <v>12</v>
      </c>
      <c r="F2876" s="2" t="s">
        <v>12</v>
      </c>
      <c r="G2876" t="s">
        <v>4736</v>
      </c>
      <c r="H2876" t="str">
        <f t="shared" si="88"/>
        <v>https://videplast.com.br/consulta-imobilizado?id=31000080&amp;nome=SERVIÇO%20PARA%20INSTALAÇÃO%20DE%20BAU</v>
      </c>
      <c r="I2876" t="e">
        <f t="shared" ca="1" si="89"/>
        <v>#NAME?</v>
      </c>
    </row>
    <row r="2877" spans="1:9" x14ac:dyDescent="0.25">
      <c r="A2877" s="2" t="s">
        <v>4778</v>
      </c>
      <c r="B2877" s="2" t="s">
        <v>31</v>
      </c>
      <c r="C2877" s="3">
        <v>41394</v>
      </c>
      <c r="D2877" t="s">
        <v>4781</v>
      </c>
      <c r="E2877" s="2" t="s">
        <v>12</v>
      </c>
      <c r="F2877" s="2" t="s">
        <v>12</v>
      </c>
      <c r="G2877" t="s">
        <v>4736</v>
      </c>
      <c r="H2877" t="str">
        <f t="shared" si="88"/>
        <v>https://videplast.com.br/consulta-imobilizado?id=31000080&amp;nome=AQUISIÇÃO%20DE%20PRESTAÇAÕ%20DE%20SERVIÇO%20PARA%20INSTALAÇÃO</v>
      </c>
      <c r="I2877" t="e">
        <f t="shared" ca="1" si="89"/>
        <v>#NAME?</v>
      </c>
    </row>
    <row r="2878" spans="1:9" x14ac:dyDescent="0.25">
      <c r="A2878" s="2" t="s">
        <v>4778</v>
      </c>
      <c r="B2878" s="2" t="s">
        <v>33</v>
      </c>
      <c r="C2878" s="3">
        <v>41394</v>
      </c>
      <c r="D2878" t="s">
        <v>4775</v>
      </c>
      <c r="E2878" s="2" t="s">
        <v>12</v>
      </c>
      <c r="F2878" s="2" t="s">
        <v>12</v>
      </c>
      <c r="G2878" t="s">
        <v>4736</v>
      </c>
      <c r="H2878" t="str">
        <f t="shared" si="88"/>
        <v>https://videplast.com.br/consulta-imobilizado?id=31000080&amp;nome=PROTETOR%20LATERAL%20E%20PRACHOQUE%20HOMOLOGADO%20COMPLETO</v>
      </c>
      <c r="I2878" t="e">
        <f t="shared" ca="1" si="89"/>
        <v>#NAME?</v>
      </c>
    </row>
    <row r="2879" spans="1:9" x14ac:dyDescent="0.25">
      <c r="A2879" s="2" t="s">
        <v>4782</v>
      </c>
      <c r="B2879" s="2" t="s">
        <v>10</v>
      </c>
      <c r="C2879" s="3">
        <v>41274</v>
      </c>
      <c r="D2879" t="s">
        <v>4770</v>
      </c>
      <c r="E2879" s="2" t="s">
        <v>12</v>
      </c>
      <c r="F2879" s="2" t="s">
        <v>4783</v>
      </c>
      <c r="G2879" t="s">
        <v>4736</v>
      </c>
      <c r="H2879" t="str">
        <f t="shared" si="88"/>
        <v>https://videplast.com.br/consulta-imobilizado?id=31000081&amp;nome=CAMINHAO%20VW%2024.280%20CRM%206X2</v>
      </c>
      <c r="I2879" t="e">
        <f t="shared" ca="1" si="89"/>
        <v>#NAME?</v>
      </c>
    </row>
    <row r="2880" spans="1:9" x14ac:dyDescent="0.25">
      <c r="A2880" s="2" t="s">
        <v>4782</v>
      </c>
      <c r="B2880" s="2" t="s">
        <v>26</v>
      </c>
      <c r="C2880" s="3">
        <v>41333</v>
      </c>
      <c r="D2880" t="s">
        <v>4784</v>
      </c>
      <c r="E2880" s="2" t="s">
        <v>12</v>
      </c>
      <c r="F2880" s="2" t="s">
        <v>12</v>
      </c>
      <c r="G2880" t="s">
        <v>4736</v>
      </c>
      <c r="H2880" t="str">
        <f t="shared" si="88"/>
        <v>https://videplast.com.br/consulta-imobilizado?id=31000081&amp;nome=DEFLETOR%20DE%20AR,%20KIT%20MANGUEIRA%20E%20PISTOLA,%20CALHA%20DE</v>
      </c>
      <c r="I2880" t="e">
        <f t="shared" ca="1" si="89"/>
        <v>#NAME?</v>
      </c>
    </row>
    <row r="2881" spans="1:9" x14ac:dyDescent="0.25">
      <c r="A2881" s="2" t="s">
        <v>4782</v>
      </c>
      <c r="B2881" s="2" t="s">
        <v>21</v>
      </c>
      <c r="C2881" s="3">
        <v>41333</v>
      </c>
      <c r="D2881" t="s">
        <v>4776</v>
      </c>
      <c r="E2881" s="2" t="s">
        <v>12</v>
      </c>
      <c r="F2881" s="2" t="s">
        <v>12</v>
      </c>
      <c r="G2881" t="s">
        <v>4736</v>
      </c>
      <c r="H2881" t="str">
        <f t="shared" si="88"/>
        <v>https://videplast.com.br/consulta-imobilizado?id=31000081&amp;nome=SOFA%20CAMA,%20BANCO%20,TAPETE%20VERNIZ,%20BANCO,%20MALEIRO</v>
      </c>
      <c r="I2881" t="e">
        <f t="shared" ca="1" si="89"/>
        <v>#NAME?</v>
      </c>
    </row>
    <row r="2882" spans="1:9" x14ac:dyDescent="0.25">
      <c r="A2882" s="2" t="s">
        <v>4782</v>
      </c>
      <c r="B2882" s="2" t="s">
        <v>31</v>
      </c>
      <c r="C2882" s="3">
        <v>41547</v>
      </c>
      <c r="D2882" t="s">
        <v>4777</v>
      </c>
      <c r="E2882" s="2" t="s">
        <v>12</v>
      </c>
      <c r="F2882" s="2" t="s">
        <v>12</v>
      </c>
      <c r="G2882" t="s">
        <v>4736</v>
      </c>
      <c r="H2882" s="5" t="str">
        <f t="shared" ref="H2882:H2945" si="90" xml:space="preserve"> "https://videplast.com.br/consulta-imobilizado?id=" &amp; A2882 &amp; "&amp;nome=" &amp; SUBSTITUTE(D2882, " ", "%20")</f>
        <v>https://videplast.com.br/consulta-imobilizado?id=31000081&amp;nome=COMPUTADOR%20DE%20BORDO%20IV%20,PAINEL%20DE%20CONTROLE</v>
      </c>
      <c r="I2882" t="e">
        <f t="shared" ref="I2882:I2945" ca="1" si="91">_xlfn.IMAGE("https://chart.googleapis.com/chart?chs=150x150&amp;cht=qr&amp;chl=" &amp; H2882)</f>
        <v>#NAME?</v>
      </c>
    </row>
    <row r="2883" spans="1:9" x14ac:dyDescent="0.25">
      <c r="A2883" s="2" t="s">
        <v>4785</v>
      </c>
      <c r="B2883" s="2" t="s">
        <v>26</v>
      </c>
      <c r="C2883" s="3">
        <v>41790</v>
      </c>
      <c r="D2883" t="s">
        <v>4786</v>
      </c>
      <c r="E2883" s="2" t="s">
        <v>12</v>
      </c>
      <c r="F2883" s="2" t="s">
        <v>12</v>
      </c>
      <c r="G2883" t="s">
        <v>4736</v>
      </c>
      <c r="H2883" t="str">
        <f t="shared" si="90"/>
        <v>https://videplast.com.br/consulta-imobilizado?id=31000087&amp;nome=FURGAO%20LONADO%20SIDER%20TIPO%20CARROCERIA</v>
      </c>
      <c r="I2883" t="e">
        <f t="shared" ca="1" si="91"/>
        <v>#NAME?</v>
      </c>
    </row>
    <row r="2884" spans="1:9" x14ac:dyDescent="0.25">
      <c r="A2884" s="2" t="s">
        <v>4787</v>
      </c>
      <c r="B2884" s="2" t="s">
        <v>10</v>
      </c>
      <c r="C2884" s="3">
        <v>43585</v>
      </c>
      <c r="D2884" t="s">
        <v>4788</v>
      </c>
      <c r="E2884" s="2" t="s">
        <v>12</v>
      </c>
      <c r="F2884" s="2" t="s">
        <v>12</v>
      </c>
      <c r="G2884" t="s">
        <v>4736</v>
      </c>
      <c r="H2884" t="str">
        <f t="shared" si="90"/>
        <v>https://videplast.com.br/consulta-imobilizado?id=31000157&amp;nome=CAMINHÃO%20VW%2030.330%20CRC%208X2</v>
      </c>
      <c r="I2884" t="e">
        <f t="shared" ca="1" si="91"/>
        <v>#NAME?</v>
      </c>
    </row>
    <row r="2885" spans="1:9" x14ac:dyDescent="0.25">
      <c r="A2885" s="2" t="s">
        <v>4787</v>
      </c>
      <c r="B2885" s="2" t="s">
        <v>26</v>
      </c>
      <c r="C2885" s="3">
        <v>43606</v>
      </c>
      <c r="D2885" t="s">
        <v>4789</v>
      </c>
      <c r="E2885" s="2" t="s">
        <v>12</v>
      </c>
      <c r="F2885" s="2" t="s">
        <v>12</v>
      </c>
      <c r="G2885" t="s">
        <v>4736</v>
      </c>
      <c r="H2885" t="str">
        <f t="shared" si="90"/>
        <v>https://videplast.com.br/consulta-imobilizado?id=31000157&amp;nome=FURGAO%20LONADO</v>
      </c>
      <c r="I2885" t="e">
        <f t="shared" ca="1" si="91"/>
        <v>#NAME?</v>
      </c>
    </row>
    <row r="2886" spans="1:9" x14ac:dyDescent="0.25">
      <c r="A2886" s="2" t="s">
        <v>4787</v>
      </c>
      <c r="B2886" s="2" t="s">
        <v>21</v>
      </c>
      <c r="C2886" s="3">
        <v>43658</v>
      </c>
      <c r="D2886" t="s">
        <v>4790</v>
      </c>
      <c r="E2886" s="2" t="s">
        <v>12</v>
      </c>
      <c r="F2886" s="2" t="s">
        <v>12</v>
      </c>
      <c r="G2886" t="s">
        <v>4736</v>
      </c>
      <c r="H2886" t="str">
        <f t="shared" si="90"/>
        <v>https://videplast.com.br/consulta-imobilizado?id=31000157&amp;nome=RASTREADOR</v>
      </c>
      <c r="I2886" t="e">
        <f t="shared" ca="1" si="91"/>
        <v>#NAME?</v>
      </c>
    </row>
    <row r="2887" spans="1:9" x14ac:dyDescent="0.25">
      <c r="A2887" s="2" t="s">
        <v>4791</v>
      </c>
      <c r="B2887" s="2" t="s">
        <v>10</v>
      </c>
      <c r="C2887" s="3">
        <v>44351</v>
      </c>
      <c r="D2887" t="s">
        <v>4792</v>
      </c>
      <c r="E2887" s="2" t="s">
        <v>12</v>
      </c>
      <c r="F2887" s="2" t="s">
        <v>4793</v>
      </c>
      <c r="G2887" t="s">
        <v>4736</v>
      </c>
      <c r="H2887" t="str">
        <f t="shared" si="90"/>
        <v>https://videplast.com.br/consulta-imobilizado?id=31000211&amp;nome=CAMINHAO%20TRATOR%20MODELO%20VW%2019.360%20ANO/MODELO%2020/21</v>
      </c>
      <c r="I2887" t="e">
        <f t="shared" ca="1" si="91"/>
        <v>#NAME?</v>
      </c>
    </row>
    <row r="2888" spans="1:9" x14ac:dyDescent="0.25">
      <c r="A2888" s="2" t="s">
        <v>4794</v>
      </c>
      <c r="B2888" s="2" t="s">
        <v>10</v>
      </c>
      <c r="C2888" s="3">
        <v>44357</v>
      </c>
      <c r="D2888" t="s">
        <v>4792</v>
      </c>
      <c r="E2888" s="2" t="s">
        <v>12</v>
      </c>
      <c r="F2888" s="2" t="s">
        <v>12</v>
      </c>
      <c r="G2888" t="s">
        <v>4736</v>
      </c>
      <c r="H2888" t="str">
        <f t="shared" si="90"/>
        <v>https://videplast.com.br/consulta-imobilizado?id=31000212&amp;nome=CAMINHAO%20TRATOR%20MODELO%20VW%2019.360%20ANO/MODELO%2020/21</v>
      </c>
      <c r="I2888" t="e">
        <f t="shared" ca="1" si="91"/>
        <v>#NAME?</v>
      </c>
    </row>
    <row r="2889" spans="1:9" x14ac:dyDescent="0.25">
      <c r="A2889" s="2" t="s">
        <v>4794</v>
      </c>
      <c r="B2889" s="2" t="s">
        <v>26</v>
      </c>
      <c r="C2889" s="3">
        <v>44323</v>
      </c>
      <c r="D2889" t="s">
        <v>4795</v>
      </c>
      <c r="E2889" s="2" t="s">
        <v>12</v>
      </c>
      <c r="F2889" s="2" t="s">
        <v>12</v>
      </c>
      <c r="G2889" t="s">
        <v>4736</v>
      </c>
      <c r="H2889" t="str">
        <f t="shared" si="90"/>
        <v>https://videplast.com.br/consulta-imobilizado?id=31000212&amp;nome=DEFLETOR%20DE%20AR%20AEROFOLE%20PARA%20CAMINHAO</v>
      </c>
      <c r="I2889" t="e">
        <f t="shared" ca="1" si="91"/>
        <v>#NAME?</v>
      </c>
    </row>
    <row r="2890" spans="1:9" x14ac:dyDescent="0.25">
      <c r="A2890" s="2" t="s">
        <v>4794</v>
      </c>
      <c r="B2890" s="2" t="s">
        <v>21</v>
      </c>
      <c r="C2890" s="3">
        <v>44806</v>
      </c>
      <c r="D2890" t="s">
        <v>4796</v>
      </c>
      <c r="E2890" s="2" t="s">
        <v>12</v>
      </c>
      <c r="F2890" s="2" t="s">
        <v>12</v>
      </c>
      <c r="G2890" t="s">
        <v>4736</v>
      </c>
      <c r="H2890" t="str">
        <f t="shared" si="90"/>
        <v>https://videplast.com.br/consulta-imobilizado?id=31000212&amp;nome=MOLA%20PNEUMATICA%20SUSPENTECH</v>
      </c>
      <c r="I2890" t="e">
        <f t="shared" ca="1" si="91"/>
        <v>#NAME?</v>
      </c>
    </row>
    <row r="2891" spans="1:9" x14ac:dyDescent="0.25">
      <c r="A2891" s="2" t="s">
        <v>4797</v>
      </c>
      <c r="B2891" s="2" t="s">
        <v>10</v>
      </c>
      <c r="C2891" s="3">
        <v>44344</v>
      </c>
      <c r="D2891" t="s">
        <v>4792</v>
      </c>
      <c r="E2891" s="2" t="s">
        <v>12</v>
      </c>
      <c r="F2891" s="2" t="s">
        <v>12</v>
      </c>
      <c r="G2891" t="s">
        <v>4736</v>
      </c>
      <c r="H2891" t="str">
        <f t="shared" si="90"/>
        <v>https://videplast.com.br/consulta-imobilizado?id=31000216&amp;nome=CAMINHAO%20TRATOR%20MODELO%20VW%2019.360%20ANO/MODELO%2020/21</v>
      </c>
      <c r="I2891" t="e">
        <f t="shared" ca="1" si="91"/>
        <v>#NAME?</v>
      </c>
    </row>
    <row r="2892" spans="1:9" x14ac:dyDescent="0.25">
      <c r="A2892" s="2" t="s">
        <v>4797</v>
      </c>
      <c r="B2892" s="2" t="s">
        <v>26</v>
      </c>
      <c r="C2892" s="3">
        <v>44323</v>
      </c>
      <c r="D2892" t="s">
        <v>4795</v>
      </c>
      <c r="E2892" s="2" t="s">
        <v>12</v>
      </c>
      <c r="F2892" s="2" t="s">
        <v>12</v>
      </c>
      <c r="G2892" t="s">
        <v>4736</v>
      </c>
      <c r="H2892" t="str">
        <f t="shared" si="90"/>
        <v>https://videplast.com.br/consulta-imobilizado?id=31000216&amp;nome=DEFLETOR%20DE%20AR%20AEROFOLE%20PARA%20CAMINHAO</v>
      </c>
      <c r="I2892" t="e">
        <f t="shared" ca="1" si="91"/>
        <v>#NAME?</v>
      </c>
    </row>
    <row r="2893" spans="1:9" x14ac:dyDescent="0.25">
      <c r="A2893" s="2" t="s">
        <v>4797</v>
      </c>
      <c r="B2893" s="2" t="s">
        <v>21</v>
      </c>
      <c r="C2893" s="3">
        <v>44806</v>
      </c>
      <c r="D2893" t="s">
        <v>4796</v>
      </c>
      <c r="E2893" s="2" t="s">
        <v>12</v>
      </c>
      <c r="F2893" s="2" t="s">
        <v>12</v>
      </c>
      <c r="G2893" t="s">
        <v>4736</v>
      </c>
      <c r="H2893" t="str">
        <f t="shared" si="90"/>
        <v>https://videplast.com.br/consulta-imobilizado?id=31000216&amp;nome=MOLA%20PNEUMATICA%20SUSPENTECH</v>
      </c>
      <c r="I2893" t="e">
        <f t="shared" ca="1" si="91"/>
        <v>#NAME?</v>
      </c>
    </row>
    <row r="2894" spans="1:9" x14ac:dyDescent="0.25">
      <c r="A2894" s="2" t="s">
        <v>4798</v>
      </c>
      <c r="B2894" s="2" t="s">
        <v>10</v>
      </c>
      <c r="C2894" s="3">
        <v>44431</v>
      </c>
      <c r="D2894" t="s">
        <v>4792</v>
      </c>
      <c r="E2894" s="2" t="s">
        <v>12</v>
      </c>
      <c r="F2894" s="2" t="s">
        <v>12</v>
      </c>
      <c r="G2894" t="s">
        <v>4736</v>
      </c>
      <c r="H2894" t="str">
        <f t="shared" si="90"/>
        <v>https://videplast.com.br/consulta-imobilizado?id=31000218&amp;nome=CAMINHAO%20TRATOR%20MODELO%20VW%2019.360%20ANO/MODELO%2020/21</v>
      </c>
      <c r="I2894" t="e">
        <f t="shared" ca="1" si="91"/>
        <v>#NAME?</v>
      </c>
    </row>
    <row r="2895" spans="1:9" x14ac:dyDescent="0.25">
      <c r="A2895" s="2" t="s">
        <v>4798</v>
      </c>
      <c r="B2895" s="2" t="s">
        <v>26</v>
      </c>
      <c r="C2895" s="3">
        <v>44323</v>
      </c>
      <c r="D2895" t="s">
        <v>4795</v>
      </c>
      <c r="E2895" s="2" t="s">
        <v>12</v>
      </c>
      <c r="F2895" s="2" t="s">
        <v>12</v>
      </c>
      <c r="G2895" t="s">
        <v>4736</v>
      </c>
      <c r="H2895" t="str">
        <f t="shared" si="90"/>
        <v>https://videplast.com.br/consulta-imobilizado?id=31000218&amp;nome=DEFLETOR%20DE%20AR%20AEROFOLE%20PARA%20CAMINHAO</v>
      </c>
      <c r="I2895" t="e">
        <f t="shared" ca="1" si="91"/>
        <v>#NAME?</v>
      </c>
    </row>
    <row r="2896" spans="1:9" x14ac:dyDescent="0.25">
      <c r="A2896" s="2" t="s">
        <v>4799</v>
      </c>
      <c r="B2896" s="2" t="s">
        <v>10</v>
      </c>
      <c r="C2896" s="3">
        <v>44300</v>
      </c>
      <c r="D2896" t="s">
        <v>4800</v>
      </c>
      <c r="E2896" s="2" t="s">
        <v>12</v>
      </c>
      <c r="F2896" s="2" t="s">
        <v>12</v>
      </c>
      <c r="G2896" t="s">
        <v>4736</v>
      </c>
      <c r="H2896" t="str">
        <f t="shared" si="90"/>
        <v>https://videplast.com.br/consulta-imobilizado?id=31000224&amp;nome=SEMIRREBOQUE%20LONADO%20COM%2002%20EIXOS%20JUNTOS%2011.700MM</v>
      </c>
      <c r="I2896" t="e">
        <f t="shared" ca="1" si="91"/>
        <v>#NAME?</v>
      </c>
    </row>
    <row r="2897" spans="1:9" x14ac:dyDescent="0.25">
      <c r="A2897" s="2" t="s">
        <v>4801</v>
      </c>
      <c r="B2897" s="2" t="s">
        <v>10</v>
      </c>
      <c r="C2897" s="3">
        <v>44300</v>
      </c>
      <c r="D2897" t="s">
        <v>4800</v>
      </c>
      <c r="E2897" s="2" t="s">
        <v>12</v>
      </c>
      <c r="F2897" s="2" t="s">
        <v>12</v>
      </c>
      <c r="G2897" t="s">
        <v>4736</v>
      </c>
      <c r="H2897" t="str">
        <f t="shared" si="90"/>
        <v>https://videplast.com.br/consulta-imobilizado?id=31000229&amp;nome=SEMIRREBOQUE%20LONADO%20COM%2002%20EIXOS%20JUNTOS%2011.700MM</v>
      </c>
      <c r="I2897" t="e">
        <f t="shared" ca="1" si="91"/>
        <v>#NAME?</v>
      </c>
    </row>
    <row r="2898" spans="1:9" x14ac:dyDescent="0.25">
      <c r="A2898" s="2" t="s">
        <v>4802</v>
      </c>
      <c r="B2898" s="2" t="s">
        <v>10</v>
      </c>
      <c r="C2898" s="3">
        <v>44300</v>
      </c>
      <c r="D2898" t="s">
        <v>4800</v>
      </c>
      <c r="E2898" s="2" t="s">
        <v>12</v>
      </c>
      <c r="F2898" s="2" t="s">
        <v>12</v>
      </c>
      <c r="G2898" t="s">
        <v>4736</v>
      </c>
      <c r="H2898" t="str">
        <f t="shared" si="90"/>
        <v>https://videplast.com.br/consulta-imobilizado?id=31000231&amp;nome=SEMIRREBOQUE%20LONADO%20COM%2002%20EIXOS%20JUNTOS%2011.700MM</v>
      </c>
      <c r="I2898" t="e">
        <f t="shared" ca="1" si="91"/>
        <v>#NAME?</v>
      </c>
    </row>
    <row r="2899" spans="1:9" x14ac:dyDescent="0.25">
      <c r="A2899" s="2" t="s">
        <v>4803</v>
      </c>
      <c r="B2899" s="2" t="s">
        <v>10</v>
      </c>
      <c r="C2899" s="3">
        <v>44300</v>
      </c>
      <c r="D2899" t="s">
        <v>4800</v>
      </c>
      <c r="E2899" s="2" t="s">
        <v>12</v>
      </c>
      <c r="F2899" s="2" t="s">
        <v>12</v>
      </c>
      <c r="G2899" t="s">
        <v>4736</v>
      </c>
      <c r="H2899" t="str">
        <f t="shared" si="90"/>
        <v>https://videplast.com.br/consulta-imobilizado?id=31000232&amp;nome=SEMIRREBOQUE%20LONADO%20COM%2002%20EIXOS%20JUNTOS%2011.700MM</v>
      </c>
      <c r="I2899" t="e">
        <f t="shared" ca="1" si="91"/>
        <v>#NAME?</v>
      </c>
    </row>
    <row r="2900" spans="1:9" x14ac:dyDescent="0.25">
      <c r="A2900" s="2" t="s">
        <v>4804</v>
      </c>
      <c r="B2900" s="2" t="s">
        <v>10</v>
      </c>
      <c r="C2900" s="3">
        <v>45195</v>
      </c>
      <c r="D2900" t="s">
        <v>4805</v>
      </c>
      <c r="E2900" s="2" t="s">
        <v>12</v>
      </c>
      <c r="F2900" s="2" t="s">
        <v>12</v>
      </c>
      <c r="G2900" t="s">
        <v>4736</v>
      </c>
      <c r="H2900" t="str">
        <f t="shared" si="90"/>
        <v>https://videplast.com.br/consulta-imobilizado?id=31000282&amp;nome=SAVEIRO%20VW%20ROBUST%20CS%20TOTAL%20FLEX%20CAMBIO%20MANUAL%202023</v>
      </c>
      <c r="I2900" t="e">
        <f t="shared" ca="1" si="91"/>
        <v>#NAME?</v>
      </c>
    </row>
    <row r="2901" spans="1:9" x14ac:dyDescent="0.25">
      <c r="A2901" s="2" t="s">
        <v>4804</v>
      </c>
      <c r="B2901" s="2" t="s">
        <v>26</v>
      </c>
      <c r="C2901" s="3">
        <v>45230</v>
      </c>
      <c r="D2901" t="s">
        <v>4806</v>
      </c>
      <c r="E2901" s="2" t="s">
        <v>12</v>
      </c>
      <c r="F2901" s="2" t="s">
        <v>12</v>
      </c>
      <c r="G2901" t="s">
        <v>4736</v>
      </c>
      <c r="H2901" t="str">
        <f t="shared" si="90"/>
        <v>https://videplast.com.br/consulta-imobilizado?id=31000282&amp;nome=GASTOS%20ADICIONAIS%20COM%20SAVEIRO%20VW%20ROBUST</v>
      </c>
      <c r="I2901" t="e">
        <f t="shared" ca="1" si="91"/>
        <v>#NAME?</v>
      </c>
    </row>
    <row r="2902" spans="1:9" x14ac:dyDescent="0.25">
      <c r="A2902" s="2" t="s">
        <v>4807</v>
      </c>
      <c r="B2902" s="2" t="s">
        <v>10</v>
      </c>
      <c r="C2902" s="3">
        <v>45475</v>
      </c>
      <c r="D2902" t="s">
        <v>4808</v>
      </c>
      <c r="E2902" s="2" t="s">
        <v>12</v>
      </c>
      <c r="F2902" s="2" t="s">
        <v>4809</v>
      </c>
      <c r="G2902" t="s">
        <v>4736</v>
      </c>
      <c r="H2902" t="str">
        <f t="shared" si="90"/>
        <v>https://videplast.com.br/consulta-imobilizado?id=31000310&amp;nome=CAMINHAO%20VOLVO%20VM360%204X2%20CAVALO%20BITRUCK%20ANO%202024</v>
      </c>
      <c r="I2902" t="e">
        <f t="shared" ca="1" si="91"/>
        <v>#NAME?</v>
      </c>
    </row>
    <row r="2903" spans="1:9" x14ac:dyDescent="0.25">
      <c r="A2903" s="2" t="s">
        <v>4810</v>
      </c>
      <c r="B2903" s="2" t="s">
        <v>10</v>
      </c>
      <c r="C2903" s="3">
        <v>45443</v>
      </c>
      <c r="D2903" t="s">
        <v>4811</v>
      </c>
      <c r="E2903" s="2" t="s">
        <v>12</v>
      </c>
      <c r="F2903" s="2" t="s">
        <v>4812</v>
      </c>
      <c r="G2903" t="s">
        <v>4736</v>
      </c>
      <c r="H2903" t="str">
        <f t="shared" si="90"/>
        <v>https://videplast.com.br/consulta-imobilizado?id=31000311&amp;nome=CAMINHAO%20VOLVO%20VM290%206X2%20ANO%202024</v>
      </c>
      <c r="I2903" t="e">
        <f t="shared" ca="1" si="91"/>
        <v>#NAME?</v>
      </c>
    </row>
    <row r="2904" spans="1:9" x14ac:dyDescent="0.25">
      <c r="A2904" s="2" t="s">
        <v>4813</v>
      </c>
      <c r="B2904" s="2" t="s">
        <v>10</v>
      </c>
      <c r="C2904" s="3">
        <v>45443</v>
      </c>
      <c r="D2904" t="s">
        <v>4811</v>
      </c>
      <c r="E2904" s="2" t="s">
        <v>12</v>
      </c>
      <c r="F2904" s="2" t="s">
        <v>4814</v>
      </c>
      <c r="G2904" t="s">
        <v>4736</v>
      </c>
      <c r="H2904" t="str">
        <f t="shared" si="90"/>
        <v>https://videplast.com.br/consulta-imobilizado?id=31000312&amp;nome=CAMINHAO%20VOLVO%20VM290%206X2%20ANO%202024</v>
      </c>
      <c r="I2904" t="e">
        <f t="shared" ca="1" si="91"/>
        <v>#NAME?</v>
      </c>
    </row>
    <row r="2905" spans="1:9" x14ac:dyDescent="0.25">
      <c r="A2905" s="2" t="s">
        <v>4813</v>
      </c>
      <c r="B2905" s="2" t="s">
        <v>29</v>
      </c>
      <c r="C2905" s="3">
        <v>45545</v>
      </c>
      <c r="D2905" t="s">
        <v>4815</v>
      </c>
      <c r="E2905" s="2" t="s">
        <v>12</v>
      </c>
      <c r="F2905" s="2" t="s">
        <v>12</v>
      </c>
      <c r="G2905" t="s">
        <v>4736</v>
      </c>
      <c r="H2905" t="str">
        <f t="shared" si="90"/>
        <v>https://videplast.com.br/consulta-imobilizado?id=31000312&amp;nome=FURGAO%20LONADO%20SIDER%208,50M%20X%202,60M%20X%202,60M%20ANO%202013</v>
      </c>
      <c r="I2905" t="e">
        <f t="shared" ca="1" si="91"/>
        <v>#NAME?</v>
      </c>
    </row>
    <row r="2906" spans="1:9" x14ac:dyDescent="0.25">
      <c r="A2906" s="2" t="s">
        <v>4816</v>
      </c>
      <c r="B2906" s="2" t="s">
        <v>10</v>
      </c>
      <c r="C2906" s="3">
        <v>45443</v>
      </c>
      <c r="D2906" t="s">
        <v>4811</v>
      </c>
      <c r="E2906" s="2" t="s">
        <v>12</v>
      </c>
      <c r="F2906" s="2" t="s">
        <v>4817</v>
      </c>
      <c r="G2906" t="s">
        <v>4736</v>
      </c>
      <c r="H2906" t="str">
        <f t="shared" si="90"/>
        <v>https://videplast.com.br/consulta-imobilizado?id=31000313&amp;nome=CAMINHAO%20VOLVO%20VM290%206X2%20ANO%202024</v>
      </c>
      <c r="I2906" t="e">
        <f t="shared" ca="1" si="91"/>
        <v>#NAME?</v>
      </c>
    </row>
    <row r="2907" spans="1:9" x14ac:dyDescent="0.25">
      <c r="A2907" s="2" t="s">
        <v>4816</v>
      </c>
      <c r="B2907" s="2" t="s">
        <v>21</v>
      </c>
      <c r="C2907" s="3">
        <v>45545</v>
      </c>
      <c r="D2907" t="s">
        <v>4818</v>
      </c>
      <c r="E2907" s="2" t="s">
        <v>12</v>
      </c>
      <c r="F2907" s="2" t="s">
        <v>12</v>
      </c>
      <c r="G2907" t="s">
        <v>4736</v>
      </c>
      <c r="H2907" t="str">
        <f t="shared" si="90"/>
        <v>https://videplast.com.br/consulta-imobilizado?id=31000313&amp;nome=BAU%20SIDER%20LONADO</v>
      </c>
      <c r="I2907" t="e">
        <f t="shared" ca="1" si="91"/>
        <v>#NAME?</v>
      </c>
    </row>
    <row r="2908" spans="1:9" x14ac:dyDescent="0.25">
      <c r="A2908" s="2" t="s">
        <v>4819</v>
      </c>
      <c r="B2908" s="2" t="s">
        <v>10</v>
      </c>
      <c r="C2908" s="3">
        <v>45482</v>
      </c>
      <c r="D2908" t="s">
        <v>4820</v>
      </c>
      <c r="E2908" s="2" t="s">
        <v>12</v>
      </c>
      <c r="F2908" s="2" t="s">
        <v>4821</v>
      </c>
      <c r="G2908" t="s">
        <v>4736</v>
      </c>
      <c r="H2908" t="str">
        <f t="shared" si="90"/>
        <v>https://videplast.com.br/consulta-imobilizado?id=31000317&amp;nome=CAMINHAO%20VW%2030320%20CONSTELLATION%208X2%20ANO%2024/25</v>
      </c>
      <c r="I2908" t="e">
        <f t="shared" ca="1" si="91"/>
        <v>#NAME?</v>
      </c>
    </row>
    <row r="2909" spans="1:9" x14ac:dyDescent="0.25">
      <c r="A2909" s="2" t="s">
        <v>4822</v>
      </c>
      <c r="B2909" s="2" t="s">
        <v>10</v>
      </c>
      <c r="C2909" s="3">
        <v>39580</v>
      </c>
      <c r="D2909" t="s">
        <v>4823</v>
      </c>
      <c r="E2909" s="2" t="s">
        <v>12</v>
      </c>
      <c r="F2909" s="2" t="s">
        <v>12</v>
      </c>
      <c r="G2909" t="s">
        <v>4736</v>
      </c>
      <c r="H2909" t="str">
        <f t="shared" si="90"/>
        <v>https://videplast.com.br/consulta-imobilizado?id=32000182&amp;nome=RASTREADOR%20JABURSAT%20DMR%20200%20COM%20SIRENE</v>
      </c>
      <c r="I2909" t="e">
        <f t="shared" ca="1" si="91"/>
        <v>#NAME?</v>
      </c>
    </row>
    <row r="2910" spans="1:9" x14ac:dyDescent="0.25">
      <c r="A2910" s="2" t="s">
        <v>4824</v>
      </c>
      <c r="B2910" s="2" t="s">
        <v>10</v>
      </c>
      <c r="C2910" s="3">
        <v>43559</v>
      </c>
      <c r="D2910" t="s">
        <v>515</v>
      </c>
      <c r="E2910" s="2" t="s">
        <v>12</v>
      </c>
      <c r="F2910" s="2" t="s">
        <v>4825</v>
      </c>
      <c r="G2910" t="s">
        <v>4736</v>
      </c>
      <c r="H2910" t="str">
        <f t="shared" si="90"/>
        <v>https://videplast.com.br/consulta-imobilizado?id=32001334&amp;nome=MONITOR%20LED%2018,5"%20DELL%20E1916H</v>
      </c>
      <c r="I2910" t="e">
        <f t="shared" ca="1" si="91"/>
        <v>#NAME?</v>
      </c>
    </row>
    <row r="2911" spans="1:9" x14ac:dyDescent="0.25">
      <c r="A2911" s="2" t="s">
        <v>4826</v>
      </c>
      <c r="B2911" s="2" t="s">
        <v>10</v>
      </c>
      <c r="C2911" s="3">
        <v>43731</v>
      </c>
      <c r="D2911" t="s">
        <v>4827</v>
      </c>
      <c r="E2911" s="2" t="s">
        <v>12</v>
      </c>
      <c r="F2911" s="2" t="s">
        <v>12</v>
      </c>
      <c r="G2911" t="s">
        <v>4828</v>
      </c>
      <c r="H2911" t="str">
        <f t="shared" si="90"/>
        <v>https://videplast.com.br/consulta-imobilizado?id=30002243&amp;nome=CADEIRA%20GIRATORIA%20SECRETARIA%20CAVALETTI%204004%20SL</v>
      </c>
      <c r="I2911" t="e">
        <f t="shared" ca="1" si="91"/>
        <v>#NAME?</v>
      </c>
    </row>
    <row r="2912" spans="1:9" x14ac:dyDescent="0.25">
      <c r="A2912" s="2" t="s">
        <v>4829</v>
      </c>
      <c r="B2912" s="2" t="s">
        <v>10</v>
      </c>
      <c r="C2912" s="3">
        <v>43731</v>
      </c>
      <c r="D2912" t="s">
        <v>4827</v>
      </c>
      <c r="E2912" s="2" t="s">
        <v>12</v>
      </c>
      <c r="F2912" s="2" t="s">
        <v>12</v>
      </c>
      <c r="G2912" t="s">
        <v>4828</v>
      </c>
      <c r="H2912" t="str">
        <f t="shared" si="90"/>
        <v>https://videplast.com.br/consulta-imobilizado?id=30002244&amp;nome=CADEIRA%20GIRATORIA%20SECRETARIA%20CAVALETTI%204004%20SL</v>
      </c>
      <c r="I2912" t="e">
        <f t="shared" ca="1" si="91"/>
        <v>#NAME?</v>
      </c>
    </row>
    <row r="2913" spans="1:9" x14ac:dyDescent="0.25">
      <c r="A2913" s="2" t="s">
        <v>4830</v>
      </c>
      <c r="B2913" s="2" t="s">
        <v>10</v>
      </c>
      <c r="C2913" s="3">
        <v>43767</v>
      </c>
      <c r="D2913" t="s">
        <v>3359</v>
      </c>
      <c r="E2913" s="2" t="s">
        <v>12</v>
      </c>
      <c r="F2913" s="2" t="s">
        <v>12</v>
      </c>
      <c r="G2913" t="s">
        <v>4828</v>
      </c>
      <c r="H2913" t="str">
        <f t="shared" si="90"/>
        <v>https://videplast.com.br/consulta-imobilizado?id=30002312&amp;nome=RACK%20DESMON%2019"X40U%20600X800MM%20PT</v>
      </c>
      <c r="I2913" t="e">
        <f t="shared" ca="1" si="91"/>
        <v>#NAME?</v>
      </c>
    </row>
    <row r="2914" spans="1:9" x14ac:dyDescent="0.25">
      <c r="A2914" s="2" t="s">
        <v>4831</v>
      </c>
      <c r="B2914" s="2" t="s">
        <v>10</v>
      </c>
      <c r="C2914" s="3">
        <v>44988</v>
      </c>
      <c r="D2914" t="s">
        <v>4832</v>
      </c>
      <c r="E2914" s="2" t="s">
        <v>4833</v>
      </c>
      <c r="F2914" s="2" t="s">
        <v>12</v>
      </c>
      <c r="G2914" t="s">
        <v>4828</v>
      </c>
      <c r="H2914" t="str">
        <f t="shared" si="90"/>
        <v>https://videplast.com.br/consulta-imobilizado?id=30003783&amp;nome=ARMARIO%20DE%20ACO%201,66X0,75X0,35%20CINZA</v>
      </c>
      <c r="I2914" t="e">
        <f t="shared" ca="1" si="91"/>
        <v>#NAME?</v>
      </c>
    </row>
    <row r="2915" spans="1:9" x14ac:dyDescent="0.25">
      <c r="A2915" s="2" t="s">
        <v>4834</v>
      </c>
      <c r="B2915" s="2" t="s">
        <v>10</v>
      </c>
      <c r="C2915" s="3">
        <v>45307</v>
      </c>
      <c r="D2915" t="s">
        <v>4835</v>
      </c>
      <c r="E2915" s="2" t="s">
        <v>4836</v>
      </c>
      <c r="F2915" s="2" t="s">
        <v>4837</v>
      </c>
      <c r="G2915" t="s">
        <v>4828</v>
      </c>
      <c r="H2915" t="str">
        <f t="shared" si="90"/>
        <v>https://videplast.com.br/consulta-imobilizado?id=30004030&amp;nome=AR%20CONDICIONADO%20FRIO%20FUJITSU%2024.000%20BTU</v>
      </c>
      <c r="I2915" t="e">
        <f t="shared" ca="1" si="91"/>
        <v>#NAME?</v>
      </c>
    </row>
    <row r="2916" spans="1:9" x14ac:dyDescent="0.25">
      <c r="A2916" s="2" t="s">
        <v>4838</v>
      </c>
      <c r="B2916" s="2" t="s">
        <v>10</v>
      </c>
      <c r="C2916" s="3">
        <v>45518</v>
      </c>
      <c r="D2916" t="s">
        <v>4839</v>
      </c>
      <c r="E2916" s="2" t="s">
        <v>4840</v>
      </c>
      <c r="F2916" s="2" t="s">
        <v>12</v>
      </c>
      <c r="G2916" t="s">
        <v>4828</v>
      </c>
      <c r="H2916" t="str">
        <f t="shared" si="90"/>
        <v>https://videplast.com.br/consulta-imobilizado?id=30004224&amp;nome=RACK%20DESMONTAVEL%2019"X40%20U%20600X800MM%20PT%20A2.6840.700</v>
      </c>
      <c r="I2916" t="e">
        <f t="shared" ca="1" si="91"/>
        <v>#NAME?</v>
      </c>
    </row>
    <row r="2917" spans="1:9" x14ac:dyDescent="0.25">
      <c r="A2917" s="2" t="s">
        <v>4841</v>
      </c>
      <c r="B2917" s="2" t="s">
        <v>10</v>
      </c>
      <c r="C2917" s="3">
        <v>40999</v>
      </c>
      <c r="D2917" t="s">
        <v>4842</v>
      </c>
      <c r="E2917" s="2" t="s">
        <v>4843</v>
      </c>
      <c r="F2917" s="2" t="s">
        <v>12</v>
      </c>
      <c r="G2917" t="s">
        <v>4828</v>
      </c>
      <c r="H2917" t="str">
        <f t="shared" si="90"/>
        <v>https://videplast.com.br/consulta-imobilizado?id=32000076&amp;nome=NOTEBOOK%20MN%204129%20BLACK%20MEGAWARE</v>
      </c>
      <c r="I2917" t="e">
        <f t="shared" ca="1" si="91"/>
        <v>#NAME?</v>
      </c>
    </row>
    <row r="2918" spans="1:9" x14ac:dyDescent="0.25">
      <c r="A2918" s="2" t="s">
        <v>4844</v>
      </c>
      <c r="B2918" s="2" t="s">
        <v>10</v>
      </c>
      <c r="C2918" s="3">
        <v>42300</v>
      </c>
      <c r="D2918" t="s">
        <v>4845</v>
      </c>
      <c r="E2918" s="2" t="s">
        <v>12</v>
      </c>
      <c r="F2918" s="2" t="s">
        <v>12</v>
      </c>
      <c r="G2918" t="s">
        <v>4828</v>
      </c>
      <c r="H2918" s="5" t="str">
        <f t="shared" si="90"/>
        <v>https://videplast.com.br/consulta-imobilizado?id=32000886&amp;nome=COMPUTADOR%20LENOVO%20I5%204430%204GB%20500GB%20WIN8%20PE01MJAZ</v>
      </c>
      <c r="I2918" t="e">
        <f t="shared" ca="1" si="91"/>
        <v>#NAME?</v>
      </c>
    </row>
    <row r="2919" spans="1:9" x14ac:dyDescent="0.25">
      <c r="A2919" s="2" t="s">
        <v>4846</v>
      </c>
      <c r="B2919" s="2" t="s">
        <v>10</v>
      </c>
      <c r="C2919" s="3">
        <v>42786</v>
      </c>
      <c r="D2919" t="s">
        <v>4847</v>
      </c>
      <c r="E2919" s="2" t="s">
        <v>12</v>
      </c>
      <c r="F2919" s="2" t="s">
        <v>12</v>
      </c>
      <c r="G2919" t="s">
        <v>4828</v>
      </c>
      <c r="H2919" t="str">
        <f t="shared" si="90"/>
        <v>https://videplast.com.br/consulta-imobilizado?id=32000994&amp;nome=FIREWALL%20SONICWALL%20TZ300</v>
      </c>
      <c r="I2919" t="e">
        <f t="shared" ca="1" si="91"/>
        <v>#NAME?</v>
      </c>
    </row>
    <row r="2920" spans="1:9" x14ac:dyDescent="0.25">
      <c r="A2920" s="2" t="s">
        <v>4846</v>
      </c>
      <c r="B2920" s="2" t="s">
        <v>26</v>
      </c>
      <c r="C2920" s="3">
        <v>42786</v>
      </c>
      <c r="D2920" t="s">
        <v>4848</v>
      </c>
      <c r="E2920" s="2" t="s">
        <v>12</v>
      </c>
      <c r="F2920" s="2" t="s">
        <v>12</v>
      </c>
      <c r="G2920" t="s">
        <v>4828</v>
      </c>
      <c r="H2920" t="str">
        <f t="shared" si="90"/>
        <v>https://videplast.com.br/consulta-imobilizado?id=32000994&amp;nome=LICENÇA%20DE%20USO%20SONICWALL%202%20ANOS</v>
      </c>
      <c r="I2920" t="e">
        <f t="shared" ca="1" si="91"/>
        <v>#NAME?</v>
      </c>
    </row>
    <row r="2921" spans="1:9" x14ac:dyDescent="0.25">
      <c r="A2921" s="2" t="s">
        <v>4846</v>
      </c>
      <c r="B2921" s="2" t="s">
        <v>21</v>
      </c>
      <c r="C2921" s="3">
        <v>42786</v>
      </c>
      <c r="D2921" t="s">
        <v>4849</v>
      </c>
      <c r="E2921" s="2" t="s">
        <v>12</v>
      </c>
      <c r="F2921" s="2" t="s">
        <v>12</v>
      </c>
      <c r="G2921" t="s">
        <v>4828</v>
      </c>
      <c r="H2921" t="str">
        <f t="shared" si="90"/>
        <v>https://videplast.com.br/consulta-imobilizado?id=32000994&amp;nome=LICENÇA%20ANALYSER%20TZ300</v>
      </c>
      <c r="I2921" t="e">
        <f t="shared" ca="1" si="91"/>
        <v>#NAME?</v>
      </c>
    </row>
    <row r="2922" spans="1:9" x14ac:dyDescent="0.25">
      <c r="A2922" s="2" t="s">
        <v>4846</v>
      </c>
      <c r="B2922" s="2" t="s">
        <v>29</v>
      </c>
      <c r="C2922" s="3">
        <v>42786</v>
      </c>
      <c r="D2922" t="s">
        <v>4850</v>
      </c>
      <c r="E2922" s="2" t="s">
        <v>12</v>
      </c>
      <c r="F2922" s="2" t="s">
        <v>12</v>
      </c>
      <c r="G2922" t="s">
        <v>4828</v>
      </c>
      <c r="H2922" t="str">
        <f t="shared" si="90"/>
        <v>https://videplast.com.br/consulta-imobilizado?id=32000994&amp;nome=FIREWALL%20SONICWALL%20SOHO</v>
      </c>
      <c r="I2922" t="e">
        <f t="shared" ca="1" si="91"/>
        <v>#NAME?</v>
      </c>
    </row>
    <row r="2923" spans="1:9" x14ac:dyDescent="0.25">
      <c r="A2923" s="2" t="s">
        <v>4851</v>
      </c>
      <c r="B2923" s="2" t="s">
        <v>10</v>
      </c>
      <c r="C2923" s="3">
        <v>42804</v>
      </c>
      <c r="D2923" t="s">
        <v>4852</v>
      </c>
      <c r="E2923" s="2" t="s">
        <v>12</v>
      </c>
      <c r="F2923" s="2" t="s">
        <v>12</v>
      </c>
      <c r="G2923" t="s">
        <v>4828</v>
      </c>
      <c r="H2923" t="str">
        <f t="shared" si="90"/>
        <v>https://videplast.com.br/consulta-imobilizado?id=32001000&amp;nome=SERVIDOR%20DELL%20POWEREDGE</v>
      </c>
      <c r="I2923" t="e">
        <f t="shared" ca="1" si="91"/>
        <v>#NAME?</v>
      </c>
    </row>
    <row r="2924" spans="1:9" x14ac:dyDescent="0.25">
      <c r="A2924" s="2" t="s">
        <v>4851</v>
      </c>
      <c r="B2924" s="2" t="s">
        <v>26</v>
      </c>
      <c r="C2924" s="3">
        <v>45497</v>
      </c>
      <c r="D2924" t="s">
        <v>4853</v>
      </c>
      <c r="E2924" s="2" t="s">
        <v>12</v>
      </c>
      <c r="F2924" s="2" t="s">
        <v>12</v>
      </c>
      <c r="G2924" t="s">
        <v>4828</v>
      </c>
      <c r="H2924" t="str">
        <f t="shared" si="90"/>
        <v>https://videplast.com.br/consulta-imobilizado?id=32001000&amp;nome=CONJUNTO%20CONTENDO%20MEMORIA%204%20GB%20DDR%20400</v>
      </c>
      <c r="I2924" t="e">
        <f t="shared" ca="1" si="91"/>
        <v>#NAME?</v>
      </c>
    </row>
    <row r="2925" spans="1:9" x14ac:dyDescent="0.25">
      <c r="A2925" s="2" t="s">
        <v>4851</v>
      </c>
      <c r="B2925" s="2" t="s">
        <v>21</v>
      </c>
      <c r="C2925" s="3">
        <v>45497</v>
      </c>
      <c r="D2925" t="s">
        <v>4854</v>
      </c>
      <c r="E2925" s="2" t="s">
        <v>12</v>
      </c>
      <c r="F2925" s="2" t="s">
        <v>12</v>
      </c>
      <c r="G2925" t="s">
        <v>4828</v>
      </c>
      <c r="H2925" t="str">
        <f t="shared" si="90"/>
        <v>https://videplast.com.br/consulta-imobilizado?id=32001000&amp;nome=MODULO%20DE%20MEMÓRIA%20KVR13E9/81</v>
      </c>
      <c r="I2925" t="e">
        <f t="shared" ca="1" si="91"/>
        <v>#NAME?</v>
      </c>
    </row>
    <row r="2926" spans="1:9" x14ac:dyDescent="0.25">
      <c r="A2926" s="2" t="s">
        <v>4855</v>
      </c>
      <c r="B2926" s="2" t="s">
        <v>10</v>
      </c>
      <c r="C2926" s="3">
        <v>43199</v>
      </c>
      <c r="D2926" t="s">
        <v>4856</v>
      </c>
      <c r="E2926" s="2" t="s">
        <v>12</v>
      </c>
      <c r="F2926" s="2" t="s">
        <v>4857</v>
      </c>
      <c r="G2926" t="s">
        <v>4828</v>
      </c>
      <c r="H2926" s="5" t="str">
        <f t="shared" si="90"/>
        <v>https://videplast.com.br/consulta-imobilizado?id=32001077&amp;nome=COMPUTADOR%20DELL%20OPTIPLEX%203050SFF%20%20I5%20-7500</v>
      </c>
      <c r="I2926" t="e">
        <f t="shared" ca="1" si="91"/>
        <v>#NAME?</v>
      </c>
    </row>
    <row r="2927" spans="1:9" x14ac:dyDescent="0.25">
      <c r="A2927" s="2" t="s">
        <v>4858</v>
      </c>
      <c r="B2927" s="2" t="s">
        <v>10</v>
      </c>
      <c r="C2927" s="3">
        <v>43392</v>
      </c>
      <c r="D2927" t="s">
        <v>4859</v>
      </c>
      <c r="E2927" s="2" t="s">
        <v>12</v>
      </c>
      <c r="F2927" s="2" t="s">
        <v>12</v>
      </c>
      <c r="G2927" t="s">
        <v>4828</v>
      </c>
      <c r="H2927" s="5" t="str">
        <f t="shared" si="90"/>
        <v>https://videplast.com.br/consulta-imobilizado?id=32001138&amp;nome=COMPUTADOR%20DELL%20VOSTRO%20PROCESSADOR%20INTEL%20CORE%20I5</v>
      </c>
      <c r="I2927" t="e">
        <f t="shared" ca="1" si="91"/>
        <v>#NAME?</v>
      </c>
    </row>
    <row r="2928" spans="1:9" x14ac:dyDescent="0.25">
      <c r="A2928" s="2" t="s">
        <v>4860</v>
      </c>
      <c r="B2928" s="2" t="s">
        <v>10</v>
      </c>
      <c r="C2928" s="3">
        <v>43392</v>
      </c>
      <c r="D2928" t="s">
        <v>2936</v>
      </c>
      <c r="E2928" s="2" t="s">
        <v>12</v>
      </c>
      <c r="F2928" s="2" t="s">
        <v>4861</v>
      </c>
      <c r="G2928" t="s">
        <v>4828</v>
      </c>
      <c r="H2928" t="str">
        <f t="shared" si="90"/>
        <v>https://videplast.com.br/consulta-imobilizado?id=32001139&amp;nome=MONITOR%20DELL%20E1916H%2019"</v>
      </c>
      <c r="I2928" t="e">
        <f t="shared" ca="1" si="91"/>
        <v>#NAME?</v>
      </c>
    </row>
    <row r="2929" spans="1:9" x14ac:dyDescent="0.25">
      <c r="A2929" s="2" t="s">
        <v>4862</v>
      </c>
      <c r="B2929" s="2" t="s">
        <v>10</v>
      </c>
      <c r="C2929" s="3">
        <v>43494</v>
      </c>
      <c r="D2929" t="s">
        <v>4863</v>
      </c>
      <c r="E2929" s="2" t="s">
        <v>12</v>
      </c>
      <c r="F2929" s="2" t="s">
        <v>12</v>
      </c>
      <c r="G2929" t="s">
        <v>4828</v>
      </c>
      <c r="H2929" t="str">
        <f t="shared" si="90"/>
        <v>https://videplast.com.br/consulta-imobilizado?id=32001220&amp;nome=FIREWALL%20MODELO%20FORTIGATE%20-100E</v>
      </c>
      <c r="I2929" t="e">
        <f t="shared" ca="1" si="91"/>
        <v>#NAME?</v>
      </c>
    </row>
    <row r="2930" spans="1:9" x14ac:dyDescent="0.25">
      <c r="A2930" s="2" t="s">
        <v>4864</v>
      </c>
      <c r="B2930" s="2" t="s">
        <v>10</v>
      </c>
      <c r="C2930" s="3">
        <v>43494</v>
      </c>
      <c r="D2930" t="s">
        <v>4863</v>
      </c>
      <c r="E2930" s="2" t="s">
        <v>12</v>
      </c>
      <c r="F2930" s="2" t="s">
        <v>12</v>
      </c>
      <c r="G2930" t="s">
        <v>4828</v>
      </c>
      <c r="H2930" t="str">
        <f t="shared" si="90"/>
        <v>https://videplast.com.br/consulta-imobilizado?id=32001221&amp;nome=FIREWALL%20MODELO%20FORTIGATE%20-100E</v>
      </c>
      <c r="I2930" t="e">
        <f t="shared" ca="1" si="91"/>
        <v>#NAME?</v>
      </c>
    </row>
    <row r="2931" spans="1:9" x14ac:dyDescent="0.25">
      <c r="A2931" s="2" t="s">
        <v>4865</v>
      </c>
      <c r="B2931" s="2" t="s">
        <v>10</v>
      </c>
      <c r="C2931" s="3">
        <v>43530</v>
      </c>
      <c r="D2931" t="s">
        <v>4866</v>
      </c>
      <c r="E2931" s="2" t="s">
        <v>12</v>
      </c>
      <c r="F2931" s="2" t="s">
        <v>12</v>
      </c>
      <c r="G2931" t="s">
        <v>4828</v>
      </c>
      <c r="H2931" t="str">
        <f t="shared" si="90"/>
        <v>https://videplast.com.br/consulta-imobilizado?id=32001238&amp;nome=SWITCH%20ARUBA%20%203810M%2024G%20JL071A_0212%20I</v>
      </c>
      <c r="I2931" t="e">
        <f t="shared" ca="1" si="91"/>
        <v>#NAME?</v>
      </c>
    </row>
    <row r="2932" spans="1:9" x14ac:dyDescent="0.25">
      <c r="A2932" s="2" t="s">
        <v>4867</v>
      </c>
      <c r="B2932" s="2" t="s">
        <v>10</v>
      </c>
      <c r="C2932" s="3">
        <v>43530</v>
      </c>
      <c r="D2932" t="s">
        <v>4866</v>
      </c>
      <c r="E2932" s="2" t="s">
        <v>12</v>
      </c>
      <c r="F2932" s="2" t="s">
        <v>12</v>
      </c>
      <c r="G2932" t="s">
        <v>4828</v>
      </c>
      <c r="H2932" t="str">
        <f t="shared" si="90"/>
        <v>https://videplast.com.br/consulta-imobilizado?id=32001239&amp;nome=SWITCH%20ARUBA%20%203810M%2024G%20JL071A_0212%20I</v>
      </c>
      <c r="I2932" t="e">
        <f t="shared" ca="1" si="91"/>
        <v>#NAME?</v>
      </c>
    </row>
    <row r="2933" spans="1:9" x14ac:dyDescent="0.25">
      <c r="A2933" s="2" t="s">
        <v>4868</v>
      </c>
      <c r="B2933" s="2" t="s">
        <v>10</v>
      </c>
      <c r="C2933" s="3">
        <v>43559</v>
      </c>
      <c r="D2933" t="s">
        <v>2294</v>
      </c>
      <c r="E2933" s="2" t="s">
        <v>12</v>
      </c>
      <c r="F2933" s="2" t="s">
        <v>12</v>
      </c>
      <c r="G2933" t="s">
        <v>4828</v>
      </c>
      <c r="H2933" s="5" t="str">
        <f t="shared" si="90"/>
        <v>https://videplast.com.br/consulta-imobilizado?id=32001328&amp;nome=COMPUTADOR%20DELL%20VOSTRO%20I3%204GB%20HD%201TB%20W10P</v>
      </c>
      <c r="I2933" t="e">
        <f t="shared" ca="1" si="91"/>
        <v>#NAME?</v>
      </c>
    </row>
    <row r="2934" spans="1:9" x14ac:dyDescent="0.25">
      <c r="A2934" s="2" t="s">
        <v>4869</v>
      </c>
      <c r="B2934" s="2" t="s">
        <v>10</v>
      </c>
      <c r="C2934" s="3">
        <v>43559</v>
      </c>
      <c r="D2934" t="s">
        <v>2294</v>
      </c>
      <c r="E2934" s="2" t="s">
        <v>12</v>
      </c>
      <c r="F2934" s="2" t="s">
        <v>4870</v>
      </c>
      <c r="G2934" t="s">
        <v>4828</v>
      </c>
      <c r="H2934" s="5" t="str">
        <f t="shared" si="90"/>
        <v>https://videplast.com.br/consulta-imobilizado?id=32001329&amp;nome=COMPUTADOR%20DELL%20VOSTRO%20I3%204GB%20HD%201TB%20W10P</v>
      </c>
      <c r="I2934" t="e">
        <f t="shared" ca="1" si="91"/>
        <v>#NAME?</v>
      </c>
    </row>
    <row r="2935" spans="1:9" x14ac:dyDescent="0.25">
      <c r="A2935" s="2" t="s">
        <v>4871</v>
      </c>
      <c r="B2935" s="2" t="s">
        <v>10</v>
      </c>
      <c r="C2935" s="3">
        <v>43559</v>
      </c>
      <c r="D2935" t="s">
        <v>515</v>
      </c>
      <c r="E2935" s="2" t="s">
        <v>12</v>
      </c>
      <c r="F2935" s="2" t="s">
        <v>12</v>
      </c>
      <c r="G2935" t="s">
        <v>4828</v>
      </c>
      <c r="H2935" t="str">
        <f t="shared" si="90"/>
        <v>https://videplast.com.br/consulta-imobilizado?id=32001333&amp;nome=MONITOR%20LED%2018,5"%20DELL%20E1916H</v>
      </c>
      <c r="I2935" t="e">
        <f t="shared" ca="1" si="91"/>
        <v>#NAME?</v>
      </c>
    </row>
    <row r="2936" spans="1:9" x14ac:dyDescent="0.25">
      <c r="A2936" s="2" t="s">
        <v>4872</v>
      </c>
      <c r="B2936" s="2" t="s">
        <v>10</v>
      </c>
      <c r="C2936" s="3">
        <v>43707</v>
      </c>
      <c r="D2936" t="s">
        <v>4873</v>
      </c>
      <c r="E2936" s="2" t="s">
        <v>12</v>
      </c>
      <c r="F2936" s="2" t="s">
        <v>12</v>
      </c>
      <c r="G2936" t="s">
        <v>4828</v>
      </c>
      <c r="H2936" t="str">
        <f t="shared" si="90"/>
        <v>https://videplast.com.br/consulta-imobilizado?id=32001582&amp;nome=SWITCH%20ARUBA%202540%2048G%20POE+%20PERP4SFP</v>
      </c>
      <c r="I2936" t="e">
        <f t="shared" ca="1" si="91"/>
        <v>#NAME?</v>
      </c>
    </row>
    <row r="2937" spans="1:9" x14ac:dyDescent="0.25">
      <c r="A2937" s="2" t="s">
        <v>4874</v>
      </c>
      <c r="B2937" s="2" t="s">
        <v>10</v>
      </c>
      <c r="C2937" s="3">
        <v>43728</v>
      </c>
      <c r="D2937" t="s">
        <v>4875</v>
      </c>
      <c r="E2937" s="2" t="s">
        <v>12</v>
      </c>
      <c r="F2937" s="2" t="s">
        <v>12</v>
      </c>
      <c r="G2937" t="s">
        <v>4828</v>
      </c>
      <c r="H2937" t="str">
        <f t="shared" si="90"/>
        <v>https://videplast.com.br/consulta-imobilizado?id=32001597&amp;nome=NOBREAK%20APC%20SMART%20UPS%20RT%203000%20VA%20RM%20220V</v>
      </c>
      <c r="I2937" t="e">
        <f t="shared" ca="1" si="91"/>
        <v>#NAME?</v>
      </c>
    </row>
    <row r="2938" spans="1:9" x14ac:dyDescent="0.25">
      <c r="A2938" s="2" t="s">
        <v>4876</v>
      </c>
      <c r="B2938" s="2" t="s">
        <v>10</v>
      </c>
      <c r="C2938" s="3">
        <v>43796</v>
      </c>
      <c r="D2938" t="s">
        <v>4877</v>
      </c>
      <c r="E2938" s="2" t="s">
        <v>12</v>
      </c>
      <c r="F2938" s="2" t="s">
        <v>12</v>
      </c>
      <c r="G2938" t="s">
        <v>4828</v>
      </c>
      <c r="H2938" t="str">
        <f t="shared" si="90"/>
        <v>https://videplast.com.br/consulta-imobilizado?id=32001626&amp;nome=SWITCH%20ARUBA%202540%2048G%20(JL357A)%20POE+%20PERP4SFP</v>
      </c>
      <c r="I2938" t="e">
        <f t="shared" ca="1" si="91"/>
        <v>#NAME?</v>
      </c>
    </row>
    <row r="2939" spans="1:9" x14ac:dyDescent="0.25">
      <c r="A2939" s="2" t="s">
        <v>4878</v>
      </c>
      <c r="B2939" s="2" t="s">
        <v>10</v>
      </c>
      <c r="C2939" s="3">
        <v>44448</v>
      </c>
      <c r="D2939" t="s">
        <v>4879</v>
      </c>
      <c r="E2939" s="2" t="s">
        <v>12</v>
      </c>
      <c r="F2939" s="2" t="s">
        <v>12</v>
      </c>
      <c r="G2939" t="s">
        <v>4828</v>
      </c>
      <c r="H2939" t="str">
        <f t="shared" si="90"/>
        <v>https://videplast.com.br/consulta-imobilizado?id=32002215&amp;nome=SERVIDOR%20DELL%20POWEREDGE%20T440</v>
      </c>
      <c r="I2939" t="e">
        <f t="shared" ca="1" si="91"/>
        <v>#NAME?</v>
      </c>
    </row>
    <row r="2940" spans="1:9" x14ac:dyDescent="0.25">
      <c r="A2940" s="2" t="s">
        <v>4880</v>
      </c>
      <c r="B2940" s="2" t="s">
        <v>10</v>
      </c>
      <c r="C2940" s="3">
        <v>44527</v>
      </c>
      <c r="D2940" t="s">
        <v>4881</v>
      </c>
      <c r="E2940" s="2" t="s">
        <v>12</v>
      </c>
      <c r="F2940" s="2" t="s">
        <v>12</v>
      </c>
      <c r="G2940" t="s">
        <v>4828</v>
      </c>
      <c r="H2940" t="str">
        <f t="shared" si="90"/>
        <v>https://videplast.com.br/consulta-imobilizado?id=32002257&amp;nome=NOTEBOOK%20DELL%20VOSTRO%2014%20I5%208GB%20HD%20SSD240GB%20W10P</v>
      </c>
      <c r="I2940" t="e">
        <f t="shared" ca="1" si="91"/>
        <v>#NAME?</v>
      </c>
    </row>
    <row r="2941" spans="1:9" x14ac:dyDescent="0.25">
      <c r="A2941" s="2" t="s">
        <v>3462</v>
      </c>
      <c r="B2941" s="2" t="s">
        <v>26</v>
      </c>
      <c r="C2941" s="3">
        <v>44719</v>
      </c>
      <c r="D2941" t="s">
        <v>4882</v>
      </c>
      <c r="E2941" s="2" t="s">
        <v>12</v>
      </c>
      <c r="F2941" s="2" t="s">
        <v>12</v>
      </c>
      <c r="G2941" t="s">
        <v>4828</v>
      </c>
      <c r="H2941" t="str">
        <f t="shared" si="90"/>
        <v>https://videplast.com.br/consulta-imobilizado?id=32002367&amp;nome=HD%20SSD%20250GB%20G25</v>
      </c>
      <c r="I2941" t="e">
        <f t="shared" ca="1" si="91"/>
        <v>#NAME?</v>
      </c>
    </row>
    <row r="2942" spans="1:9" x14ac:dyDescent="0.25">
      <c r="A2942" s="2" t="s">
        <v>3464</v>
      </c>
      <c r="B2942" s="2" t="s">
        <v>26</v>
      </c>
      <c r="C2942" s="3">
        <v>44719</v>
      </c>
      <c r="D2942" t="s">
        <v>4882</v>
      </c>
      <c r="E2942" s="2" t="s">
        <v>12</v>
      </c>
      <c r="F2942" s="2" t="s">
        <v>12</v>
      </c>
      <c r="G2942" t="s">
        <v>4828</v>
      </c>
      <c r="H2942" t="str">
        <f t="shared" si="90"/>
        <v>https://videplast.com.br/consulta-imobilizado?id=32002368&amp;nome=HD%20SSD%20250GB%20G25</v>
      </c>
      <c r="I2942" t="e">
        <f t="shared" ca="1" si="91"/>
        <v>#NAME?</v>
      </c>
    </row>
    <row r="2943" spans="1:9" x14ac:dyDescent="0.25">
      <c r="A2943" s="2" t="s">
        <v>3466</v>
      </c>
      <c r="B2943" s="2" t="s">
        <v>26</v>
      </c>
      <c r="C2943" s="3">
        <v>44719</v>
      </c>
      <c r="D2943" t="s">
        <v>4882</v>
      </c>
      <c r="E2943" s="2" t="s">
        <v>12</v>
      </c>
      <c r="F2943" s="2" t="s">
        <v>12</v>
      </c>
      <c r="G2943" t="s">
        <v>4828</v>
      </c>
      <c r="H2943" t="str">
        <f t="shared" si="90"/>
        <v>https://videplast.com.br/consulta-imobilizado?id=32002369&amp;nome=HD%20SSD%20250GB%20G25</v>
      </c>
      <c r="I2943" t="e">
        <f t="shared" ca="1" si="91"/>
        <v>#NAME?</v>
      </c>
    </row>
    <row r="2944" spans="1:9" x14ac:dyDescent="0.25">
      <c r="A2944" s="2" t="s">
        <v>4883</v>
      </c>
      <c r="B2944" s="2" t="s">
        <v>26</v>
      </c>
      <c r="C2944" s="3">
        <v>44719</v>
      </c>
      <c r="D2944" t="s">
        <v>4882</v>
      </c>
      <c r="E2944" s="2" t="s">
        <v>12</v>
      </c>
      <c r="F2944" s="2" t="s">
        <v>12</v>
      </c>
      <c r="G2944" t="s">
        <v>4828</v>
      </c>
      <c r="H2944" t="str">
        <f t="shared" si="90"/>
        <v>https://videplast.com.br/consulta-imobilizado?id=32002370&amp;nome=HD%20SSD%20250GB%20G25</v>
      </c>
      <c r="I2944" t="e">
        <f t="shared" ca="1" si="91"/>
        <v>#NAME?</v>
      </c>
    </row>
    <row r="2945" spans="1:9" x14ac:dyDescent="0.25">
      <c r="A2945" s="2" t="s">
        <v>534</v>
      </c>
      <c r="B2945" s="2" t="s">
        <v>26</v>
      </c>
      <c r="C2945" s="3">
        <v>44719</v>
      </c>
      <c r="D2945" t="s">
        <v>4882</v>
      </c>
      <c r="E2945" s="2" t="s">
        <v>12</v>
      </c>
      <c r="F2945" s="2" t="s">
        <v>12</v>
      </c>
      <c r="G2945" t="s">
        <v>4828</v>
      </c>
      <c r="H2945" t="str">
        <f t="shared" si="90"/>
        <v>https://videplast.com.br/consulta-imobilizado?id=32002371&amp;nome=HD%20SSD%20250GB%20G25</v>
      </c>
      <c r="I2945" t="e">
        <f t="shared" ca="1" si="91"/>
        <v>#NAME?</v>
      </c>
    </row>
    <row r="2946" spans="1:9" x14ac:dyDescent="0.25">
      <c r="A2946" s="2" t="s">
        <v>538</v>
      </c>
      <c r="B2946" s="2" t="s">
        <v>26</v>
      </c>
      <c r="C2946" s="3">
        <v>44719</v>
      </c>
      <c r="D2946" t="s">
        <v>4882</v>
      </c>
      <c r="E2946" s="2" t="s">
        <v>12</v>
      </c>
      <c r="F2946" s="2" t="s">
        <v>12</v>
      </c>
      <c r="G2946" t="s">
        <v>4828</v>
      </c>
      <c r="H2946" t="str">
        <f t="shared" ref="H2946:H3009" si="92" xml:space="preserve"> "https://videplast.com.br/consulta-imobilizado?id=" &amp; A2946 &amp; "&amp;nome=" &amp; SUBSTITUTE(D2946, " ", "%20")</f>
        <v>https://videplast.com.br/consulta-imobilizado?id=32002372&amp;nome=HD%20SSD%20250GB%20G25</v>
      </c>
      <c r="I2946" t="e">
        <f t="shared" ref="I2946:I3009" ca="1" si="93">_xlfn.IMAGE("https://chart.googleapis.com/chart?chs=150x150&amp;cht=qr&amp;chl=" &amp; H2946)</f>
        <v>#NAME?</v>
      </c>
    </row>
    <row r="2947" spans="1:9" x14ac:dyDescent="0.25">
      <c r="A2947" s="2" t="s">
        <v>4644</v>
      </c>
      <c r="B2947" s="2" t="s">
        <v>26</v>
      </c>
      <c r="C2947" s="3">
        <v>44719</v>
      </c>
      <c r="D2947" t="s">
        <v>4882</v>
      </c>
      <c r="E2947" s="2" t="s">
        <v>12</v>
      </c>
      <c r="F2947" s="2" t="s">
        <v>12</v>
      </c>
      <c r="G2947" t="s">
        <v>4828</v>
      </c>
      <c r="H2947" t="str">
        <f t="shared" si="92"/>
        <v>https://videplast.com.br/consulta-imobilizado?id=32002373&amp;nome=HD%20SSD%20250GB%20G25</v>
      </c>
      <c r="I2947" t="e">
        <f t="shared" ca="1" si="93"/>
        <v>#NAME?</v>
      </c>
    </row>
    <row r="2948" spans="1:9" x14ac:dyDescent="0.25">
      <c r="A2948" s="2" t="s">
        <v>4646</v>
      </c>
      <c r="B2948" s="2" t="s">
        <v>26</v>
      </c>
      <c r="C2948" s="3">
        <v>44719</v>
      </c>
      <c r="D2948" t="s">
        <v>4882</v>
      </c>
      <c r="E2948" s="2" t="s">
        <v>12</v>
      </c>
      <c r="F2948" s="2" t="s">
        <v>12</v>
      </c>
      <c r="G2948" t="s">
        <v>4828</v>
      </c>
      <c r="H2948" t="str">
        <f t="shared" si="92"/>
        <v>https://videplast.com.br/consulta-imobilizado?id=32002374&amp;nome=HD%20SSD%20250GB%20G25</v>
      </c>
      <c r="I2948" t="e">
        <f t="shared" ca="1" si="93"/>
        <v>#NAME?</v>
      </c>
    </row>
    <row r="2949" spans="1:9" x14ac:dyDescent="0.25">
      <c r="A2949" s="2" t="s">
        <v>4648</v>
      </c>
      <c r="B2949" s="2" t="s">
        <v>26</v>
      </c>
      <c r="C2949" s="3">
        <v>44719</v>
      </c>
      <c r="D2949" t="s">
        <v>4882</v>
      </c>
      <c r="E2949" s="2" t="s">
        <v>12</v>
      </c>
      <c r="F2949" s="2" t="s">
        <v>12</v>
      </c>
      <c r="G2949" t="s">
        <v>4828</v>
      </c>
      <c r="H2949" t="str">
        <f t="shared" si="92"/>
        <v>https://videplast.com.br/consulta-imobilizado?id=32002375&amp;nome=HD%20SSD%20250GB%20G25</v>
      </c>
      <c r="I2949" t="e">
        <f t="shared" ca="1" si="93"/>
        <v>#NAME?</v>
      </c>
    </row>
    <row r="2950" spans="1:9" x14ac:dyDescent="0.25">
      <c r="A2950" s="2" t="s">
        <v>4884</v>
      </c>
      <c r="B2950" s="2" t="s">
        <v>26</v>
      </c>
      <c r="C2950" s="3">
        <v>44719</v>
      </c>
      <c r="D2950" t="s">
        <v>4882</v>
      </c>
      <c r="E2950" s="2" t="s">
        <v>12</v>
      </c>
      <c r="F2950" s="2" t="s">
        <v>12</v>
      </c>
      <c r="G2950" t="s">
        <v>4828</v>
      </c>
      <c r="H2950" t="str">
        <f t="shared" si="92"/>
        <v>https://videplast.com.br/consulta-imobilizado?id=32002376&amp;nome=HD%20SSD%20250GB%20G25</v>
      </c>
      <c r="I2950" t="e">
        <f t="shared" ca="1" si="93"/>
        <v>#NAME?</v>
      </c>
    </row>
    <row r="2951" spans="1:9" x14ac:dyDescent="0.25">
      <c r="A2951" s="2" t="s">
        <v>4885</v>
      </c>
      <c r="B2951" s="2" t="s">
        <v>10</v>
      </c>
      <c r="C2951" s="3">
        <v>44700</v>
      </c>
      <c r="D2951" t="s">
        <v>535</v>
      </c>
      <c r="E2951" s="2" t="s">
        <v>4886</v>
      </c>
      <c r="F2951" s="2" t="s">
        <v>4887</v>
      </c>
      <c r="G2951" t="s">
        <v>4828</v>
      </c>
      <c r="H2951" s="5" t="str">
        <f t="shared" si="92"/>
        <v>https://videplast.com.br/consulta-imobilizado?id=32002377&amp;nome=COMPUTADOR%20DELL%20OPTIPLEX/VASTRO%20I3%204GB%20SSD256%20W10P</v>
      </c>
      <c r="I2951" t="e">
        <f t="shared" ca="1" si="93"/>
        <v>#NAME?</v>
      </c>
    </row>
    <row r="2952" spans="1:9" x14ac:dyDescent="0.25">
      <c r="A2952" s="2" t="s">
        <v>2975</v>
      </c>
      <c r="B2952" s="2" t="s">
        <v>26</v>
      </c>
      <c r="C2952" s="3">
        <v>44658</v>
      </c>
      <c r="D2952" t="s">
        <v>4888</v>
      </c>
      <c r="E2952" s="2" t="s">
        <v>12</v>
      </c>
      <c r="F2952" s="2" t="s">
        <v>12</v>
      </c>
      <c r="G2952" t="s">
        <v>4828</v>
      </c>
      <c r="H2952" t="str">
        <f t="shared" si="92"/>
        <v>https://videplast.com.br/consulta-imobilizado?id=32002404&amp;nome=SERVIÇO%20REF%20LICENCIAMENTO%20E%20ACESSO%20DE%20PROGRAMA</v>
      </c>
      <c r="I2952" t="e">
        <f t="shared" ca="1" si="93"/>
        <v>#NAME?</v>
      </c>
    </row>
    <row r="2953" spans="1:9" x14ac:dyDescent="0.25">
      <c r="A2953" s="2" t="s">
        <v>4889</v>
      </c>
      <c r="B2953" s="2" t="s">
        <v>10</v>
      </c>
      <c r="C2953" s="3">
        <v>44715</v>
      </c>
      <c r="D2953" t="s">
        <v>4890</v>
      </c>
      <c r="E2953" s="2" t="s">
        <v>12</v>
      </c>
      <c r="F2953" s="2" t="s">
        <v>12</v>
      </c>
      <c r="G2953" t="s">
        <v>4828</v>
      </c>
      <c r="H2953" t="str">
        <f t="shared" si="92"/>
        <v>https://videplast.com.br/consulta-imobilizado?id=32002446&amp;nome=GRAVADOR%20DIGITAL%20INTELBRAS%20DE%20VIDEO%20NVD%207132</v>
      </c>
      <c r="I2953" t="e">
        <f t="shared" ca="1" si="93"/>
        <v>#NAME?</v>
      </c>
    </row>
    <row r="2954" spans="1:9" x14ac:dyDescent="0.25">
      <c r="A2954" s="2" t="s">
        <v>4891</v>
      </c>
      <c r="B2954" s="2" t="s">
        <v>10</v>
      </c>
      <c r="C2954" s="3">
        <v>44715</v>
      </c>
      <c r="D2954" t="s">
        <v>4892</v>
      </c>
      <c r="E2954" s="2" t="s">
        <v>12</v>
      </c>
      <c r="F2954" s="2" t="s">
        <v>12</v>
      </c>
      <c r="G2954" t="s">
        <v>4828</v>
      </c>
      <c r="H2954" t="str">
        <f t="shared" si="92"/>
        <v>https://videplast.com.br/consulta-imobilizado?id=32002447&amp;nome=CAMERA%20IP%20INTELBRAS%20VIP%201430B%20BULLET%204M</v>
      </c>
      <c r="I2954" t="e">
        <f t="shared" ca="1" si="93"/>
        <v>#NAME?</v>
      </c>
    </row>
    <row r="2955" spans="1:9" x14ac:dyDescent="0.25">
      <c r="A2955" s="2" t="s">
        <v>4893</v>
      </c>
      <c r="B2955" s="2" t="s">
        <v>10</v>
      </c>
      <c r="C2955" s="3">
        <v>44715</v>
      </c>
      <c r="D2955" t="s">
        <v>4892</v>
      </c>
      <c r="E2955" s="2" t="s">
        <v>12</v>
      </c>
      <c r="F2955" s="2" t="s">
        <v>12</v>
      </c>
      <c r="G2955" t="s">
        <v>4828</v>
      </c>
      <c r="H2955" t="str">
        <f t="shared" si="92"/>
        <v>https://videplast.com.br/consulta-imobilizado?id=32002448&amp;nome=CAMERA%20IP%20INTELBRAS%20VIP%201430B%20BULLET%204M</v>
      </c>
      <c r="I2955" t="e">
        <f t="shared" ca="1" si="93"/>
        <v>#NAME?</v>
      </c>
    </row>
    <row r="2956" spans="1:9" x14ac:dyDescent="0.25">
      <c r="A2956" s="2" t="s">
        <v>4894</v>
      </c>
      <c r="B2956" s="2" t="s">
        <v>10</v>
      </c>
      <c r="C2956" s="3">
        <v>44715</v>
      </c>
      <c r="D2956" t="s">
        <v>4892</v>
      </c>
      <c r="E2956" s="2" t="s">
        <v>12</v>
      </c>
      <c r="F2956" s="2" t="s">
        <v>12</v>
      </c>
      <c r="G2956" t="s">
        <v>4828</v>
      </c>
      <c r="H2956" t="str">
        <f t="shared" si="92"/>
        <v>https://videplast.com.br/consulta-imobilizado?id=32002449&amp;nome=CAMERA%20IP%20INTELBRAS%20VIP%201430B%20BULLET%204M</v>
      </c>
      <c r="I2956" t="e">
        <f t="shared" ca="1" si="93"/>
        <v>#NAME?</v>
      </c>
    </row>
    <row r="2957" spans="1:9" x14ac:dyDescent="0.25">
      <c r="A2957" s="2" t="s">
        <v>4895</v>
      </c>
      <c r="B2957" s="2" t="s">
        <v>10</v>
      </c>
      <c r="C2957" s="3">
        <v>44715</v>
      </c>
      <c r="D2957" t="s">
        <v>4892</v>
      </c>
      <c r="E2957" s="2" t="s">
        <v>12</v>
      </c>
      <c r="F2957" s="2" t="s">
        <v>12</v>
      </c>
      <c r="G2957" t="s">
        <v>4828</v>
      </c>
      <c r="H2957" t="str">
        <f t="shared" si="92"/>
        <v>https://videplast.com.br/consulta-imobilizado?id=32002450&amp;nome=CAMERA%20IP%20INTELBRAS%20VIP%201430B%20BULLET%204M</v>
      </c>
      <c r="I2957" t="e">
        <f t="shared" ca="1" si="93"/>
        <v>#NAME?</v>
      </c>
    </row>
    <row r="2958" spans="1:9" x14ac:dyDescent="0.25">
      <c r="A2958" s="2" t="s">
        <v>4896</v>
      </c>
      <c r="B2958" s="2" t="s">
        <v>10</v>
      </c>
      <c r="C2958" s="3">
        <v>44715</v>
      </c>
      <c r="D2958" t="s">
        <v>4892</v>
      </c>
      <c r="E2958" s="2" t="s">
        <v>12</v>
      </c>
      <c r="F2958" s="2" t="s">
        <v>12</v>
      </c>
      <c r="G2958" t="s">
        <v>4828</v>
      </c>
      <c r="H2958" t="str">
        <f t="shared" si="92"/>
        <v>https://videplast.com.br/consulta-imobilizado?id=32002451&amp;nome=CAMERA%20IP%20INTELBRAS%20VIP%201430B%20BULLET%204M</v>
      </c>
      <c r="I2958" t="e">
        <f t="shared" ca="1" si="93"/>
        <v>#NAME?</v>
      </c>
    </row>
    <row r="2959" spans="1:9" x14ac:dyDescent="0.25">
      <c r="A2959" s="2" t="s">
        <v>4897</v>
      </c>
      <c r="B2959" s="2" t="s">
        <v>10</v>
      </c>
      <c r="C2959" s="3">
        <v>44715</v>
      </c>
      <c r="D2959" t="s">
        <v>4892</v>
      </c>
      <c r="E2959" s="2" t="s">
        <v>12</v>
      </c>
      <c r="F2959" s="2" t="s">
        <v>12</v>
      </c>
      <c r="G2959" t="s">
        <v>4828</v>
      </c>
      <c r="H2959" t="str">
        <f t="shared" si="92"/>
        <v>https://videplast.com.br/consulta-imobilizado?id=32002452&amp;nome=CAMERA%20IP%20INTELBRAS%20VIP%201430B%20BULLET%204M</v>
      </c>
      <c r="I2959" t="e">
        <f t="shared" ca="1" si="93"/>
        <v>#NAME?</v>
      </c>
    </row>
    <row r="2960" spans="1:9" x14ac:dyDescent="0.25">
      <c r="A2960" s="2" t="s">
        <v>4898</v>
      </c>
      <c r="B2960" s="2" t="s">
        <v>10</v>
      </c>
      <c r="C2960" s="3">
        <v>44715</v>
      </c>
      <c r="D2960" t="s">
        <v>4892</v>
      </c>
      <c r="E2960" s="2" t="s">
        <v>12</v>
      </c>
      <c r="F2960" s="2" t="s">
        <v>12</v>
      </c>
      <c r="G2960" t="s">
        <v>4828</v>
      </c>
      <c r="H2960" t="str">
        <f t="shared" si="92"/>
        <v>https://videplast.com.br/consulta-imobilizado?id=32002453&amp;nome=CAMERA%20IP%20INTELBRAS%20VIP%201430B%20BULLET%204M</v>
      </c>
      <c r="I2960" t="e">
        <f t="shared" ca="1" si="93"/>
        <v>#NAME?</v>
      </c>
    </row>
    <row r="2961" spans="1:9" x14ac:dyDescent="0.25">
      <c r="A2961" s="2" t="s">
        <v>4899</v>
      </c>
      <c r="B2961" s="2" t="s">
        <v>10</v>
      </c>
      <c r="C2961" s="3">
        <v>44715</v>
      </c>
      <c r="D2961" t="s">
        <v>4892</v>
      </c>
      <c r="E2961" s="2" t="s">
        <v>12</v>
      </c>
      <c r="F2961" s="2" t="s">
        <v>12</v>
      </c>
      <c r="G2961" t="s">
        <v>4828</v>
      </c>
      <c r="H2961" t="str">
        <f t="shared" si="92"/>
        <v>https://videplast.com.br/consulta-imobilizado?id=32002454&amp;nome=CAMERA%20IP%20INTELBRAS%20VIP%201430B%20BULLET%204M</v>
      </c>
      <c r="I2961" t="e">
        <f t="shared" ca="1" si="93"/>
        <v>#NAME?</v>
      </c>
    </row>
    <row r="2962" spans="1:9" x14ac:dyDescent="0.25">
      <c r="A2962" s="2" t="s">
        <v>4900</v>
      </c>
      <c r="B2962" s="2" t="s">
        <v>10</v>
      </c>
      <c r="C2962" s="3">
        <v>44715</v>
      </c>
      <c r="D2962" t="s">
        <v>4892</v>
      </c>
      <c r="E2962" s="2" t="s">
        <v>12</v>
      </c>
      <c r="F2962" s="2" t="s">
        <v>12</v>
      </c>
      <c r="G2962" t="s">
        <v>4828</v>
      </c>
      <c r="H2962" t="str">
        <f t="shared" si="92"/>
        <v>https://videplast.com.br/consulta-imobilizado?id=32002455&amp;nome=CAMERA%20IP%20INTELBRAS%20VIP%201430B%20BULLET%204M</v>
      </c>
      <c r="I2962" t="e">
        <f t="shared" ca="1" si="93"/>
        <v>#NAME?</v>
      </c>
    </row>
    <row r="2963" spans="1:9" x14ac:dyDescent="0.25">
      <c r="A2963" s="2" t="s">
        <v>4901</v>
      </c>
      <c r="B2963" s="2" t="s">
        <v>10</v>
      </c>
      <c r="C2963" s="3">
        <v>44715</v>
      </c>
      <c r="D2963" t="s">
        <v>4892</v>
      </c>
      <c r="E2963" s="2" t="s">
        <v>12</v>
      </c>
      <c r="F2963" s="2" t="s">
        <v>12</v>
      </c>
      <c r="G2963" t="s">
        <v>4828</v>
      </c>
      <c r="H2963" t="str">
        <f t="shared" si="92"/>
        <v>https://videplast.com.br/consulta-imobilizado?id=32002456&amp;nome=CAMERA%20IP%20INTELBRAS%20VIP%201430B%20BULLET%204M</v>
      </c>
      <c r="I2963" t="e">
        <f t="shared" ca="1" si="93"/>
        <v>#NAME?</v>
      </c>
    </row>
    <row r="2964" spans="1:9" x14ac:dyDescent="0.25">
      <c r="A2964" s="2" t="s">
        <v>4902</v>
      </c>
      <c r="B2964" s="2" t="s">
        <v>10</v>
      </c>
      <c r="C2964" s="3">
        <v>44715</v>
      </c>
      <c r="D2964" t="s">
        <v>4892</v>
      </c>
      <c r="E2964" s="2" t="s">
        <v>12</v>
      </c>
      <c r="F2964" s="2" t="s">
        <v>12</v>
      </c>
      <c r="G2964" t="s">
        <v>4828</v>
      </c>
      <c r="H2964" t="str">
        <f t="shared" si="92"/>
        <v>https://videplast.com.br/consulta-imobilizado?id=32002457&amp;nome=CAMERA%20IP%20INTELBRAS%20VIP%201430B%20BULLET%204M</v>
      </c>
      <c r="I2964" t="e">
        <f t="shared" ca="1" si="93"/>
        <v>#NAME?</v>
      </c>
    </row>
    <row r="2965" spans="1:9" x14ac:dyDescent="0.25">
      <c r="A2965" s="2" t="s">
        <v>4903</v>
      </c>
      <c r="B2965" s="2" t="s">
        <v>10</v>
      </c>
      <c r="C2965" s="3">
        <v>44715</v>
      </c>
      <c r="D2965" t="s">
        <v>4892</v>
      </c>
      <c r="E2965" s="2" t="s">
        <v>12</v>
      </c>
      <c r="F2965" s="2" t="s">
        <v>12</v>
      </c>
      <c r="G2965" t="s">
        <v>4828</v>
      </c>
      <c r="H2965" t="str">
        <f t="shared" si="92"/>
        <v>https://videplast.com.br/consulta-imobilizado?id=32002458&amp;nome=CAMERA%20IP%20INTELBRAS%20VIP%201430B%20BULLET%204M</v>
      </c>
      <c r="I2965" t="e">
        <f t="shared" ca="1" si="93"/>
        <v>#NAME?</v>
      </c>
    </row>
    <row r="2966" spans="1:9" x14ac:dyDescent="0.25">
      <c r="A2966" s="2" t="s">
        <v>4904</v>
      </c>
      <c r="B2966" s="2" t="s">
        <v>10</v>
      </c>
      <c r="C2966" s="3">
        <v>44715</v>
      </c>
      <c r="D2966" t="s">
        <v>4892</v>
      </c>
      <c r="E2966" s="2" t="s">
        <v>12</v>
      </c>
      <c r="F2966" s="2" t="s">
        <v>12</v>
      </c>
      <c r="G2966" t="s">
        <v>4828</v>
      </c>
      <c r="H2966" t="str">
        <f t="shared" si="92"/>
        <v>https://videplast.com.br/consulta-imobilizado?id=32002459&amp;nome=CAMERA%20IP%20INTELBRAS%20VIP%201430B%20BULLET%204M</v>
      </c>
      <c r="I2966" t="e">
        <f t="shared" ca="1" si="93"/>
        <v>#NAME?</v>
      </c>
    </row>
    <row r="2967" spans="1:9" x14ac:dyDescent="0.25">
      <c r="A2967" s="2" t="s">
        <v>4905</v>
      </c>
      <c r="B2967" s="2" t="s">
        <v>10</v>
      </c>
      <c r="C2967" s="3">
        <v>44715</v>
      </c>
      <c r="D2967" t="s">
        <v>4892</v>
      </c>
      <c r="E2967" s="2" t="s">
        <v>12</v>
      </c>
      <c r="F2967" s="2" t="s">
        <v>12</v>
      </c>
      <c r="G2967" t="s">
        <v>4828</v>
      </c>
      <c r="H2967" t="str">
        <f t="shared" si="92"/>
        <v>https://videplast.com.br/consulta-imobilizado?id=32002460&amp;nome=CAMERA%20IP%20INTELBRAS%20VIP%201430B%20BULLET%204M</v>
      </c>
      <c r="I2967" t="e">
        <f t="shared" ca="1" si="93"/>
        <v>#NAME?</v>
      </c>
    </row>
    <row r="2968" spans="1:9" x14ac:dyDescent="0.25">
      <c r="A2968" s="2" t="s">
        <v>4906</v>
      </c>
      <c r="B2968" s="2" t="s">
        <v>10</v>
      </c>
      <c r="C2968" s="3">
        <v>44715</v>
      </c>
      <c r="D2968" t="s">
        <v>4892</v>
      </c>
      <c r="E2968" s="2" t="s">
        <v>12</v>
      </c>
      <c r="F2968" s="2" t="s">
        <v>12</v>
      </c>
      <c r="G2968" t="s">
        <v>4828</v>
      </c>
      <c r="H2968" t="str">
        <f t="shared" si="92"/>
        <v>https://videplast.com.br/consulta-imobilizado?id=32002461&amp;nome=CAMERA%20IP%20INTELBRAS%20VIP%201430B%20BULLET%204M</v>
      </c>
      <c r="I2968" t="e">
        <f t="shared" ca="1" si="93"/>
        <v>#NAME?</v>
      </c>
    </row>
    <row r="2969" spans="1:9" x14ac:dyDescent="0.25">
      <c r="A2969" s="2" t="s">
        <v>4907</v>
      </c>
      <c r="B2969" s="2" t="s">
        <v>10</v>
      </c>
      <c r="C2969" s="3">
        <v>44715</v>
      </c>
      <c r="D2969" t="s">
        <v>4892</v>
      </c>
      <c r="E2969" s="2" t="s">
        <v>12</v>
      </c>
      <c r="F2969" s="2" t="s">
        <v>12</v>
      </c>
      <c r="G2969" t="s">
        <v>4828</v>
      </c>
      <c r="H2969" t="str">
        <f t="shared" si="92"/>
        <v>https://videplast.com.br/consulta-imobilizado?id=32002462&amp;nome=CAMERA%20IP%20INTELBRAS%20VIP%201430B%20BULLET%204M</v>
      </c>
      <c r="I2969" t="e">
        <f t="shared" ca="1" si="93"/>
        <v>#NAME?</v>
      </c>
    </row>
    <row r="2970" spans="1:9" x14ac:dyDescent="0.25">
      <c r="A2970" s="2" t="s">
        <v>4908</v>
      </c>
      <c r="B2970" s="2" t="s">
        <v>10</v>
      </c>
      <c r="C2970" s="3">
        <v>44715</v>
      </c>
      <c r="D2970" t="s">
        <v>4892</v>
      </c>
      <c r="E2970" s="2" t="s">
        <v>12</v>
      </c>
      <c r="F2970" s="2" t="s">
        <v>12</v>
      </c>
      <c r="G2970" t="s">
        <v>4828</v>
      </c>
      <c r="H2970" t="str">
        <f t="shared" si="92"/>
        <v>https://videplast.com.br/consulta-imobilizado?id=32002463&amp;nome=CAMERA%20IP%20INTELBRAS%20VIP%201430B%20BULLET%204M</v>
      </c>
      <c r="I2970" t="e">
        <f t="shared" ca="1" si="93"/>
        <v>#NAME?</v>
      </c>
    </row>
    <row r="2971" spans="1:9" x14ac:dyDescent="0.25">
      <c r="A2971" s="2" t="s">
        <v>4909</v>
      </c>
      <c r="B2971" s="2" t="s">
        <v>10</v>
      </c>
      <c r="C2971" s="3">
        <v>44792</v>
      </c>
      <c r="D2971" t="s">
        <v>4910</v>
      </c>
      <c r="E2971" s="2" t="s">
        <v>4911</v>
      </c>
      <c r="F2971" s="2" t="s">
        <v>12</v>
      </c>
      <c r="G2971" t="s">
        <v>4828</v>
      </c>
      <c r="H2971" t="str">
        <f t="shared" si="92"/>
        <v>https://videplast.com.br/consulta-imobilizado?id=32002513&amp;nome=SWITCH%20UNIFI%20ENTERPRISE%2048%20POE%20SKU</v>
      </c>
      <c r="I2971" t="e">
        <f t="shared" ca="1" si="93"/>
        <v>#NAME?</v>
      </c>
    </row>
    <row r="2972" spans="1:9" x14ac:dyDescent="0.25">
      <c r="A2972" s="2" t="s">
        <v>4912</v>
      </c>
      <c r="B2972" s="2" t="s">
        <v>10</v>
      </c>
      <c r="C2972" s="3">
        <v>44792</v>
      </c>
      <c r="D2972" t="s">
        <v>4910</v>
      </c>
      <c r="E2972" s="2" t="s">
        <v>4913</v>
      </c>
      <c r="F2972" s="2" t="s">
        <v>12</v>
      </c>
      <c r="G2972" t="s">
        <v>4828</v>
      </c>
      <c r="H2972" t="str">
        <f t="shared" si="92"/>
        <v>https://videplast.com.br/consulta-imobilizado?id=32002515&amp;nome=SWITCH%20UNIFI%20ENTERPRISE%2048%20POE%20SKU</v>
      </c>
      <c r="I2972" t="e">
        <f t="shared" ca="1" si="93"/>
        <v>#NAME?</v>
      </c>
    </row>
    <row r="2973" spans="1:9" x14ac:dyDescent="0.25">
      <c r="A2973" s="2" t="s">
        <v>4914</v>
      </c>
      <c r="B2973" s="2" t="s">
        <v>10</v>
      </c>
      <c r="C2973" s="3">
        <v>44959</v>
      </c>
      <c r="D2973" t="s">
        <v>3029</v>
      </c>
      <c r="E2973" s="2" t="s">
        <v>4915</v>
      </c>
      <c r="F2973" s="2" t="s">
        <v>12</v>
      </c>
      <c r="G2973" t="s">
        <v>4828</v>
      </c>
      <c r="H2973" t="str">
        <f t="shared" si="92"/>
        <v>https://videplast.com.br/consulta-imobilizado?id=32002604&amp;nome=SWITCH%20UNIFI%20ENTERPRISE%2048%20POE%20SKU%20USW-E</v>
      </c>
      <c r="I2973" t="e">
        <f t="shared" ca="1" si="93"/>
        <v>#NAME?</v>
      </c>
    </row>
    <row r="2974" spans="1:9" x14ac:dyDescent="0.25">
      <c r="A2974" s="2" t="s">
        <v>4916</v>
      </c>
      <c r="B2974" s="2" t="s">
        <v>10</v>
      </c>
      <c r="C2974" s="3">
        <v>44959</v>
      </c>
      <c r="D2974" t="s">
        <v>3029</v>
      </c>
      <c r="E2974" s="2" t="s">
        <v>4917</v>
      </c>
      <c r="F2974" s="2" t="s">
        <v>12</v>
      </c>
      <c r="G2974" t="s">
        <v>4828</v>
      </c>
      <c r="H2974" t="str">
        <f t="shared" si="92"/>
        <v>https://videplast.com.br/consulta-imobilizado?id=32002605&amp;nome=SWITCH%20UNIFI%20ENTERPRISE%2048%20POE%20SKU%20USW-E</v>
      </c>
      <c r="I2974" t="e">
        <f t="shared" ca="1" si="93"/>
        <v>#NAME?</v>
      </c>
    </row>
    <row r="2975" spans="1:9" x14ac:dyDescent="0.25">
      <c r="A2975" s="2" t="s">
        <v>4918</v>
      </c>
      <c r="B2975" s="2" t="s">
        <v>10</v>
      </c>
      <c r="C2975" s="3">
        <v>44959</v>
      </c>
      <c r="D2975" t="s">
        <v>3029</v>
      </c>
      <c r="E2975" s="2" t="s">
        <v>4919</v>
      </c>
      <c r="F2975" s="2" t="s">
        <v>12</v>
      </c>
      <c r="G2975" t="s">
        <v>4828</v>
      </c>
      <c r="H2975" t="str">
        <f t="shared" si="92"/>
        <v>https://videplast.com.br/consulta-imobilizado?id=32002606&amp;nome=SWITCH%20UNIFI%20ENTERPRISE%2048%20POE%20SKU%20USW-E</v>
      </c>
      <c r="I2975" t="e">
        <f t="shared" ca="1" si="93"/>
        <v>#NAME?</v>
      </c>
    </row>
    <row r="2976" spans="1:9" x14ac:dyDescent="0.25">
      <c r="A2976" s="2" t="s">
        <v>4920</v>
      </c>
      <c r="B2976" s="2" t="s">
        <v>10</v>
      </c>
      <c r="C2976" s="3">
        <v>44959</v>
      </c>
      <c r="D2976" t="s">
        <v>3029</v>
      </c>
      <c r="E2976" s="2" t="s">
        <v>4921</v>
      </c>
      <c r="F2976" s="2" t="s">
        <v>12</v>
      </c>
      <c r="G2976" t="s">
        <v>4828</v>
      </c>
      <c r="H2976" t="str">
        <f t="shared" si="92"/>
        <v>https://videplast.com.br/consulta-imobilizado?id=32002607&amp;nome=SWITCH%20UNIFI%20ENTERPRISE%2048%20POE%20SKU%20USW-E</v>
      </c>
      <c r="I2976" t="e">
        <f t="shared" ca="1" si="93"/>
        <v>#NAME?</v>
      </c>
    </row>
    <row r="2977" spans="1:9" x14ac:dyDescent="0.25">
      <c r="A2977" s="2" t="s">
        <v>4922</v>
      </c>
      <c r="B2977" s="2" t="s">
        <v>10</v>
      </c>
      <c r="C2977" s="3">
        <v>44959</v>
      </c>
      <c r="D2977" t="s">
        <v>3029</v>
      </c>
      <c r="E2977" s="2" t="s">
        <v>4923</v>
      </c>
      <c r="F2977" s="2" t="s">
        <v>12</v>
      </c>
      <c r="G2977" t="s">
        <v>4828</v>
      </c>
      <c r="H2977" t="str">
        <f t="shared" si="92"/>
        <v>https://videplast.com.br/consulta-imobilizado?id=32002608&amp;nome=SWITCH%20UNIFI%20ENTERPRISE%2048%20POE%20SKU%20USW-E</v>
      </c>
      <c r="I2977" t="e">
        <f t="shared" ca="1" si="93"/>
        <v>#NAME?</v>
      </c>
    </row>
    <row r="2978" spans="1:9" x14ac:dyDescent="0.25">
      <c r="A2978" s="2" t="s">
        <v>4924</v>
      </c>
      <c r="B2978" s="2" t="s">
        <v>10</v>
      </c>
      <c r="C2978" s="3">
        <v>44959</v>
      </c>
      <c r="D2978" t="s">
        <v>3029</v>
      </c>
      <c r="E2978" s="2" t="s">
        <v>4925</v>
      </c>
      <c r="F2978" s="2" t="s">
        <v>12</v>
      </c>
      <c r="G2978" t="s">
        <v>4828</v>
      </c>
      <c r="H2978" t="str">
        <f t="shared" si="92"/>
        <v>https://videplast.com.br/consulta-imobilizado?id=32002609&amp;nome=SWITCH%20UNIFI%20ENTERPRISE%2048%20POE%20SKU%20USW-E</v>
      </c>
      <c r="I2978" t="e">
        <f t="shared" ca="1" si="93"/>
        <v>#NAME?</v>
      </c>
    </row>
    <row r="2979" spans="1:9" x14ac:dyDescent="0.25">
      <c r="A2979" s="2" t="s">
        <v>4926</v>
      </c>
      <c r="B2979" s="2" t="s">
        <v>10</v>
      </c>
      <c r="C2979" s="3">
        <v>45063</v>
      </c>
      <c r="D2979" t="s">
        <v>4890</v>
      </c>
      <c r="E2979" s="2" t="s">
        <v>12</v>
      </c>
      <c r="F2979" s="2" t="s">
        <v>4927</v>
      </c>
      <c r="G2979" t="s">
        <v>4828</v>
      </c>
      <c r="H2979" t="str">
        <f t="shared" si="92"/>
        <v>https://videplast.com.br/consulta-imobilizado?id=32002724&amp;nome=GRAVADOR%20DIGITAL%20INTELBRAS%20DE%20VIDEO%20NVD%207132</v>
      </c>
      <c r="I2979" t="e">
        <f t="shared" ca="1" si="93"/>
        <v>#NAME?</v>
      </c>
    </row>
    <row r="2980" spans="1:9" x14ac:dyDescent="0.25">
      <c r="A2980" s="2" t="s">
        <v>4928</v>
      </c>
      <c r="B2980" s="2" t="s">
        <v>10</v>
      </c>
      <c r="C2980" s="3">
        <v>45197</v>
      </c>
      <c r="D2980" t="s">
        <v>3482</v>
      </c>
      <c r="E2980" s="2" t="s">
        <v>12</v>
      </c>
      <c r="F2980" s="2" t="s">
        <v>4929</v>
      </c>
      <c r="G2980" t="s">
        <v>4828</v>
      </c>
      <c r="H2980" t="str">
        <f t="shared" si="92"/>
        <v>https://videplast.com.br/consulta-imobilizado?id=32002788&amp;nome=TV%20SMART%2065"%20LG%20UHD%204K%20UR8750</v>
      </c>
      <c r="I2980" t="e">
        <f t="shared" ca="1" si="93"/>
        <v>#NAME?</v>
      </c>
    </row>
    <row r="2981" spans="1:9" x14ac:dyDescent="0.25">
      <c r="A2981" s="2" t="s">
        <v>4930</v>
      </c>
      <c r="B2981" s="2" t="s">
        <v>10</v>
      </c>
      <c r="C2981" s="3">
        <v>45198</v>
      </c>
      <c r="D2981" t="s">
        <v>4931</v>
      </c>
      <c r="E2981" s="2" t="s">
        <v>12</v>
      </c>
      <c r="F2981" s="2" t="s">
        <v>4932</v>
      </c>
      <c r="G2981" t="s">
        <v>4828</v>
      </c>
      <c r="H2981" t="str">
        <f t="shared" si="92"/>
        <v>https://videplast.com.br/consulta-imobilizado?id=32002817&amp;nome=NOTEBOOK%20DELL%20INSPIRION%2015%205000%20I5%2016GB%20SSD512GB</v>
      </c>
      <c r="I2981" t="e">
        <f t="shared" ca="1" si="93"/>
        <v>#NAME?</v>
      </c>
    </row>
    <row r="2982" spans="1:9" x14ac:dyDescent="0.25">
      <c r="A2982" s="2" t="s">
        <v>4930</v>
      </c>
      <c r="B2982" s="2" t="s">
        <v>26</v>
      </c>
      <c r="C2982" s="3">
        <v>45243</v>
      </c>
      <c r="D2982" t="s">
        <v>579</v>
      </c>
      <c r="E2982" s="2" t="s">
        <v>12</v>
      </c>
      <c r="F2982" s="2" t="s">
        <v>12</v>
      </c>
      <c r="G2982" t="s">
        <v>4828</v>
      </c>
      <c r="H2982" t="str">
        <f t="shared" si="92"/>
        <v>https://videplast.com.br/consulta-imobilizado?id=32002817&amp;nome=SUPORTE%20TECNICO%20EM%20INFORMATICA</v>
      </c>
      <c r="I2982" t="e">
        <f t="shared" ca="1" si="93"/>
        <v>#NAME?</v>
      </c>
    </row>
    <row r="2983" spans="1:9" x14ac:dyDescent="0.25">
      <c r="A2983" s="2" t="s">
        <v>4933</v>
      </c>
      <c r="B2983" s="2" t="s">
        <v>10</v>
      </c>
      <c r="C2983" s="3">
        <v>45511</v>
      </c>
      <c r="D2983" t="s">
        <v>4934</v>
      </c>
      <c r="E2983" s="2" t="s">
        <v>12</v>
      </c>
      <c r="F2983" s="2" t="s">
        <v>4935</v>
      </c>
      <c r="G2983" t="s">
        <v>4828</v>
      </c>
      <c r="H2983" t="str">
        <f t="shared" si="92"/>
        <v>https://videplast.com.br/consulta-imobilizado?id=32003070&amp;nome=GRAVADOR%20DIGITAL%20INTELBRAS%20DE%20VIDEO%20NVD%207032</v>
      </c>
      <c r="I2983" t="e">
        <f t="shared" ca="1" si="93"/>
        <v>#NAME?</v>
      </c>
    </row>
    <row r="2984" spans="1:9" x14ac:dyDescent="0.25">
      <c r="A2984" s="2" t="s">
        <v>4936</v>
      </c>
      <c r="B2984" s="2" t="s">
        <v>10</v>
      </c>
      <c r="C2984" s="3">
        <v>45719</v>
      </c>
      <c r="D2984" t="s">
        <v>4937</v>
      </c>
      <c r="E2984" s="2" t="s">
        <v>12</v>
      </c>
      <c r="F2984" s="2" t="s">
        <v>4938</v>
      </c>
      <c r="G2984" t="s">
        <v>4828</v>
      </c>
      <c r="H2984" t="str">
        <f t="shared" si="92"/>
        <v>https://videplast.com.br/consulta-imobilizado?id=32003211&amp;nome=NOBREAK%20APC%20SRV%201KVA%20SRV1KRI%20230V</v>
      </c>
      <c r="I2984" t="e">
        <f t="shared" ca="1" si="93"/>
        <v>#NAME?</v>
      </c>
    </row>
    <row r="2985" spans="1:9" x14ac:dyDescent="0.25">
      <c r="A2985" s="2" t="s">
        <v>4939</v>
      </c>
      <c r="B2985" s="2" t="s">
        <v>10</v>
      </c>
      <c r="C2985" s="3">
        <v>45723</v>
      </c>
      <c r="D2985" t="s">
        <v>4940</v>
      </c>
      <c r="E2985" s="2" t="s">
        <v>12</v>
      </c>
      <c r="F2985" s="2" t="s">
        <v>4941</v>
      </c>
      <c r="G2985" t="s">
        <v>4828</v>
      </c>
      <c r="H2985" t="str">
        <f t="shared" si="92"/>
        <v>https://videplast.com.br/consulta-imobilizado?id=32003220&amp;nome=GRAVADOR%20DIGITAL%20INTELBRAS%20DE%20VIDEO%20INVD%207032</v>
      </c>
      <c r="I2985" t="e">
        <f t="shared" ca="1" si="93"/>
        <v>#NAME?</v>
      </c>
    </row>
    <row r="2986" spans="1:9" x14ac:dyDescent="0.25">
      <c r="A2986" s="2" t="s">
        <v>4942</v>
      </c>
      <c r="B2986" s="2" t="s">
        <v>10</v>
      </c>
      <c r="C2986" s="3">
        <v>39478</v>
      </c>
      <c r="D2986" t="s">
        <v>4943</v>
      </c>
      <c r="E2986" s="2" t="s">
        <v>12</v>
      </c>
      <c r="F2986" s="2" t="s">
        <v>12</v>
      </c>
      <c r="G2986" t="s">
        <v>4944</v>
      </c>
      <c r="H2986" t="str">
        <f t="shared" si="92"/>
        <v>https://videplast.com.br/consulta-imobilizado?id=11000055&amp;nome=CABO%20MULTIF%20P/%20A%20DIRETORIA%20DA%20FABRICA</v>
      </c>
      <c r="I2986" t="e">
        <f t="shared" ca="1" si="93"/>
        <v>#NAME?</v>
      </c>
    </row>
    <row r="2987" spans="1:9" x14ac:dyDescent="0.25">
      <c r="A2987" s="2" t="s">
        <v>4945</v>
      </c>
      <c r="B2987" s="2" t="s">
        <v>10</v>
      </c>
      <c r="C2987" s="3">
        <v>39478</v>
      </c>
      <c r="D2987" t="s">
        <v>4946</v>
      </c>
      <c r="E2987" s="2" t="s">
        <v>12</v>
      </c>
      <c r="F2987" s="2" t="s">
        <v>12</v>
      </c>
      <c r="G2987" t="s">
        <v>4944</v>
      </c>
      <c r="H2987" t="str">
        <f t="shared" si="92"/>
        <v>https://videplast.com.br/consulta-imobilizado?id=11000056&amp;nome=CABO%20MULTIF%20P/DEPARTAMENTO%20PESSOAL%20FABRICA</v>
      </c>
      <c r="I2987" t="e">
        <f t="shared" ca="1" si="93"/>
        <v>#NAME?</v>
      </c>
    </row>
    <row r="2988" spans="1:9" x14ac:dyDescent="0.25">
      <c r="A2988" s="2" t="s">
        <v>4947</v>
      </c>
      <c r="B2988" s="2" t="s">
        <v>10</v>
      </c>
      <c r="C2988" s="3">
        <v>43343</v>
      </c>
      <c r="D2988" t="s">
        <v>4948</v>
      </c>
      <c r="E2988" s="2" t="s">
        <v>12</v>
      </c>
      <c r="F2988" s="2" t="s">
        <v>12</v>
      </c>
      <c r="G2988" t="s">
        <v>4944</v>
      </c>
      <c r="H2988" t="str">
        <f t="shared" si="92"/>
        <v>https://videplast.com.br/consulta-imobilizado?id=12000034&amp;nome=AREA%20DE%20CONVIVIO</v>
      </c>
      <c r="I2988" t="e">
        <f t="shared" ca="1" si="93"/>
        <v>#NAME?</v>
      </c>
    </row>
    <row r="2989" spans="1:9" x14ac:dyDescent="0.25">
      <c r="A2989" s="2" t="s">
        <v>4949</v>
      </c>
      <c r="B2989" s="2" t="s">
        <v>10</v>
      </c>
      <c r="C2989" s="3">
        <v>45141</v>
      </c>
      <c r="D2989" t="s">
        <v>4950</v>
      </c>
      <c r="E2989" s="2" t="s">
        <v>12</v>
      </c>
      <c r="F2989" s="2" t="s">
        <v>12</v>
      </c>
      <c r="G2989" t="s">
        <v>4944</v>
      </c>
      <c r="H2989" t="str">
        <f t="shared" si="92"/>
        <v>https://videplast.com.br/consulta-imobilizado?id=12000084&amp;nome=PORTICO%20E%20TOTEM%20DE%20IDENTIFICACAO</v>
      </c>
      <c r="I2989" t="e">
        <f t="shared" ca="1" si="93"/>
        <v>#NAME?</v>
      </c>
    </row>
    <row r="2990" spans="1:9" x14ac:dyDescent="0.25">
      <c r="A2990" s="2" t="s">
        <v>4951</v>
      </c>
      <c r="B2990" s="2" t="s">
        <v>10</v>
      </c>
      <c r="C2990" s="3">
        <v>40939</v>
      </c>
      <c r="D2990" t="s">
        <v>4952</v>
      </c>
      <c r="E2990" s="2" t="s">
        <v>12</v>
      </c>
      <c r="F2990" s="2" t="s">
        <v>12</v>
      </c>
      <c r="G2990" t="s">
        <v>4944</v>
      </c>
      <c r="H2990" t="str">
        <f t="shared" si="92"/>
        <v>https://videplast.com.br/consulta-imobilizado?id=30000113&amp;nome=MESA%20TREVISO%2025MM%20BEGE%20COM%20GAVETEIRO%20FIXO%202%20GAVETA</v>
      </c>
      <c r="I2990" t="e">
        <f t="shared" ca="1" si="93"/>
        <v>#NAME?</v>
      </c>
    </row>
    <row r="2991" spans="1:9" x14ac:dyDescent="0.25">
      <c r="A2991" s="2" t="s">
        <v>4953</v>
      </c>
      <c r="B2991" s="2" t="s">
        <v>10</v>
      </c>
      <c r="C2991" s="3">
        <v>40968</v>
      </c>
      <c r="D2991" t="s">
        <v>4954</v>
      </c>
      <c r="E2991" s="2" t="s">
        <v>12</v>
      </c>
      <c r="F2991" s="2" t="s">
        <v>12</v>
      </c>
      <c r="G2991" t="s">
        <v>4944</v>
      </c>
      <c r="H2991" t="str">
        <f t="shared" si="92"/>
        <v>https://videplast.com.br/consulta-imobilizado?id=30000115&amp;nome=ARMARIO%20ALTO%20TREVISO%201,60X0,90X0,40%20BG%20LU</v>
      </c>
      <c r="I2991" t="e">
        <f t="shared" ca="1" si="93"/>
        <v>#NAME?</v>
      </c>
    </row>
    <row r="2992" spans="1:9" x14ac:dyDescent="0.25">
      <c r="A2992" s="2" t="s">
        <v>4955</v>
      </c>
      <c r="B2992" s="2" t="s">
        <v>10</v>
      </c>
      <c r="C2992" s="3">
        <v>41213</v>
      </c>
      <c r="D2992" t="s">
        <v>4956</v>
      </c>
      <c r="E2992" s="2" t="s">
        <v>12</v>
      </c>
      <c r="F2992" s="2" t="s">
        <v>12</v>
      </c>
      <c r="G2992" t="s">
        <v>4944</v>
      </c>
      <c r="H2992" t="str">
        <f t="shared" si="92"/>
        <v>https://videplast.com.br/consulta-imobilizado?id=30000124&amp;nome=MESA%20REUNIAO%20NOBLESSE%204060%20NOCE%20MOBITEC</v>
      </c>
      <c r="I2992" t="e">
        <f t="shared" ca="1" si="93"/>
        <v>#NAME?</v>
      </c>
    </row>
    <row r="2993" spans="1:9" x14ac:dyDescent="0.25">
      <c r="A2993" s="2" t="s">
        <v>4957</v>
      </c>
      <c r="B2993" s="2" t="s">
        <v>10</v>
      </c>
      <c r="C2993" s="3">
        <v>41243</v>
      </c>
      <c r="D2993" t="s">
        <v>4958</v>
      </c>
      <c r="E2993" s="2" t="s">
        <v>12</v>
      </c>
      <c r="F2993" s="2" t="s">
        <v>12</v>
      </c>
      <c r="G2993" t="s">
        <v>4944</v>
      </c>
      <c r="H2993" t="str">
        <f t="shared" si="92"/>
        <v>https://videplast.com.br/consulta-imobilizado?id=30000125&amp;nome=AR%20CONDICIONADO%20COMFEE%2012000%20BTU</v>
      </c>
      <c r="I2993" t="e">
        <f t="shared" ca="1" si="93"/>
        <v>#NAME?</v>
      </c>
    </row>
    <row r="2994" spans="1:9" x14ac:dyDescent="0.25">
      <c r="A2994" s="2" t="s">
        <v>4959</v>
      </c>
      <c r="B2994" s="2" t="s">
        <v>10</v>
      </c>
      <c r="C2994" s="3">
        <v>41882</v>
      </c>
      <c r="D2994" t="s">
        <v>4960</v>
      </c>
      <c r="E2994" s="2" t="s">
        <v>12</v>
      </c>
      <c r="F2994" s="2" t="s">
        <v>12</v>
      </c>
      <c r="G2994" t="s">
        <v>4944</v>
      </c>
      <c r="H2994" t="str">
        <f t="shared" si="92"/>
        <v>https://videplast.com.br/consulta-imobilizado?id=30000142&amp;nome=ARMARIO%20PARA%20TV%20DO%20SETOR%20ADMINISTRATIVO%20FABRICA</v>
      </c>
      <c r="I2994" t="e">
        <f t="shared" ca="1" si="93"/>
        <v>#NAME?</v>
      </c>
    </row>
    <row r="2995" spans="1:9" x14ac:dyDescent="0.25">
      <c r="A2995" s="2" t="s">
        <v>4961</v>
      </c>
      <c r="B2995" s="2" t="s">
        <v>10</v>
      </c>
      <c r="C2995" s="3">
        <v>36653</v>
      </c>
      <c r="D2995" t="s">
        <v>4962</v>
      </c>
      <c r="E2995" s="2" t="s">
        <v>12</v>
      </c>
      <c r="F2995" s="2" t="s">
        <v>12</v>
      </c>
      <c r="G2995" t="s">
        <v>4944</v>
      </c>
      <c r="H2995" t="str">
        <f t="shared" si="92"/>
        <v>https://videplast.com.br/consulta-imobilizado?id=30000152&amp;nome=FAX%20PANASSONIC</v>
      </c>
      <c r="I2995" t="e">
        <f t="shared" ca="1" si="93"/>
        <v>#NAME?</v>
      </c>
    </row>
    <row r="2996" spans="1:9" x14ac:dyDescent="0.25">
      <c r="A2996" s="2" t="s">
        <v>4963</v>
      </c>
      <c r="B2996" s="2" t="s">
        <v>10</v>
      </c>
      <c r="C2996" s="3">
        <v>36819</v>
      </c>
      <c r="D2996" t="s">
        <v>4964</v>
      </c>
      <c r="E2996" s="2" t="s">
        <v>12</v>
      </c>
      <c r="F2996" s="2" t="s">
        <v>12</v>
      </c>
      <c r="G2996" t="s">
        <v>4944</v>
      </c>
      <c r="H2996" t="str">
        <f t="shared" si="92"/>
        <v>https://videplast.com.br/consulta-imobilizado?id=30000154&amp;nome=CADEIRA%20LONGARINA%203%20LUGARES</v>
      </c>
      <c r="I2996" t="e">
        <f t="shared" ca="1" si="93"/>
        <v>#NAME?</v>
      </c>
    </row>
    <row r="2997" spans="1:9" x14ac:dyDescent="0.25">
      <c r="A2997" s="2" t="s">
        <v>4965</v>
      </c>
      <c r="B2997" s="2" t="s">
        <v>10</v>
      </c>
      <c r="C2997" s="3">
        <v>36775</v>
      </c>
      <c r="D2997" t="s">
        <v>4966</v>
      </c>
      <c r="E2997" s="2" t="s">
        <v>12</v>
      </c>
      <c r="F2997" s="2" t="s">
        <v>12</v>
      </c>
      <c r="G2997" t="s">
        <v>4944</v>
      </c>
      <c r="H2997" t="str">
        <f t="shared" si="92"/>
        <v>https://videplast.com.br/consulta-imobilizado?id=30000157&amp;nome=MESA%20DE%20SOLDA%20CONJUGADA%20DALL</v>
      </c>
      <c r="I2997" t="e">
        <f t="shared" ca="1" si="93"/>
        <v>#NAME?</v>
      </c>
    </row>
    <row r="2998" spans="1:9" x14ac:dyDescent="0.25">
      <c r="A2998" s="2" t="s">
        <v>4967</v>
      </c>
      <c r="B2998" s="2" t="s">
        <v>10</v>
      </c>
      <c r="C2998" s="3">
        <v>36882</v>
      </c>
      <c r="D2998" t="s">
        <v>4968</v>
      </c>
      <c r="E2998" s="2" t="s">
        <v>12</v>
      </c>
      <c r="F2998" s="2" t="s">
        <v>12</v>
      </c>
      <c r="G2998" t="s">
        <v>4944</v>
      </c>
      <c r="H2998" t="str">
        <f t="shared" si="92"/>
        <v>https://videplast.com.br/consulta-imobilizado?id=30000159&amp;nome=CUBA%20EM%20ACO%20INOX</v>
      </c>
      <c r="I2998" t="e">
        <f t="shared" ca="1" si="93"/>
        <v>#NAME?</v>
      </c>
    </row>
    <row r="2999" spans="1:9" x14ac:dyDescent="0.25">
      <c r="A2999" s="2" t="s">
        <v>4969</v>
      </c>
      <c r="B2999" s="2" t="s">
        <v>10</v>
      </c>
      <c r="C2999" s="3">
        <v>37146</v>
      </c>
      <c r="D2999" t="s">
        <v>4970</v>
      </c>
      <c r="E2999" s="2" t="s">
        <v>12</v>
      </c>
      <c r="F2999" s="2" t="s">
        <v>12</v>
      </c>
      <c r="G2999" t="s">
        <v>4944</v>
      </c>
      <c r="H2999" t="str">
        <f t="shared" si="92"/>
        <v>https://videplast.com.br/consulta-imobilizado?id=30000164&amp;nome=ARMARIO%20COM%20SUPORTES%20PARA%20CILINDROS</v>
      </c>
      <c r="I2999" t="e">
        <f t="shared" ca="1" si="93"/>
        <v>#NAME?</v>
      </c>
    </row>
    <row r="3000" spans="1:9" x14ac:dyDescent="0.25">
      <c r="A3000" s="2" t="s">
        <v>4971</v>
      </c>
      <c r="B3000" s="2" t="s">
        <v>10</v>
      </c>
      <c r="C3000" s="3">
        <v>37193</v>
      </c>
      <c r="D3000" t="s">
        <v>4972</v>
      </c>
      <c r="E3000" s="2" t="s">
        <v>12</v>
      </c>
      <c r="F3000" s="2" t="s">
        <v>12</v>
      </c>
      <c r="G3000" t="s">
        <v>4944</v>
      </c>
      <c r="H3000" t="str">
        <f t="shared" si="92"/>
        <v>https://videplast.com.br/consulta-imobilizado?id=30000165&amp;nome=TV%20COLOR%20PHILCO%2020%20TP%202052</v>
      </c>
      <c r="I3000" t="e">
        <f t="shared" ca="1" si="93"/>
        <v>#NAME?</v>
      </c>
    </row>
    <row r="3001" spans="1:9" x14ac:dyDescent="0.25">
      <c r="A3001" s="2" t="s">
        <v>4973</v>
      </c>
      <c r="B3001" s="2" t="s">
        <v>10</v>
      </c>
      <c r="C3001" s="3">
        <v>37193</v>
      </c>
      <c r="D3001" t="s">
        <v>4974</v>
      </c>
      <c r="E3001" s="2" t="s">
        <v>12</v>
      </c>
      <c r="F3001" s="2" t="s">
        <v>12</v>
      </c>
      <c r="G3001" t="s">
        <v>4944</v>
      </c>
      <c r="H3001" t="str">
        <f t="shared" si="92"/>
        <v>https://videplast.com.br/consulta-imobilizado?id=30000166&amp;nome=VIDEO%20CASSETE%20PVC%20HF%2016%20STEREO</v>
      </c>
      <c r="I3001" t="e">
        <f t="shared" ca="1" si="93"/>
        <v>#NAME?</v>
      </c>
    </row>
    <row r="3002" spans="1:9" x14ac:dyDescent="0.25">
      <c r="A3002" s="2" t="s">
        <v>4975</v>
      </c>
      <c r="B3002" s="2" t="s">
        <v>10</v>
      </c>
      <c r="C3002" s="3">
        <v>37356</v>
      </c>
      <c r="D3002" t="s">
        <v>4976</v>
      </c>
      <c r="E3002" s="2" t="s">
        <v>12</v>
      </c>
      <c r="F3002" s="2" t="s">
        <v>12</v>
      </c>
      <c r="G3002" t="s">
        <v>4944</v>
      </c>
      <c r="H3002" t="str">
        <f t="shared" si="92"/>
        <v>https://videplast.com.br/consulta-imobilizado?id=30000167&amp;nome=AR%20CONDICIONADO%20CONSUL%20CCF%2010000%20BTU</v>
      </c>
      <c r="I3002" t="e">
        <f t="shared" ca="1" si="93"/>
        <v>#NAME?</v>
      </c>
    </row>
    <row r="3003" spans="1:9" x14ac:dyDescent="0.25">
      <c r="A3003" s="2" t="s">
        <v>4977</v>
      </c>
      <c r="B3003" s="2" t="s">
        <v>10</v>
      </c>
      <c r="C3003" s="3">
        <v>37592</v>
      </c>
      <c r="D3003" t="s">
        <v>4978</v>
      </c>
      <c r="E3003" s="2" t="s">
        <v>12</v>
      </c>
      <c r="F3003" s="2" t="s">
        <v>12</v>
      </c>
      <c r="G3003" t="s">
        <v>4944</v>
      </c>
      <c r="H3003" t="str">
        <f t="shared" si="92"/>
        <v>https://videplast.com.br/consulta-imobilizado?id=30000168&amp;nome=ARQUIVO%20ASOF%204%20GAVETAS</v>
      </c>
      <c r="I3003" t="e">
        <f t="shared" ca="1" si="93"/>
        <v>#NAME?</v>
      </c>
    </row>
    <row r="3004" spans="1:9" x14ac:dyDescent="0.25">
      <c r="A3004" s="2" t="s">
        <v>4979</v>
      </c>
      <c r="B3004" s="2" t="s">
        <v>10</v>
      </c>
      <c r="C3004" s="3">
        <v>37671</v>
      </c>
      <c r="D3004" t="s">
        <v>4980</v>
      </c>
      <c r="E3004" s="2" t="s">
        <v>12</v>
      </c>
      <c r="F3004" s="2" t="s">
        <v>12</v>
      </c>
      <c r="G3004" t="s">
        <v>4944</v>
      </c>
      <c r="H3004" t="str">
        <f t="shared" si="92"/>
        <v>https://videplast.com.br/consulta-imobilizado?id=30000169&amp;nome=ARQUIVO%20COM%204%20GAVETAS</v>
      </c>
      <c r="I3004" t="e">
        <f t="shared" ca="1" si="93"/>
        <v>#NAME?</v>
      </c>
    </row>
    <row r="3005" spans="1:9" x14ac:dyDescent="0.25">
      <c r="A3005" s="2" t="s">
        <v>4981</v>
      </c>
      <c r="B3005" s="2" t="s">
        <v>10</v>
      </c>
      <c r="C3005" s="3">
        <v>37682</v>
      </c>
      <c r="D3005" t="s">
        <v>4982</v>
      </c>
      <c r="E3005" s="2" t="s">
        <v>12</v>
      </c>
      <c r="F3005" s="2" t="s">
        <v>12</v>
      </c>
      <c r="G3005" t="s">
        <v>4944</v>
      </c>
      <c r="H3005" t="str">
        <f t="shared" si="92"/>
        <v>https://videplast.com.br/consulta-imobilizado?id=30000170&amp;nome=AR%20CONDICONADO%20CONSUL%20AIRSLIP%20HIWALL%2022000%20BTU</v>
      </c>
      <c r="I3005" t="e">
        <f t="shared" ca="1" si="93"/>
        <v>#NAME?</v>
      </c>
    </row>
    <row r="3006" spans="1:9" x14ac:dyDescent="0.25">
      <c r="A3006" s="2" t="s">
        <v>4983</v>
      </c>
      <c r="B3006" s="2" t="s">
        <v>10</v>
      </c>
      <c r="C3006" s="3">
        <v>37809</v>
      </c>
      <c r="D3006" t="s">
        <v>4984</v>
      </c>
      <c r="E3006" s="2" t="s">
        <v>12</v>
      </c>
      <c r="F3006" s="2" t="s">
        <v>12</v>
      </c>
      <c r="G3006" t="s">
        <v>4944</v>
      </c>
      <c r="H3006" t="str">
        <f t="shared" si="92"/>
        <v>https://videplast.com.br/consulta-imobilizado?id=30000171&amp;nome=ARMARIO%20PARA%20ARQUIVO%204%20GAVETAS%20ROLAMENTO%20CH22STEEL</v>
      </c>
      <c r="I3006" t="e">
        <f t="shared" ca="1" si="93"/>
        <v>#NAME?</v>
      </c>
    </row>
    <row r="3007" spans="1:9" x14ac:dyDescent="0.25">
      <c r="A3007" s="2" t="s">
        <v>4985</v>
      </c>
      <c r="B3007" s="2" t="s">
        <v>10</v>
      </c>
      <c r="C3007" s="3">
        <v>37915</v>
      </c>
      <c r="D3007" t="s">
        <v>4986</v>
      </c>
      <c r="E3007" s="2" t="s">
        <v>12</v>
      </c>
      <c r="F3007" s="2" t="s">
        <v>12</v>
      </c>
      <c r="G3007" t="s">
        <v>4944</v>
      </c>
      <c r="H3007" t="str">
        <f t="shared" si="92"/>
        <v>https://videplast.com.br/consulta-imobilizado?id=30000172&amp;nome=ARQUIVO%204%20GAVETAS</v>
      </c>
      <c r="I3007" t="e">
        <f t="shared" ca="1" si="93"/>
        <v>#NAME?</v>
      </c>
    </row>
    <row r="3008" spans="1:9" x14ac:dyDescent="0.25">
      <c r="A3008" s="2" t="s">
        <v>4987</v>
      </c>
      <c r="B3008" s="2" t="s">
        <v>10</v>
      </c>
      <c r="C3008" s="3">
        <v>37964</v>
      </c>
      <c r="D3008" t="s">
        <v>4988</v>
      </c>
      <c r="E3008" s="2" t="s">
        <v>12</v>
      </c>
      <c r="F3008" s="2" t="s">
        <v>12</v>
      </c>
      <c r="G3008" t="s">
        <v>4944</v>
      </c>
      <c r="H3008" t="str">
        <f t="shared" si="92"/>
        <v>https://videplast.com.br/consulta-imobilizado?id=30000174&amp;nome=TENDA</v>
      </c>
      <c r="I3008" t="e">
        <f t="shared" ca="1" si="93"/>
        <v>#NAME?</v>
      </c>
    </row>
    <row r="3009" spans="1:9" x14ac:dyDescent="0.25">
      <c r="A3009" s="2" t="s">
        <v>4989</v>
      </c>
      <c r="B3009" s="2" t="s">
        <v>10</v>
      </c>
      <c r="C3009" s="3">
        <v>38034</v>
      </c>
      <c r="D3009" t="s">
        <v>4990</v>
      </c>
      <c r="E3009" s="2" t="s">
        <v>12</v>
      </c>
      <c r="F3009" s="2" t="s">
        <v>12</v>
      </c>
      <c r="G3009" t="s">
        <v>4944</v>
      </c>
      <c r="H3009" t="str">
        <f t="shared" si="92"/>
        <v>https://videplast.com.br/consulta-imobilizado?id=30000176&amp;nome=AR%20CONDIONADO%20CCI10A%20220V%2010000%20BTU</v>
      </c>
      <c r="I3009" t="e">
        <f t="shared" ca="1" si="93"/>
        <v>#NAME?</v>
      </c>
    </row>
    <row r="3010" spans="1:9" x14ac:dyDescent="0.25">
      <c r="A3010" s="2" t="s">
        <v>4991</v>
      </c>
      <c r="B3010" s="2" t="s">
        <v>10</v>
      </c>
      <c r="C3010" s="3">
        <v>38059</v>
      </c>
      <c r="D3010" t="s">
        <v>4992</v>
      </c>
      <c r="E3010" s="2" t="s">
        <v>12</v>
      </c>
      <c r="F3010" s="2" t="s">
        <v>12</v>
      </c>
      <c r="G3010" t="s">
        <v>4944</v>
      </c>
      <c r="H3010" t="str">
        <f t="shared" ref="H3010:H3073" si="94" xml:space="preserve"> "https://videplast.com.br/consulta-imobilizado?id=" &amp; A3010 &amp; "&amp;nome=" &amp; SUBSTITUTE(D3010, " ", "%20")</f>
        <v>https://videplast.com.br/consulta-imobilizado?id=30000177&amp;nome=AR%20CONDIONADO%20CONSUL%20220V%20CC07</v>
      </c>
      <c r="I3010" t="e">
        <f t="shared" ref="I3010:I3073" ca="1" si="95">_xlfn.IMAGE("https://chart.googleapis.com/chart?chs=150x150&amp;cht=qr&amp;chl=" &amp; H3010)</f>
        <v>#NAME?</v>
      </c>
    </row>
    <row r="3011" spans="1:9" x14ac:dyDescent="0.25">
      <c r="A3011" s="2" t="s">
        <v>4993</v>
      </c>
      <c r="B3011" s="2" t="s">
        <v>10</v>
      </c>
      <c r="C3011" s="3">
        <v>38056</v>
      </c>
      <c r="D3011" t="s">
        <v>4307</v>
      </c>
      <c r="E3011" s="2" t="s">
        <v>12</v>
      </c>
      <c r="F3011" s="2" t="s">
        <v>12</v>
      </c>
      <c r="G3011" t="s">
        <v>4944</v>
      </c>
      <c r="H3011" t="str">
        <f t="shared" si="94"/>
        <v>https://videplast.com.br/consulta-imobilizado?id=30000178&amp;nome=ROUPEIRO</v>
      </c>
      <c r="I3011" t="e">
        <f t="shared" ca="1" si="95"/>
        <v>#NAME?</v>
      </c>
    </row>
    <row r="3012" spans="1:9" x14ac:dyDescent="0.25">
      <c r="A3012" s="2" t="s">
        <v>4994</v>
      </c>
      <c r="B3012" s="2" t="s">
        <v>10</v>
      </c>
      <c r="C3012" s="3">
        <v>38052</v>
      </c>
      <c r="D3012" t="s">
        <v>4307</v>
      </c>
      <c r="E3012" s="2" t="s">
        <v>12</v>
      </c>
      <c r="F3012" s="2" t="s">
        <v>12</v>
      </c>
      <c r="G3012" t="s">
        <v>4944</v>
      </c>
      <c r="H3012" t="str">
        <f t="shared" si="94"/>
        <v>https://videplast.com.br/consulta-imobilizado?id=30000179&amp;nome=ROUPEIRO</v>
      </c>
      <c r="I3012" t="e">
        <f t="shared" ca="1" si="95"/>
        <v>#NAME?</v>
      </c>
    </row>
    <row r="3013" spans="1:9" x14ac:dyDescent="0.25">
      <c r="A3013" s="2" t="s">
        <v>4995</v>
      </c>
      <c r="B3013" s="2" t="s">
        <v>10</v>
      </c>
      <c r="C3013" s="3">
        <v>38097</v>
      </c>
      <c r="D3013" t="s">
        <v>4996</v>
      </c>
      <c r="E3013" s="2" t="s">
        <v>12</v>
      </c>
      <c r="F3013" s="2" t="s">
        <v>12</v>
      </c>
      <c r="G3013" t="s">
        <v>4944</v>
      </c>
      <c r="H3013" t="str">
        <f t="shared" si="94"/>
        <v>https://videplast.com.br/consulta-imobilizado?id=30000181&amp;nome=ARMARIO%20GRP516E%20ROUP%2016VAO%20SOBR%20PIT%20VEGEL</v>
      </c>
      <c r="I3013" t="e">
        <f t="shared" ca="1" si="95"/>
        <v>#NAME?</v>
      </c>
    </row>
    <row r="3014" spans="1:9" x14ac:dyDescent="0.25">
      <c r="A3014" s="2" t="s">
        <v>4997</v>
      </c>
      <c r="B3014" s="2" t="s">
        <v>10</v>
      </c>
      <c r="C3014" s="3">
        <v>38128</v>
      </c>
      <c r="D3014" t="s">
        <v>4998</v>
      </c>
      <c r="E3014" s="2" t="s">
        <v>12</v>
      </c>
      <c r="F3014" s="2" t="s">
        <v>12</v>
      </c>
      <c r="G3014" t="s">
        <v>4944</v>
      </c>
      <c r="H3014" t="str">
        <f t="shared" si="94"/>
        <v>https://videplast.com.br/consulta-imobilizado?id=30000185&amp;nome=SOFA%20HERVAL%201093</v>
      </c>
      <c r="I3014" t="e">
        <f t="shared" ca="1" si="95"/>
        <v>#NAME?</v>
      </c>
    </row>
    <row r="3015" spans="1:9" x14ac:dyDescent="0.25">
      <c r="A3015" s="2" t="s">
        <v>4999</v>
      </c>
      <c r="B3015" s="2" t="s">
        <v>10</v>
      </c>
      <c r="C3015" s="3">
        <v>38212</v>
      </c>
      <c r="D3015" t="s">
        <v>5000</v>
      </c>
      <c r="E3015" s="2" t="s">
        <v>12</v>
      </c>
      <c r="F3015" s="2" t="s">
        <v>12</v>
      </c>
      <c r="G3015" t="s">
        <v>4944</v>
      </c>
      <c r="H3015" t="str">
        <f t="shared" si="94"/>
        <v>https://videplast.com.br/consulta-imobilizado?id=30000189&amp;nome=DIVISORAS%20PARA%20SALA%20DO%20CPD</v>
      </c>
      <c r="I3015" t="e">
        <f t="shared" ca="1" si="95"/>
        <v>#NAME?</v>
      </c>
    </row>
    <row r="3016" spans="1:9" x14ac:dyDescent="0.25">
      <c r="A3016" s="2" t="s">
        <v>5001</v>
      </c>
      <c r="B3016" s="2" t="s">
        <v>10</v>
      </c>
      <c r="C3016" s="3">
        <v>38288</v>
      </c>
      <c r="D3016" t="s">
        <v>5002</v>
      </c>
      <c r="E3016" s="2" t="s">
        <v>12</v>
      </c>
      <c r="F3016" s="2" t="s">
        <v>12</v>
      </c>
      <c r="G3016" t="s">
        <v>4944</v>
      </c>
      <c r="H3016" t="str">
        <f t="shared" si="94"/>
        <v>https://videplast.com.br/consulta-imobilizado?id=30000190&amp;nome=ARMARIO%20PARA%20ARQUIVO%204%20GAVETAS%20ROLAMENTO%20VEGEL</v>
      </c>
      <c r="I3016" t="e">
        <f t="shared" ca="1" si="95"/>
        <v>#NAME?</v>
      </c>
    </row>
    <row r="3017" spans="1:9" x14ac:dyDescent="0.25">
      <c r="A3017" s="2" t="s">
        <v>5003</v>
      </c>
      <c r="B3017" s="2" t="s">
        <v>10</v>
      </c>
      <c r="C3017" s="3">
        <v>38316</v>
      </c>
      <c r="D3017" t="s">
        <v>5004</v>
      </c>
      <c r="E3017" s="2" t="s">
        <v>12</v>
      </c>
      <c r="F3017" s="2" t="s">
        <v>12</v>
      </c>
      <c r="G3017" t="s">
        <v>4944</v>
      </c>
      <c r="H3017" t="str">
        <f t="shared" si="94"/>
        <v>https://videplast.com.br/consulta-imobilizado?id=30000191&amp;nome=GELADEIRA%20ELETROLUX%20RE-26%20253L%20BRANCA</v>
      </c>
      <c r="I3017" t="e">
        <f t="shared" ca="1" si="95"/>
        <v>#NAME?</v>
      </c>
    </row>
    <row r="3018" spans="1:9" x14ac:dyDescent="0.25">
      <c r="A3018" s="2" t="s">
        <v>5005</v>
      </c>
      <c r="B3018" s="2" t="s">
        <v>10</v>
      </c>
      <c r="C3018" s="3">
        <v>38366</v>
      </c>
      <c r="D3018" t="s">
        <v>5006</v>
      </c>
      <c r="E3018" s="2" t="s">
        <v>12</v>
      </c>
      <c r="F3018" s="2" t="s">
        <v>12</v>
      </c>
      <c r="G3018" t="s">
        <v>4944</v>
      </c>
      <c r="H3018" t="str">
        <f t="shared" si="94"/>
        <v>https://videplast.com.br/consulta-imobilizado?id=30000192&amp;nome=BALCAO%20PARA%20RECEPCAO</v>
      </c>
      <c r="I3018" t="e">
        <f t="shared" ca="1" si="95"/>
        <v>#NAME?</v>
      </c>
    </row>
    <row r="3019" spans="1:9" x14ac:dyDescent="0.25">
      <c r="A3019" s="2" t="s">
        <v>5007</v>
      </c>
      <c r="B3019" s="2" t="s">
        <v>10</v>
      </c>
      <c r="C3019" s="3">
        <v>38533</v>
      </c>
      <c r="D3019" t="s">
        <v>5008</v>
      </c>
      <c r="E3019" s="2" t="s">
        <v>12</v>
      </c>
      <c r="F3019" s="2" t="s">
        <v>12</v>
      </c>
      <c r="G3019" t="s">
        <v>4944</v>
      </c>
      <c r="H3019" t="str">
        <f t="shared" si="94"/>
        <v>https://videplast.com.br/consulta-imobilizado?id=30000196&amp;nome=ARMARIO%20FECHADO</v>
      </c>
      <c r="I3019" t="e">
        <f t="shared" ca="1" si="95"/>
        <v>#NAME?</v>
      </c>
    </row>
    <row r="3020" spans="1:9" x14ac:dyDescent="0.25">
      <c r="A3020" s="2" t="s">
        <v>5009</v>
      </c>
      <c r="B3020" s="2" t="s">
        <v>10</v>
      </c>
      <c r="C3020" s="3">
        <v>38595</v>
      </c>
      <c r="D3020" t="s">
        <v>5010</v>
      </c>
      <c r="E3020" s="2" t="s">
        <v>12</v>
      </c>
      <c r="F3020" s="2" t="s">
        <v>12</v>
      </c>
      <c r="G3020" t="s">
        <v>4944</v>
      </c>
      <c r="H3020" t="str">
        <f t="shared" si="94"/>
        <v>https://videplast.com.br/consulta-imobilizado?id=30000198&amp;nome=ESTANTE%20DE%20ACO%20COM%2005%20BANDEJAS%20P/%20ARQUIVO%20MORTO</v>
      </c>
      <c r="I3020" t="e">
        <f t="shared" ca="1" si="95"/>
        <v>#NAME?</v>
      </c>
    </row>
    <row r="3021" spans="1:9" x14ac:dyDescent="0.25">
      <c r="A3021" s="2" t="s">
        <v>5011</v>
      </c>
      <c r="B3021" s="2" t="s">
        <v>10</v>
      </c>
      <c r="C3021" s="3">
        <v>38625</v>
      </c>
      <c r="D3021" t="s">
        <v>5012</v>
      </c>
      <c r="E3021" s="2" t="s">
        <v>12</v>
      </c>
      <c r="F3021" s="2" t="s">
        <v>12</v>
      </c>
      <c r="G3021" t="s">
        <v>4944</v>
      </c>
      <c r="H3021" t="str">
        <f t="shared" si="94"/>
        <v>https://videplast.com.br/consulta-imobilizado?id=30000200&amp;nome=AR%20CONDICIONADO%20CONSUL%20CCX07%207500%20BTU</v>
      </c>
      <c r="I3021" t="e">
        <f t="shared" ca="1" si="95"/>
        <v>#NAME?</v>
      </c>
    </row>
    <row r="3022" spans="1:9" x14ac:dyDescent="0.25">
      <c r="A3022" s="2" t="s">
        <v>5013</v>
      </c>
      <c r="B3022" s="2" t="s">
        <v>10</v>
      </c>
      <c r="C3022" s="3">
        <v>38656</v>
      </c>
      <c r="D3022" t="s">
        <v>5014</v>
      </c>
      <c r="E3022" s="2" t="s">
        <v>12</v>
      </c>
      <c r="F3022" s="2" t="s">
        <v>12</v>
      </c>
      <c r="G3022" t="s">
        <v>4944</v>
      </c>
      <c r="H3022" t="str">
        <f t="shared" si="94"/>
        <v>https://videplast.com.br/consulta-imobilizado?id=30000201&amp;nome=BANCADA</v>
      </c>
      <c r="I3022" t="e">
        <f t="shared" ca="1" si="95"/>
        <v>#NAME?</v>
      </c>
    </row>
    <row r="3023" spans="1:9" x14ac:dyDescent="0.25">
      <c r="A3023" s="2" t="s">
        <v>5015</v>
      </c>
      <c r="B3023" s="2" t="s">
        <v>10</v>
      </c>
      <c r="C3023" s="3">
        <v>39113</v>
      </c>
      <c r="D3023" t="s">
        <v>5016</v>
      </c>
      <c r="E3023" s="2" t="s">
        <v>12</v>
      </c>
      <c r="F3023" s="2" t="s">
        <v>12</v>
      </c>
      <c r="G3023" t="s">
        <v>4944</v>
      </c>
      <c r="H3023" t="str">
        <f t="shared" si="94"/>
        <v>https://videplast.com.br/consulta-imobilizado?id=30000206&amp;nome=ESTANTE%20DE%20ACO%206X1%20AMAPA%20CONZA%20P/%20ARQUIVAMENTO%20DE</v>
      </c>
      <c r="I3023" t="e">
        <f t="shared" ca="1" si="95"/>
        <v>#NAME?</v>
      </c>
    </row>
    <row r="3024" spans="1:9" x14ac:dyDescent="0.25">
      <c r="A3024" s="2" t="s">
        <v>5017</v>
      </c>
      <c r="B3024" s="2" t="s">
        <v>10</v>
      </c>
      <c r="C3024" s="3">
        <v>39172</v>
      </c>
      <c r="D3024" t="s">
        <v>5018</v>
      </c>
      <c r="E3024" s="2" t="s">
        <v>12</v>
      </c>
      <c r="F3024" s="2" t="s">
        <v>12</v>
      </c>
      <c r="G3024" t="s">
        <v>4944</v>
      </c>
      <c r="H3024" t="str">
        <f t="shared" si="94"/>
        <v>https://videplast.com.br/consulta-imobilizado?id=30000208&amp;nome=TV%20SEMP%20TSHIBA%2029%202988MS%20STEREO</v>
      </c>
      <c r="I3024" t="e">
        <f t="shared" ca="1" si="95"/>
        <v>#NAME?</v>
      </c>
    </row>
    <row r="3025" spans="1:9" x14ac:dyDescent="0.25">
      <c r="A3025" s="2" t="s">
        <v>5019</v>
      </c>
      <c r="B3025" s="2" t="s">
        <v>10</v>
      </c>
      <c r="C3025" s="3">
        <v>39202</v>
      </c>
      <c r="D3025" t="s">
        <v>5020</v>
      </c>
      <c r="E3025" s="2" t="s">
        <v>5021</v>
      </c>
      <c r="F3025" s="2" t="s">
        <v>12</v>
      </c>
      <c r="G3025" t="s">
        <v>4944</v>
      </c>
      <c r="H3025" t="str">
        <f t="shared" si="94"/>
        <v>https://videplast.com.br/consulta-imobilizado?id=30000209&amp;nome=AR%20CONDICIONADO%20CARRIER%20SPACE%20380V%2060000%20BTU</v>
      </c>
      <c r="I3025" t="e">
        <f t="shared" ca="1" si="95"/>
        <v>#NAME?</v>
      </c>
    </row>
    <row r="3026" spans="1:9" x14ac:dyDescent="0.25">
      <c r="A3026" s="2" t="s">
        <v>5019</v>
      </c>
      <c r="B3026" s="2" t="s">
        <v>26</v>
      </c>
      <c r="C3026" s="3">
        <v>45513</v>
      </c>
      <c r="D3026" t="s">
        <v>5022</v>
      </c>
      <c r="E3026" s="2" t="s">
        <v>5021</v>
      </c>
      <c r="F3026" s="2" t="s">
        <v>12</v>
      </c>
      <c r="G3026" t="s">
        <v>4944</v>
      </c>
      <c r="H3026" t="str">
        <f t="shared" si="94"/>
        <v>https://videplast.com.br/consulta-imobilizado?id=30000209&amp;nome=SERVICO%20DE%20INSTALACAODE%20AR%20CONDICIONADO</v>
      </c>
      <c r="I3026" t="e">
        <f t="shared" ca="1" si="95"/>
        <v>#NAME?</v>
      </c>
    </row>
    <row r="3027" spans="1:9" x14ac:dyDescent="0.25">
      <c r="A3027" s="2" t="s">
        <v>5023</v>
      </c>
      <c r="B3027" s="2" t="s">
        <v>10</v>
      </c>
      <c r="C3027" s="3">
        <v>39202</v>
      </c>
      <c r="D3027" t="s">
        <v>5024</v>
      </c>
      <c r="E3027" s="2" t="s">
        <v>12</v>
      </c>
      <c r="F3027" s="2" t="s">
        <v>12</v>
      </c>
      <c r="G3027" t="s">
        <v>4944</v>
      </c>
      <c r="H3027" t="str">
        <f t="shared" si="94"/>
        <v>https://videplast.com.br/consulta-imobilizado?id=30000211&amp;nome=CADEIRA%20FIXA</v>
      </c>
      <c r="I3027" t="e">
        <f t="shared" ca="1" si="95"/>
        <v>#NAME?</v>
      </c>
    </row>
    <row r="3028" spans="1:9" x14ac:dyDescent="0.25">
      <c r="A3028" s="2" t="s">
        <v>5025</v>
      </c>
      <c r="B3028" s="2" t="s">
        <v>10</v>
      </c>
      <c r="C3028" s="3">
        <v>39478</v>
      </c>
      <c r="D3028" t="s">
        <v>5026</v>
      </c>
      <c r="E3028" s="2" t="s">
        <v>12</v>
      </c>
      <c r="F3028" s="2" t="s">
        <v>12</v>
      </c>
      <c r="G3028" t="s">
        <v>4944</v>
      </c>
      <c r="H3028" t="str">
        <f t="shared" si="94"/>
        <v>https://videplast.com.br/consulta-imobilizado?id=30000220&amp;nome=AR%20CONDICIONADO%20SPLIT%20HIWALL%20HITACHI%2024000%20BTU</v>
      </c>
      <c r="I3028" t="e">
        <f t="shared" ca="1" si="95"/>
        <v>#NAME?</v>
      </c>
    </row>
    <row r="3029" spans="1:9" x14ac:dyDescent="0.25">
      <c r="A3029" s="2" t="s">
        <v>5027</v>
      </c>
      <c r="B3029" s="2" t="s">
        <v>10</v>
      </c>
      <c r="C3029" s="3">
        <v>39994</v>
      </c>
      <c r="D3029" t="s">
        <v>5028</v>
      </c>
      <c r="E3029" s="2" t="s">
        <v>12</v>
      </c>
      <c r="F3029" s="2" t="s">
        <v>12</v>
      </c>
      <c r="G3029" t="s">
        <v>4944</v>
      </c>
      <c r="H3029" t="str">
        <f t="shared" si="94"/>
        <v>https://videplast.com.br/consulta-imobilizado?id=30000230&amp;nome=BEBEDOURO%20MASTER%20INOX%20LIBEL%20P/A</v>
      </c>
      <c r="I3029" t="e">
        <f t="shared" ca="1" si="95"/>
        <v>#NAME?</v>
      </c>
    </row>
    <row r="3030" spans="1:9" x14ac:dyDescent="0.25">
      <c r="A3030" s="2" t="s">
        <v>5029</v>
      </c>
      <c r="B3030" s="2" t="s">
        <v>10</v>
      </c>
      <c r="C3030" s="3">
        <v>40359</v>
      </c>
      <c r="D3030" t="s">
        <v>5030</v>
      </c>
      <c r="E3030" s="2" t="s">
        <v>12</v>
      </c>
      <c r="F3030" s="2" t="s">
        <v>12</v>
      </c>
      <c r="G3030" t="s">
        <v>4944</v>
      </c>
      <c r="H3030" t="str">
        <f t="shared" si="94"/>
        <v>https://videplast.com.br/consulta-imobilizado?id=30000233&amp;nome=ESTANTE%20DE%20ACO%20COM%206%20BANDEJAS</v>
      </c>
      <c r="I3030" t="e">
        <f t="shared" ca="1" si="95"/>
        <v>#NAME?</v>
      </c>
    </row>
    <row r="3031" spans="1:9" x14ac:dyDescent="0.25">
      <c r="A3031" s="2" t="s">
        <v>5031</v>
      </c>
      <c r="B3031" s="2" t="s">
        <v>10</v>
      </c>
      <c r="C3031" s="3">
        <v>40390</v>
      </c>
      <c r="D3031" t="s">
        <v>5030</v>
      </c>
      <c r="E3031" s="2" t="s">
        <v>12</v>
      </c>
      <c r="F3031" s="2" t="s">
        <v>12</v>
      </c>
      <c r="G3031" t="s">
        <v>4944</v>
      </c>
      <c r="H3031" t="str">
        <f t="shared" si="94"/>
        <v>https://videplast.com.br/consulta-imobilizado?id=30000235&amp;nome=ESTANTE%20DE%20ACO%20COM%206%20BANDEJAS</v>
      </c>
      <c r="I3031" t="e">
        <f t="shared" ca="1" si="95"/>
        <v>#NAME?</v>
      </c>
    </row>
    <row r="3032" spans="1:9" x14ac:dyDescent="0.25">
      <c r="A3032" s="2" t="s">
        <v>5032</v>
      </c>
      <c r="B3032" s="2" t="s">
        <v>10</v>
      </c>
      <c r="C3032" s="3">
        <v>39051</v>
      </c>
      <c r="D3032" t="s">
        <v>5033</v>
      </c>
      <c r="E3032" s="2" t="s">
        <v>12</v>
      </c>
      <c r="F3032" s="2" t="s">
        <v>12</v>
      </c>
      <c r="G3032" t="s">
        <v>4944</v>
      </c>
      <c r="H3032" t="str">
        <f t="shared" si="94"/>
        <v>https://videplast.com.br/consulta-imobilizado?id=30000242&amp;nome=MESA%201,20X60X75%20COM%202%20GAVETAS</v>
      </c>
      <c r="I3032" t="e">
        <f t="shared" ca="1" si="95"/>
        <v>#NAME?</v>
      </c>
    </row>
    <row r="3033" spans="1:9" x14ac:dyDescent="0.25">
      <c r="A3033" s="2" t="s">
        <v>2126</v>
      </c>
      <c r="B3033" s="2" t="s">
        <v>21</v>
      </c>
      <c r="C3033" s="3">
        <v>42063</v>
      </c>
      <c r="D3033" t="s">
        <v>5034</v>
      </c>
      <c r="E3033" s="2" t="s">
        <v>5035</v>
      </c>
      <c r="F3033" s="2" t="s">
        <v>12</v>
      </c>
      <c r="G3033" t="s">
        <v>4944</v>
      </c>
      <c r="H3033" t="str">
        <f t="shared" si="94"/>
        <v>https://videplast.com.br/consulta-imobilizado?id=30000244&amp;nome=AR%20CONDICIONADO%20SPLIT%20HW%20CONSUL%20220V%2018000%20BTU</v>
      </c>
      <c r="I3033" t="e">
        <f t="shared" ca="1" si="95"/>
        <v>#NAME?</v>
      </c>
    </row>
    <row r="3034" spans="1:9" x14ac:dyDescent="0.25">
      <c r="A3034" s="2" t="s">
        <v>5036</v>
      </c>
      <c r="B3034" s="2" t="s">
        <v>10</v>
      </c>
      <c r="C3034" s="3">
        <v>42094</v>
      </c>
      <c r="D3034" t="s">
        <v>5037</v>
      </c>
      <c r="E3034" s="2" t="s">
        <v>5038</v>
      </c>
      <c r="F3034" s="2" t="s">
        <v>12</v>
      </c>
      <c r="G3034" t="s">
        <v>4944</v>
      </c>
      <c r="H3034" t="str">
        <f t="shared" si="94"/>
        <v>https://videplast.com.br/consulta-imobilizado?id=30000245&amp;nome=MESA%20DE%20REUNIAO%202,5X1,25X0,75%2025MMM</v>
      </c>
      <c r="I3034" t="e">
        <f t="shared" ca="1" si="95"/>
        <v>#NAME?</v>
      </c>
    </row>
    <row r="3035" spans="1:9" x14ac:dyDescent="0.25">
      <c r="A3035" s="2" t="s">
        <v>5039</v>
      </c>
      <c r="B3035" s="2" t="s">
        <v>10</v>
      </c>
      <c r="C3035" s="3">
        <v>42264</v>
      </c>
      <c r="D3035" t="s">
        <v>5040</v>
      </c>
      <c r="E3035" s="2" t="s">
        <v>5041</v>
      </c>
      <c r="F3035" s="2" t="s">
        <v>12</v>
      </c>
      <c r="G3035" t="s">
        <v>4944</v>
      </c>
      <c r="H3035" t="str">
        <f t="shared" si="94"/>
        <v>https://videplast.com.br/consulta-imobilizado?id=30001262&amp;nome=AR%20CONDICIONADO%20MIDEA%20VIZE%20220V%2012.000%20BTU</v>
      </c>
      <c r="I3035" t="e">
        <f t="shared" ca="1" si="95"/>
        <v>#NAME?</v>
      </c>
    </row>
    <row r="3036" spans="1:9" x14ac:dyDescent="0.25">
      <c r="A3036" s="2" t="s">
        <v>5042</v>
      </c>
      <c r="B3036" s="2" t="s">
        <v>10</v>
      </c>
      <c r="C3036" s="3">
        <v>42264</v>
      </c>
      <c r="D3036" t="s">
        <v>5040</v>
      </c>
      <c r="E3036" s="2" t="s">
        <v>5043</v>
      </c>
      <c r="F3036" s="2" t="s">
        <v>12</v>
      </c>
      <c r="G3036" t="s">
        <v>4944</v>
      </c>
      <c r="H3036" t="str">
        <f t="shared" si="94"/>
        <v>https://videplast.com.br/consulta-imobilizado?id=30001263&amp;nome=AR%20CONDICIONADO%20MIDEA%20VIZE%20220V%2012.000%20BTU</v>
      </c>
      <c r="I3036" t="e">
        <f t="shared" ca="1" si="95"/>
        <v>#NAME?</v>
      </c>
    </row>
    <row r="3037" spans="1:9" x14ac:dyDescent="0.25">
      <c r="A3037" s="2" t="s">
        <v>5044</v>
      </c>
      <c r="B3037" s="2" t="s">
        <v>10</v>
      </c>
      <c r="C3037" s="3">
        <v>42264</v>
      </c>
      <c r="D3037" t="s">
        <v>5040</v>
      </c>
      <c r="E3037" s="2" t="s">
        <v>5045</v>
      </c>
      <c r="F3037" s="2" t="s">
        <v>12</v>
      </c>
      <c r="G3037" t="s">
        <v>4944</v>
      </c>
      <c r="H3037" t="str">
        <f t="shared" si="94"/>
        <v>https://videplast.com.br/consulta-imobilizado?id=30001264&amp;nome=AR%20CONDICIONADO%20MIDEA%20VIZE%20220V%2012.000%20BTU</v>
      </c>
      <c r="I3037" t="e">
        <f t="shared" ca="1" si="95"/>
        <v>#NAME?</v>
      </c>
    </row>
    <row r="3038" spans="1:9" x14ac:dyDescent="0.25">
      <c r="A3038" s="2" t="s">
        <v>5046</v>
      </c>
      <c r="B3038" s="2" t="s">
        <v>10</v>
      </c>
      <c r="C3038" s="3">
        <v>42718</v>
      </c>
      <c r="D3038" t="s">
        <v>5047</v>
      </c>
      <c r="E3038" s="2" t="s">
        <v>12</v>
      </c>
      <c r="F3038" s="2" t="s">
        <v>12</v>
      </c>
      <c r="G3038" t="s">
        <v>4944</v>
      </c>
      <c r="H3038" t="str">
        <f t="shared" si="94"/>
        <v>https://videplast.com.br/consulta-imobilizado?id=30001537&amp;nome=CADEIRA%20CAVALETTI%20GIRATORIO%20DIRETOR%204001</v>
      </c>
      <c r="I3038" t="e">
        <f t="shared" ca="1" si="95"/>
        <v>#NAME?</v>
      </c>
    </row>
    <row r="3039" spans="1:9" x14ac:dyDescent="0.25">
      <c r="A3039" s="2" t="s">
        <v>5048</v>
      </c>
      <c r="B3039" s="2" t="s">
        <v>10</v>
      </c>
      <c r="C3039" s="3">
        <v>42718</v>
      </c>
      <c r="D3039" t="s">
        <v>5047</v>
      </c>
      <c r="E3039" s="2" t="s">
        <v>12</v>
      </c>
      <c r="F3039" s="2" t="s">
        <v>12</v>
      </c>
      <c r="G3039" t="s">
        <v>4944</v>
      </c>
      <c r="H3039" t="str">
        <f t="shared" si="94"/>
        <v>https://videplast.com.br/consulta-imobilizado?id=30001538&amp;nome=CADEIRA%20CAVALETTI%20GIRATORIO%20DIRETOR%204001</v>
      </c>
      <c r="I3039" t="e">
        <f t="shared" ca="1" si="95"/>
        <v>#NAME?</v>
      </c>
    </row>
    <row r="3040" spans="1:9" x14ac:dyDescent="0.25">
      <c r="A3040" s="2" t="s">
        <v>5049</v>
      </c>
      <c r="B3040" s="2" t="s">
        <v>10</v>
      </c>
      <c r="C3040" s="3">
        <v>42718</v>
      </c>
      <c r="D3040" t="s">
        <v>5047</v>
      </c>
      <c r="E3040" s="2" t="s">
        <v>12</v>
      </c>
      <c r="F3040" s="2" t="s">
        <v>12</v>
      </c>
      <c r="G3040" t="s">
        <v>4944</v>
      </c>
      <c r="H3040" t="str">
        <f t="shared" si="94"/>
        <v>https://videplast.com.br/consulta-imobilizado?id=30001539&amp;nome=CADEIRA%20CAVALETTI%20GIRATORIO%20DIRETOR%204001</v>
      </c>
      <c r="I3040" t="e">
        <f t="shared" ca="1" si="95"/>
        <v>#NAME?</v>
      </c>
    </row>
    <row r="3041" spans="1:9" x14ac:dyDescent="0.25">
      <c r="A3041" s="2" t="s">
        <v>5050</v>
      </c>
      <c r="B3041" s="2" t="s">
        <v>10</v>
      </c>
      <c r="C3041" s="3">
        <v>43371</v>
      </c>
      <c r="D3041" t="s">
        <v>5051</v>
      </c>
      <c r="E3041" s="2" t="s">
        <v>12</v>
      </c>
      <c r="F3041" s="2" t="s">
        <v>12</v>
      </c>
      <c r="G3041" t="s">
        <v>4944</v>
      </c>
      <c r="H3041" t="str">
        <f t="shared" si="94"/>
        <v>https://videplast.com.br/consulta-imobilizado?id=30001738&amp;nome=MESA%20DE%20REUNIAO%202,70X1,20%20TAMPO%20DE%2015MM</v>
      </c>
      <c r="I3041" t="e">
        <f t="shared" ca="1" si="95"/>
        <v>#NAME?</v>
      </c>
    </row>
    <row r="3042" spans="1:9" x14ac:dyDescent="0.25">
      <c r="A3042" s="2" t="s">
        <v>5052</v>
      </c>
      <c r="B3042" s="2" t="s">
        <v>10</v>
      </c>
      <c r="C3042" s="3">
        <v>44173</v>
      </c>
      <c r="D3042" t="s">
        <v>3768</v>
      </c>
      <c r="E3042" s="2" t="s">
        <v>12</v>
      </c>
      <c r="F3042" s="2" t="s">
        <v>12</v>
      </c>
      <c r="G3042" t="s">
        <v>4944</v>
      </c>
      <c r="H3042" t="str">
        <f t="shared" si="94"/>
        <v>https://videplast.com.br/consulta-imobilizado?id=30003380&amp;nome=PURIFICADOR%20AGUA%20SOFT%20STAR%202L%20SIST%20DUPLA</v>
      </c>
      <c r="I3042" t="e">
        <f t="shared" ca="1" si="95"/>
        <v>#NAME?</v>
      </c>
    </row>
    <row r="3043" spans="1:9" x14ac:dyDescent="0.25">
      <c r="A3043" s="2" t="s">
        <v>5053</v>
      </c>
      <c r="B3043" s="2" t="s">
        <v>10</v>
      </c>
      <c r="C3043" s="3">
        <v>44323</v>
      </c>
      <c r="D3043" t="s">
        <v>5054</v>
      </c>
      <c r="E3043" s="2" t="s">
        <v>12</v>
      </c>
      <c r="F3043" s="2" t="s">
        <v>12</v>
      </c>
      <c r="G3043" t="s">
        <v>4944</v>
      </c>
      <c r="H3043" t="str">
        <f t="shared" si="94"/>
        <v>https://videplast.com.br/consulta-imobilizado?id=30003399&amp;nome=AR%20CONDICIONADO%20INVERTER%20FRIO%20FUJITSU%209000%20BTU</v>
      </c>
      <c r="I3043" t="e">
        <f t="shared" ca="1" si="95"/>
        <v>#NAME?</v>
      </c>
    </row>
    <row r="3044" spans="1:9" x14ac:dyDescent="0.25">
      <c r="A3044" s="2" t="s">
        <v>5055</v>
      </c>
      <c r="B3044" s="2" t="s">
        <v>10</v>
      </c>
      <c r="C3044" s="3">
        <v>44343</v>
      </c>
      <c r="D3044" t="s">
        <v>5056</v>
      </c>
      <c r="E3044" s="2" t="s">
        <v>5057</v>
      </c>
      <c r="F3044" s="2" t="s">
        <v>12</v>
      </c>
      <c r="G3044" t="s">
        <v>4944</v>
      </c>
      <c r="H3044" t="str">
        <f t="shared" si="94"/>
        <v>https://videplast.com.br/consulta-imobilizado?id=30003410&amp;nome=CADEIRA%20CAVALETTI%20GIR%20DIRETOR%204002%20BRACO%20SL</v>
      </c>
      <c r="I3044" t="e">
        <f t="shared" ca="1" si="95"/>
        <v>#NAME?</v>
      </c>
    </row>
    <row r="3045" spans="1:9" x14ac:dyDescent="0.25">
      <c r="A3045" s="2" t="s">
        <v>5058</v>
      </c>
      <c r="B3045" s="2" t="s">
        <v>10</v>
      </c>
      <c r="C3045" s="3">
        <v>44343</v>
      </c>
      <c r="D3045" t="s">
        <v>5056</v>
      </c>
      <c r="E3045" s="2" t="s">
        <v>5059</v>
      </c>
      <c r="F3045" s="2" t="s">
        <v>12</v>
      </c>
      <c r="G3045" t="s">
        <v>4944</v>
      </c>
      <c r="H3045" t="str">
        <f t="shared" si="94"/>
        <v>https://videplast.com.br/consulta-imobilizado?id=30003411&amp;nome=CADEIRA%20CAVALETTI%20GIR%20DIRETOR%204002%20BRACO%20SL</v>
      </c>
      <c r="I3045" t="e">
        <f t="shared" ca="1" si="95"/>
        <v>#NAME?</v>
      </c>
    </row>
    <row r="3046" spans="1:9" x14ac:dyDescent="0.25">
      <c r="A3046" s="2" t="s">
        <v>5060</v>
      </c>
      <c r="B3046" s="2" t="s">
        <v>10</v>
      </c>
      <c r="C3046" s="3">
        <v>44343</v>
      </c>
      <c r="D3046" t="s">
        <v>5056</v>
      </c>
      <c r="E3046" s="2" t="s">
        <v>5061</v>
      </c>
      <c r="F3046" s="2" t="s">
        <v>12</v>
      </c>
      <c r="G3046" t="s">
        <v>4944</v>
      </c>
      <c r="H3046" t="str">
        <f t="shared" si="94"/>
        <v>https://videplast.com.br/consulta-imobilizado?id=30003412&amp;nome=CADEIRA%20CAVALETTI%20GIR%20DIRETOR%204002%20BRACO%20SL</v>
      </c>
      <c r="I3046" t="e">
        <f t="shared" ca="1" si="95"/>
        <v>#NAME?</v>
      </c>
    </row>
    <row r="3047" spans="1:9" x14ac:dyDescent="0.25">
      <c r="A3047" s="2" t="s">
        <v>5062</v>
      </c>
      <c r="B3047" s="2" t="s">
        <v>10</v>
      </c>
      <c r="C3047" s="3">
        <v>44343</v>
      </c>
      <c r="D3047" t="s">
        <v>5056</v>
      </c>
      <c r="E3047" s="2" t="s">
        <v>5063</v>
      </c>
      <c r="F3047" s="2" t="s">
        <v>12</v>
      </c>
      <c r="G3047" t="s">
        <v>4944</v>
      </c>
      <c r="H3047" t="str">
        <f t="shared" si="94"/>
        <v>https://videplast.com.br/consulta-imobilizado?id=30003413&amp;nome=CADEIRA%20CAVALETTI%20GIR%20DIRETOR%204002%20BRACO%20SL</v>
      </c>
      <c r="I3047" t="e">
        <f t="shared" ca="1" si="95"/>
        <v>#NAME?</v>
      </c>
    </row>
    <row r="3048" spans="1:9" x14ac:dyDescent="0.25">
      <c r="A3048" s="2" t="s">
        <v>5064</v>
      </c>
      <c r="B3048" s="2" t="s">
        <v>10</v>
      </c>
      <c r="C3048" s="3">
        <v>44343</v>
      </c>
      <c r="D3048" t="s">
        <v>5056</v>
      </c>
      <c r="E3048" s="2" t="s">
        <v>5065</v>
      </c>
      <c r="F3048" s="2" t="s">
        <v>12</v>
      </c>
      <c r="G3048" t="s">
        <v>4944</v>
      </c>
      <c r="H3048" t="str">
        <f t="shared" si="94"/>
        <v>https://videplast.com.br/consulta-imobilizado?id=30003414&amp;nome=CADEIRA%20CAVALETTI%20GIR%20DIRETOR%204002%20BRACO%20SL</v>
      </c>
      <c r="I3048" t="e">
        <f t="shared" ca="1" si="95"/>
        <v>#NAME?</v>
      </c>
    </row>
    <row r="3049" spans="1:9" x14ac:dyDescent="0.25">
      <c r="A3049" s="2" t="s">
        <v>5066</v>
      </c>
      <c r="B3049" s="2" t="s">
        <v>10</v>
      </c>
      <c r="C3049" s="3">
        <v>44343</v>
      </c>
      <c r="D3049" t="s">
        <v>5056</v>
      </c>
      <c r="E3049" s="2" t="s">
        <v>5067</v>
      </c>
      <c r="F3049" s="2" t="s">
        <v>12</v>
      </c>
      <c r="G3049" t="s">
        <v>4944</v>
      </c>
      <c r="H3049" t="str">
        <f t="shared" si="94"/>
        <v>https://videplast.com.br/consulta-imobilizado?id=30003415&amp;nome=CADEIRA%20CAVALETTI%20GIR%20DIRETOR%204002%20BRACO%20SL</v>
      </c>
      <c r="I3049" t="e">
        <f t="shared" ca="1" si="95"/>
        <v>#NAME?</v>
      </c>
    </row>
    <row r="3050" spans="1:9" x14ac:dyDescent="0.25">
      <c r="A3050" s="2" t="s">
        <v>5068</v>
      </c>
      <c r="B3050" s="2" t="s">
        <v>10</v>
      </c>
      <c r="C3050" s="3">
        <v>44343</v>
      </c>
      <c r="D3050" t="s">
        <v>5056</v>
      </c>
      <c r="E3050" s="2" t="s">
        <v>5069</v>
      </c>
      <c r="F3050" s="2" t="s">
        <v>12</v>
      </c>
      <c r="G3050" t="s">
        <v>4944</v>
      </c>
      <c r="H3050" t="str">
        <f t="shared" si="94"/>
        <v>https://videplast.com.br/consulta-imobilizado?id=30003416&amp;nome=CADEIRA%20CAVALETTI%20GIR%20DIRETOR%204002%20BRACO%20SL</v>
      </c>
      <c r="I3050" t="e">
        <f t="shared" ca="1" si="95"/>
        <v>#NAME?</v>
      </c>
    </row>
    <row r="3051" spans="1:9" x14ac:dyDescent="0.25">
      <c r="A3051" s="2" t="s">
        <v>5070</v>
      </c>
      <c r="B3051" s="2" t="s">
        <v>10</v>
      </c>
      <c r="C3051" s="3">
        <v>44343</v>
      </c>
      <c r="D3051" t="s">
        <v>5056</v>
      </c>
      <c r="E3051" s="2" t="s">
        <v>5071</v>
      </c>
      <c r="F3051" s="2" t="s">
        <v>12</v>
      </c>
      <c r="G3051" t="s">
        <v>4944</v>
      </c>
      <c r="H3051" t="str">
        <f t="shared" si="94"/>
        <v>https://videplast.com.br/consulta-imobilizado?id=30003417&amp;nome=CADEIRA%20CAVALETTI%20GIR%20DIRETOR%204002%20BRACO%20SL</v>
      </c>
      <c r="I3051" t="e">
        <f t="shared" ca="1" si="95"/>
        <v>#NAME?</v>
      </c>
    </row>
    <row r="3052" spans="1:9" x14ac:dyDescent="0.25">
      <c r="A3052" s="2" t="s">
        <v>5072</v>
      </c>
      <c r="B3052" s="2" t="s">
        <v>10</v>
      </c>
      <c r="C3052" s="3">
        <v>44439</v>
      </c>
      <c r="D3052" t="s">
        <v>5073</v>
      </c>
      <c r="E3052" s="2" t="s">
        <v>12</v>
      </c>
      <c r="F3052" s="2" t="s">
        <v>12</v>
      </c>
      <c r="G3052" t="s">
        <v>4944</v>
      </c>
      <c r="H3052" t="str">
        <f t="shared" si="94"/>
        <v>https://videplast.com.br/consulta-imobilizado?id=30003433&amp;nome=SOFA%203%20LUGARES%20MADRI%20CORANO%20PRETO%20210X77X90</v>
      </c>
      <c r="I3052" t="e">
        <f t="shared" ca="1" si="95"/>
        <v>#NAME?</v>
      </c>
    </row>
    <row r="3053" spans="1:9" x14ac:dyDescent="0.25">
      <c r="A3053" s="2" t="s">
        <v>5074</v>
      </c>
      <c r="B3053" s="2" t="s">
        <v>10</v>
      </c>
      <c r="C3053" s="3">
        <v>44371</v>
      </c>
      <c r="D3053" t="s">
        <v>5075</v>
      </c>
      <c r="E3053" s="2" t="s">
        <v>12</v>
      </c>
      <c r="F3053" s="2" t="s">
        <v>12</v>
      </c>
      <c r="G3053" t="s">
        <v>4944</v>
      </c>
      <c r="H3053" t="str">
        <f t="shared" si="94"/>
        <v>https://videplast.com.br/consulta-imobilizado?id=30003434&amp;nome=POLTRONA%20CAVALETTI%20SPOT%2036010%204P%20COURO%20VERMELHO</v>
      </c>
      <c r="I3053" t="e">
        <f t="shared" ca="1" si="95"/>
        <v>#NAME?</v>
      </c>
    </row>
    <row r="3054" spans="1:9" x14ac:dyDescent="0.25">
      <c r="A3054" s="2" t="s">
        <v>5076</v>
      </c>
      <c r="B3054" s="2" t="s">
        <v>10</v>
      </c>
      <c r="C3054" s="3">
        <v>44371</v>
      </c>
      <c r="D3054" t="s">
        <v>5075</v>
      </c>
      <c r="E3054" s="2" t="s">
        <v>12</v>
      </c>
      <c r="F3054" s="2" t="s">
        <v>12</v>
      </c>
      <c r="G3054" t="s">
        <v>4944</v>
      </c>
      <c r="H3054" t="str">
        <f t="shared" si="94"/>
        <v>https://videplast.com.br/consulta-imobilizado?id=30003435&amp;nome=POLTRONA%20CAVALETTI%20SPOT%2036010%204P%20COURO%20VERMELHO</v>
      </c>
      <c r="I3054" t="e">
        <f t="shared" ca="1" si="95"/>
        <v>#NAME?</v>
      </c>
    </row>
    <row r="3055" spans="1:9" x14ac:dyDescent="0.25">
      <c r="A3055" s="2" t="s">
        <v>5077</v>
      </c>
      <c r="B3055" s="2" t="s">
        <v>10</v>
      </c>
      <c r="C3055" s="3">
        <v>44371</v>
      </c>
      <c r="D3055" t="s">
        <v>5075</v>
      </c>
      <c r="E3055" s="2" t="s">
        <v>12</v>
      </c>
      <c r="F3055" s="2" t="s">
        <v>12</v>
      </c>
      <c r="G3055" t="s">
        <v>4944</v>
      </c>
      <c r="H3055" t="str">
        <f t="shared" si="94"/>
        <v>https://videplast.com.br/consulta-imobilizado?id=30003436&amp;nome=POLTRONA%20CAVALETTI%20SPOT%2036010%204P%20COURO%20VERMELHO</v>
      </c>
      <c r="I3055" t="e">
        <f t="shared" ca="1" si="95"/>
        <v>#NAME?</v>
      </c>
    </row>
    <row r="3056" spans="1:9" x14ac:dyDescent="0.25">
      <c r="A3056" s="2" t="s">
        <v>5078</v>
      </c>
      <c r="B3056" s="2" t="s">
        <v>10</v>
      </c>
      <c r="C3056" s="3">
        <v>44648</v>
      </c>
      <c r="D3056" t="s">
        <v>5079</v>
      </c>
      <c r="E3056" s="2" t="s">
        <v>5080</v>
      </c>
      <c r="F3056" s="2" t="s">
        <v>12</v>
      </c>
      <c r="G3056" t="s">
        <v>4944</v>
      </c>
      <c r="H3056" t="str">
        <f t="shared" si="94"/>
        <v>https://videplast.com.br/consulta-imobilizado?id=30003593&amp;nome=TV%20SMART%20LED%2055"%20LG%204KUHD%20BLUETOOTH%20ASSIT.%20VIRTUAL</v>
      </c>
      <c r="I3056" t="e">
        <f t="shared" ca="1" si="95"/>
        <v>#NAME?</v>
      </c>
    </row>
    <row r="3057" spans="1:9" x14ac:dyDescent="0.25">
      <c r="A3057" s="2" t="s">
        <v>5081</v>
      </c>
      <c r="B3057" s="2" t="s">
        <v>10</v>
      </c>
      <c r="C3057" s="3">
        <v>44700</v>
      </c>
      <c r="D3057" t="s">
        <v>5082</v>
      </c>
      <c r="E3057" s="2" t="s">
        <v>5083</v>
      </c>
      <c r="F3057" s="2" t="s">
        <v>12</v>
      </c>
      <c r="G3057" t="s">
        <v>4944</v>
      </c>
      <c r="H3057" t="str">
        <f t="shared" si="94"/>
        <v>https://videplast.com.br/consulta-imobilizado?id=30003598&amp;nome=APARADOR%20120%20X%2038%20COM%20TAMPA%20DE%20VIDRO</v>
      </c>
      <c r="I3057" t="e">
        <f t="shared" ca="1" si="95"/>
        <v>#NAME?</v>
      </c>
    </row>
    <row r="3058" spans="1:9" x14ac:dyDescent="0.25">
      <c r="A3058" s="2" t="s">
        <v>5084</v>
      </c>
      <c r="B3058" s="2" t="s">
        <v>10</v>
      </c>
      <c r="C3058" s="3">
        <v>45215</v>
      </c>
      <c r="D3058" t="s">
        <v>5085</v>
      </c>
      <c r="E3058" s="2" t="s">
        <v>5086</v>
      </c>
      <c r="F3058" s="2" t="s">
        <v>12</v>
      </c>
      <c r="G3058" t="s">
        <v>4944</v>
      </c>
      <c r="H3058" t="str">
        <f t="shared" si="94"/>
        <v>https://videplast.com.br/consulta-imobilizado?id=30003940&amp;nome=ARMARIO%20EM%20MDF%202%20PORTAS%20ME4149%20BRANCO</v>
      </c>
      <c r="I3058" t="e">
        <f t="shared" ca="1" si="95"/>
        <v>#NAME?</v>
      </c>
    </row>
    <row r="3059" spans="1:9" x14ac:dyDescent="0.25">
      <c r="A3059" s="2" t="s">
        <v>5087</v>
      </c>
      <c r="B3059" s="2" t="s">
        <v>10</v>
      </c>
      <c r="C3059" s="3">
        <v>45469</v>
      </c>
      <c r="D3059" t="s">
        <v>5088</v>
      </c>
      <c r="E3059" s="2" t="s">
        <v>5089</v>
      </c>
      <c r="F3059" s="2" t="s">
        <v>12</v>
      </c>
      <c r="G3059" t="s">
        <v>4944</v>
      </c>
      <c r="H3059" t="str">
        <f t="shared" si="94"/>
        <v>https://videplast.com.br/consulta-imobilizado?id=30004146&amp;nome=MESA%20SEMI%20OVAL%202.40X1.20%20TAMPO%20COM%2025MM%20MARROM</v>
      </c>
      <c r="I3059" t="e">
        <f t="shared" ca="1" si="95"/>
        <v>#NAME?</v>
      </c>
    </row>
    <row r="3060" spans="1:9" x14ac:dyDescent="0.25">
      <c r="A3060" s="2" t="s">
        <v>5090</v>
      </c>
      <c r="B3060" s="2" t="s">
        <v>10</v>
      </c>
      <c r="C3060" s="3">
        <v>45524</v>
      </c>
      <c r="D3060" t="s">
        <v>467</v>
      </c>
      <c r="E3060" s="2" t="s">
        <v>5091</v>
      </c>
      <c r="F3060" s="2" t="s">
        <v>12</v>
      </c>
      <c r="G3060" t="s">
        <v>4944</v>
      </c>
      <c r="H3060" t="str">
        <f t="shared" si="94"/>
        <v>https://videplast.com.br/consulta-imobilizado?id=30004151&amp;nome=CADEIRA%20CAVALETTI%20GIRATORIA%20PRESIDENTE%204001</v>
      </c>
      <c r="I3060" t="e">
        <f t="shared" ca="1" si="95"/>
        <v>#NAME?</v>
      </c>
    </row>
    <row r="3061" spans="1:9" x14ac:dyDescent="0.25">
      <c r="A3061" s="2" t="s">
        <v>5092</v>
      </c>
      <c r="B3061" s="2" t="s">
        <v>10</v>
      </c>
      <c r="C3061" s="3">
        <v>45524</v>
      </c>
      <c r="D3061" t="s">
        <v>467</v>
      </c>
      <c r="E3061" s="2" t="s">
        <v>5093</v>
      </c>
      <c r="F3061" s="2" t="s">
        <v>12</v>
      </c>
      <c r="G3061" t="s">
        <v>4944</v>
      </c>
      <c r="H3061" t="str">
        <f t="shared" si="94"/>
        <v>https://videplast.com.br/consulta-imobilizado?id=30004152&amp;nome=CADEIRA%20CAVALETTI%20GIRATORIA%20PRESIDENTE%204001</v>
      </c>
      <c r="I3061" t="e">
        <f t="shared" ca="1" si="95"/>
        <v>#NAME?</v>
      </c>
    </row>
    <row r="3062" spans="1:9" x14ac:dyDescent="0.25">
      <c r="A3062" s="2" t="s">
        <v>5094</v>
      </c>
      <c r="B3062" s="2" t="s">
        <v>10</v>
      </c>
      <c r="C3062" s="3">
        <v>45524</v>
      </c>
      <c r="D3062" t="s">
        <v>467</v>
      </c>
      <c r="E3062" s="2" t="s">
        <v>5095</v>
      </c>
      <c r="F3062" s="2" t="s">
        <v>12</v>
      </c>
      <c r="G3062" t="s">
        <v>4944</v>
      </c>
      <c r="H3062" t="str">
        <f t="shared" si="94"/>
        <v>https://videplast.com.br/consulta-imobilizado?id=30004153&amp;nome=CADEIRA%20CAVALETTI%20GIRATORIA%20PRESIDENTE%204001</v>
      </c>
      <c r="I3062" t="e">
        <f t="shared" ca="1" si="95"/>
        <v>#NAME?</v>
      </c>
    </row>
    <row r="3063" spans="1:9" x14ac:dyDescent="0.25">
      <c r="A3063" s="2" t="s">
        <v>5096</v>
      </c>
      <c r="B3063" s="2" t="s">
        <v>10</v>
      </c>
      <c r="C3063" s="3">
        <v>45524</v>
      </c>
      <c r="D3063" t="s">
        <v>467</v>
      </c>
      <c r="E3063" s="2" t="s">
        <v>5097</v>
      </c>
      <c r="F3063" s="2" t="s">
        <v>12</v>
      </c>
      <c r="G3063" t="s">
        <v>4944</v>
      </c>
      <c r="H3063" t="str">
        <f t="shared" si="94"/>
        <v>https://videplast.com.br/consulta-imobilizado?id=30004154&amp;nome=CADEIRA%20CAVALETTI%20GIRATORIA%20PRESIDENTE%204001</v>
      </c>
      <c r="I3063" t="e">
        <f t="shared" ca="1" si="95"/>
        <v>#NAME?</v>
      </c>
    </row>
    <row r="3064" spans="1:9" x14ac:dyDescent="0.25">
      <c r="A3064" s="2" t="s">
        <v>5098</v>
      </c>
      <c r="B3064" s="2" t="s">
        <v>10</v>
      </c>
      <c r="C3064" s="3">
        <v>45524</v>
      </c>
      <c r="D3064" t="s">
        <v>467</v>
      </c>
      <c r="E3064" s="2" t="s">
        <v>5099</v>
      </c>
      <c r="F3064" s="2" t="s">
        <v>12</v>
      </c>
      <c r="G3064" t="s">
        <v>4944</v>
      </c>
      <c r="H3064" t="str">
        <f t="shared" si="94"/>
        <v>https://videplast.com.br/consulta-imobilizado?id=30004155&amp;nome=CADEIRA%20CAVALETTI%20GIRATORIA%20PRESIDENTE%204001</v>
      </c>
      <c r="I3064" t="e">
        <f t="shared" ca="1" si="95"/>
        <v>#NAME?</v>
      </c>
    </row>
    <row r="3065" spans="1:9" x14ac:dyDescent="0.25">
      <c r="A3065" s="2" t="s">
        <v>5100</v>
      </c>
      <c r="B3065" s="2" t="s">
        <v>10</v>
      </c>
      <c r="C3065" s="3">
        <v>45524</v>
      </c>
      <c r="D3065" t="s">
        <v>467</v>
      </c>
      <c r="E3065" s="2" t="s">
        <v>5101</v>
      </c>
      <c r="F3065" s="2" t="s">
        <v>12</v>
      </c>
      <c r="G3065" t="s">
        <v>4944</v>
      </c>
      <c r="H3065" t="str">
        <f t="shared" si="94"/>
        <v>https://videplast.com.br/consulta-imobilizado?id=30004156&amp;nome=CADEIRA%20CAVALETTI%20GIRATORIA%20PRESIDENTE%204001</v>
      </c>
      <c r="I3065" t="e">
        <f t="shared" ca="1" si="95"/>
        <v>#NAME?</v>
      </c>
    </row>
    <row r="3066" spans="1:9" x14ac:dyDescent="0.25">
      <c r="A3066" s="2" t="s">
        <v>5102</v>
      </c>
      <c r="B3066" s="2" t="s">
        <v>10</v>
      </c>
      <c r="C3066" s="3">
        <v>45513</v>
      </c>
      <c r="D3066" t="s">
        <v>5103</v>
      </c>
      <c r="E3066" s="2" t="s">
        <v>12</v>
      </c>
      <c r="F3066" s="2" t="s">
        <v>12</v>
      </c>
      <c r="G3066" t="s">
        <v>4944</v>
      </c>
      <c r="H3066" t="str">
        <f t="shared" si="94"/>
        <v>https://videplast.com.br/consulta-imobilizado?id=30004226&amp;nome=CADEIRA%20GIRATORIA%20EXECUTIVA%20S/LAM%20155TC%20AZUL</v>
      </c>
      <c r="I3066" t="e">
        <f t="shared" ca="1" si="95"/>
        <v>#NAME?</v>
      </c>
    </row>
    <row r="3067" spans="1:9" x14ac:dyDescent="0.25">
      <c r="A3067" s="2" t="s">
        <v>5104</v>
      </c>
      <c r="B3067" s="2" t="s">
        <v>10</v>
      </c>
      <c r="C3067" s="3">
        <v>45513</v>
      </c>
      <c r="D3067" t="s">
        <v>5103</v>
      </c>
      <c r="E3067" s="2" t="s">
        <v>12</v>
      </c>
      <c r="F3067" s="2" t="s">
        <v>12</v>
      </c>
      <c r="G3067" t="s">
        <v>4944</v>
      </c>
      <c r="H3067" t="str">
        <f t="shared" si="94"/>
        <v>https://videplast.com.br/consulta-imobilizado?id=30004227&amp;nome=CADEIRA%20GIRATORIA%20EXECUTIVA%20S/LAM%20155TC%20AZUL</v>
      </c>
      <c r="I3067" t="e">
        <f t="shared" ca="1" si="95"/>
        <v>#NAME?</v>
      </c>
    </row>
    <row r="3068" spans="1:9" x14ac:dyDescent="0.25">
      <c r="A3068" s="2" t="s">
        <v>5105</v>
      </c>
      <c r="B3068" s="2" t="s">
        <v>10</v>
      </c>
      <c r="C3068" s="3">
        <v>45513</v>
      </c>
      <c r="D3068" t="s">
        <v>5103</v>
      </c>
      <c r="E3068" s="2" t="s">
        <v>12</v>
      </c>
      <c r="F3068" s="2" t="s">
        <v>12</v>
      </c>
      <c r="G3068" t="s">
        <v>4944</v>
      </c>
      <c r="H3068" t="str">
        <f t="shared" si="94"/>
        <v>https://videplast.com.br/consulta-imobilizado?id=30004228&amp;nome=CADEIRA%20GIRATORIA%20EXECUTIVA%20S/LAM%20155TC%20AZUL</v>
      </c>
      <c r="I3068" t="e">
        <f t="shared" ca="1" si="95"/>
        <v>#NAME?</v>
      </c>
    </row>
    <row r="3069" spans="1:9" x14ac:dyDescent="0.25">
      <c r="A3069" s="2" t="s">
        <v>5106</v>
      </c>
      <c r="B3069" s="2" t="s">
        <v>10</v>
      </c>
      <c r="C3069" s="3">
        <v>45513</v>
      </c>
      <c r="D3069" t="s">
        <v>5103</v>
      </c>
      <c r="E3069" s="2" t="s">
        <v>12</v>
      </c>
      <c r="F3069" s="2" t="s">
        <v>12</v>
      </c>
      <c r="G3069" t="s">
        <v>4944</v>
      </c>
      <c r="H3069" t="str">
        <f t="shared" si="94"/>
        <v>https://videplast.com.br/consulta-imobilizado?id=30004229&amp;nome=CADEIRA%20GIRATORIA%20EXECUTIVA%20S/LAM%20155TC%20AZUL</v>
      </c>
      <c r="I3069" t="e">
        <f t="shared" ca="1" si="95"/>
        <v>#NAME?</v>
      </c>
    </row>
    <row r="3070" spans="1:9" x14ac:dyDescent="0.25">
      <c r="A3070" s="2" t="s">
        <v>5107</v>
      </c>
      <c r="B3070" s="2" t="s">
        <v>10</v>
      </c>
      <c r="C3070" s="3">
        <v>45513</v>
      </c>
      <c r="D3070" t="s">
        <v>5103</v>
      </c>
      <c r="E3070" s="2" t="s">
        <v>12</v>
      </c>
      <c r="F3070" s="2" t="s">
        <v>12</v>
      </c>
      <c r="G3070" t="s">
        <v>4944</v>
      </c>
      <c r="H3070" t="str">
        <f t="shared" si="94"/>
        <v>https://videplast.com.br/consulta-imobilizado?id=30004230&amp;nome=CADEIRA%20GIRATORIA%20EXECUTIVA%20S/LAM%20155TC%20AZUL</v>
      </c>
      <c r="I3070" t="e">
        <f t="shared" ca="1" si="95"/>
        <v>#NAME?</v>
      </c>
    </row>
    <row r="3071" spans="1:9" x14ac:dyDescent="0.25">
      <c r="A3071" s="2" t="s">
        <v>5108</v>
      </c>
      <c r="B3071" s="2" t="s">
        <v>10</v>
      </c>
      <c r="C3071" s="3">
        <v>45513</v>
      </c>
      <c r="D3071" t="s">
        <v>5103</v>
      </c>
      <c r="E3071" s="2" t="s">
        <v>12</v>
      </c>
      <c r="F3071" s="2" t="s">
        <v>12</v>
      </c>
      <c r="G3071" t="s">
        <v>4944</v>
      </c>
      <c r="H3071" t="str">
        <f t="shared" si="94"/>
        <v>https://videplast.com.br/consulta-imobilizado?id=30004231&amp;nome=CADEIRA%20GIRATORIA%20EXECUTIVA%20S/LAM%20155TC%20AZUL</v>
      </c>
      <c r="I3071" t="e">
        <f t="shared" ca="1" si="95"/>
        <v>#NAME?</v>
      </c>
    </row>
    <row r="3072" spans="1:9" x14ac:dyDescent="0.25">
      <c r="A3072" s="2" t="s">
        <v>5109</v>
      </c>
      <c r="B3072" s="2" t="s">
        <v>10</v>
      </c>
      <c r="C3072" s="3">
        <v>45513</v>
      </c>
      <c r="D3072" t="s">
        <v>5103</v>
      </c>
      <c r="E3072" s="2" t="s">
        <v>12</v>
      </c>
      <c r="F3072" s="2" t="s">
        <v>12</v>
      </c>
      <c r="G3072" t="s">
        <v>4944</v>
      </c>
      <c r="H3072" t="str">
        <f t="shared" si="94"/>
        <v>https://videplast.com.br/consulta-imobilizado?id=30004232&amp;nome=CADEIRA%20GIRATORIA%20EXECUTIVA%20S/LAM%20155TC%20AZUL</v>
      </c>
      <c r="I3072" t="e">
        <f t="shared" ca="1" si="95"/>
        <v>#NAME?</v>
      </c>
    </row>
    <row r="3073" spans="1:9" x14ac:dyDescent="0.25">
      <c r="A3073" s="2" t="s">
        <v>5110</v>
      </c>
      <c r="B3073" s="2" t="s">
        <v>10</v>
      </c>
      <c r="C3073" s="3">
        <v>45513</v>
      </c>
      <c r="D3073" t="s">
        <v>5103</v>
      </c>
      <c r="E3073" s="2" t="s">
        <v>12</v>
      </c>
      <c r="F3073" s="2" t="s">
        <v>12</v>
      </c>
      <c r="G3073" t="s">
        <v>4944</v>
      </c>
      <c r="H3073" t="str">
        <f t="shared" si="94"/>
        <v>https://videplast.com.br/consulta-imobilizado?id=30004233&amp;nome=CADEIRA%20GIRATORIA%20EXECUTIVA%20S/LAM%20155TC%20AZUL</v>
      </c>
      <c r="I3073" t="e">
        <f t="shared" ca="1" si="95"/>
        <v>#NAME?</v>
      </c>
    </row>
    <row r="3074" spans="1:9" x14ac:dyDescent="0.25">
      <c r="A3074" s="2" t="s">
        <v>5111</v>
      </c>
      <c r="B3074" s="2" t="s">
        <v>10</v>
      </c>
      <c r="C3074" s="3">
        <v>45513</v>
      </c>
      <c r="D3074" t="s">
        <v>4954</v>
      </c>
      <c r="E3074" s="2" t="s">
        <v>12</v>
      </c>
      <c r="F3074" s="2" t="s">
        <v>12</v>
      </c>
      <c r="G3074" t="s">
        <v>4944</v>
      </c>
      <c r="H3074" t="str">
        <f t="shared" ref="H3074:H3137" si="96" xml:space="preserve"> "https://videplast.com.br/consulta-imobilizado?id=" &amp; A3074 &amp; "&amp;nome=" &amp; SUBSTITUTE(D3074, " ", "%20")</f>
        <v>https://videplast.com.br/consulta-imobilizado?id=30004234&amp;nome=ARMARIO%20ALTO%20TREVISO%201,60X0,90X0,40%20BG%20LU</v>
      </c>
      <c r="I3074" t="e">
        <f t="shared" ref="I3074:I3137" ca="1" si="97">_xlfn.IMAGE("https://chart.googleapis.com/chart?chs=150x150&amp;cht=qr&amp;chl=" &amp; H3074)</f>
        <v>#NAME?</v>
      </c>
    </row>
    <row r="3075" spans="1:9" x14ac:dyDescent="0.25">
      <c r="A3075" s="2" t="s">
        <v>5112</v>
      </c>
      <c r="B3075" s="2" t="s">
        <v>10</v>
      </c>
      <c r="C3075" s="3">
        <v>45513</v>
      </c>
      <c r="D3075" t="s">
        <v>4960</v>
      </c>
      <c r="E3075" s="2" t="s">
        <v>12</v>
      </c>
      <c r="F3075" s="2" t="s">
        <v>12</v>
      </c>
      <c r="G3075" t="s">
        <v>4944</v>
      </c>
      <c r="H3075" t="str">
        <f t="shared" si="96"/>
        <v>https://videplast.com.br/consulta-imobilizado?id=30004235&amp;nome=ARMARIO%20PARA%20TV%20DO%20SETOR%20ADMINISTRATIVO%20FABRICA</v>
      </c>
      <c r="I3075" t="e">
        <f t="shared" ca="1" si="97"/>
        <v>#NAME?</v>
      </c>
    </row>
    <row r="3076" spans="1:9" x14ac:dyDescent="0.25">
      <c r="A3076" s="2" t="s">
        <v>5113</v>
      </c>
      <c r="B3076" s="2" t="s">
        <v>10</v>
      </c>
      <c r="C3076" s="3">
        <v>45513</v>
      </c>
      <c r="D3076" t="s">
        <v>4976</v>
      </c>
      <c r="E3076" s="2" t="s">
        <v>12</v>
      </c>
      <c r="F3076" s="2" t="s">
        <v>12</v>
      </c>
      <c r="G3076" t="s">
        <v>4944</v>
      </c>
      <c r="H3076" t="str">
        <f t="shared" si="96"/>
        <v>https://videplast.com.br/consulta-imobilizado?id=30004236&amp;nome=AR%20CONDICIONADO%20CONSUL%20CCF%2010000%20BTU</v>
      </c>
      <c r="I3076" t="e">
        <f t="shared" ca="1" si="97"/>
        <v>#NAME?</v>
      </c>
    </row>
    <row r="3077" spans="1:9" x14ac:dyDescent="0.25">
      <c r="A3077" s="2" t="s">
        <v>5114</v>
      </c>
      <c r="B3077" s="2" t="s">
        <v>10</v>
      </c>
      <c r="C3077" s="3">
        <v>45513</v>
      </c>
      <c r="D3077" t="s">
        <v>4980</v>
      </c>
      <c r="E3077" s="2" t="s">
        <v>12</v>
      </c>
      <c r="F3077" s="2" t="s">
        <v>12</v>
      </c>
      <c r="G3077" t="s">
        <v>4944</v>
      </c>
      <c r="H3077" t="str">
        <f t="shared" si="96"/>
        <v>https://videplast.com.br/consulta-imobilizado?id=30004237&amp;nome=ARQUIVO%20COM%204%20GAVETAS</v>
      </c>
      <c r="I3077" t="e">
        <f t="shared" ca="1" si="97"/>
        <v>#NAME?</v>
      </c>
    </row>
    <row r="3078" spans="1:9" x14ac:dyDescent="0.25">
      <c r="A3078" s="2" t="s">
        <v>5115</v>
      </c>
      <c r="B3078" s="2" t="s">
        <v>10</v>
      </c>
      <c r="C3078" s="3">
        <v>45513</v>
      </c>
      <c r="D3078" t="s">
        <v>4982</v>
      </c>
      <c r="E3078" s="2" t="s">
        <v>12</v>
      </c>
      <c r="F3078" s="2" t="s">
        <v>12</v>
      </c>
      <c r="G3078" t="s">
        <v>4944</v>
      </c>
      <c r="H3078" t="str">
        <f t="shared" si="96"/>
        <v>https://videplast.com.br/consulta-imobilizado?id=30004238&amp;nome=AR%20CONDICONADO%20CONSUL%20AIRSLIP%20HIWALL%2022000%20BTU</v>
      </c>
      <c r="I3078" t="e">
        <f t="shared" ca="1" si="97"/>
        <v>#NAME?</v>
      </c>
    </row>
    <row r="3079" spans="1:9" x14ac:dyDescent="0.25">
      <c r="A3079" s="2" t="s">
        <v>5116</v>
      </c>
      <c r="B3079" s="2" t="s">
        <v>10</v>
      </c>
      <c r="C3079" s="3">
        <v>45513</v>
      </c>
      <c r="D3079" t="s">
        <v>5014</v>
      </c>
      <c r="E3079" s="2" t="s">
        <v>12</v>
      </c>
      <c r="F3079" s="2" t="s">
        <v>12</v>
      </c>
      <c r="G3079" t="s">
        <v>4944</v>
      </c>
      <c r="H3079" t="str">
        <f t="shared" si="96"/>
        <v>https://videplast.com.br/consulta-imobilizado?id=30004239&amp;nome=BANCADA</v>
      </c>
      <c r="I3079" t="e">
        <f t="shared" ca="1" si="97"/>
        <v>#NAME?</v>
      </c>
    </row>
    <row r="3080" spans="1:9" x14ac:dyDescent="0.25">
      <c r="A3080" s="2" t="s">
        <v>5117</v>
      </c>
      <c r="B3080" s="2" t="s">
        <v>10</v>
      </c>
      <c r="C3080" s="3">
        <v>45513</v>
      </c>
      <c r="D3080" t="s">
        <v>5016</v>
      </c>
      <c r="E3080" s="2" t="s">
        <v>12</v>
      </c>
      <c r="F3080" s="2" t="s">
        <v>12</v>
      </c>
      <c r="G3080" t="s">
        <v>4944</v>
      </c>
      <c r="H3080" t="str">
        <f t="shared" si="96"/>
        <v>https://videplast.com.br/consulta-imobilizado?id=30004240&amp;nome=ESTANTE%20DE%20ACO%206X1%20AMAPA%20CONZA%20P/%20ARQUIVAMENTO%20DE</v>
      </c>
      <c r="I3080" t="e">
        <f t="shared" ca="1" si="97"/>
        <v>#NAME?</v>
      </c>
    </row>
    <row r="3081" spans="1:9" x14ac:dyDescent="0.25">
      <c r="A3081" s="2" t="s">
        <v>5118</v>
      </c>
      <c r="B3081" s="2" t="s">
        <v>10</v>
      </c>
      <c r="C3081" s="3">
        <v>45513</v>
      </c>
      <c r="D3081" t="s">
        <v>5016</v>
      </c>
      <c r="E3081" s="2" t="s">
        <v>12</v>
      </c>
      <c r="F3081" s="2" t="s">
        <v>12</v>
      </c>
      <c r="G3081" t="s">
        <v>4944</v>
      </c>
      <c r="H3081" t="str">
        <f t="shared" si="96"/>
        <v>https://videplast.com.br/consulta-imobilizado?id=30004241&amp;nome=ESTANTE%20DE%20ACO%206X1%20AMAPA%20CONZA%20P/%20ARQUIVAMENTO%20DE</v>
      </c>
      <c r="I3081" t="e">
        <f t="shared" ca="1" si="97"/>
        <v>#NAME?</v>
      </c>
    </row>
    <row r="3082" spans="1:9" x14ac:dyDescent="0.25">
      <c r="A3082" s="2" t="s">
        <v>5119</v>
      </c>
      <c r="B3082" s="2" t="s">
        <v>10</v>
      </c>
      <c r="C3082" s="3">
        <v>45513</v>
      </c>
      <c r="D3082" t="s">
        <v>5030</v>
      </c>
      <c r="E3082" s="2" t="s">
        <v>12</v>
      </c>
      <c r="F3082" s="2" t="s">
        <v>12</v>
      </c>
      <c r="G3082" t="s">
        <v>4944</v>
      </c>
      <c r="H3082" t="str">
        <f t="shared" si="96"/>
        <v>https://videplast.com.br/consulta-imobilizado?id=30004242&amp;nome=ESTANTE%20DE%20ACO%20COM%206%20BANDEJAS</v>
      </c>
      <c r="I3082" t="e">
        <f t="shared" ca="1" si="97"/>
        <v>#NAME?</v>
      </c>
    </row>
    <row r="3083" spans="1:9" x14ac:dyDescent="0.25">
      <c r="A3083" s="2" t="s">
        <v>5120</v>
      </c>
      <c r="B3083" s="2" t="s">
        <v>10</v>
      </c>
      <c r="C3083" s="3">
        <v>45513</v>
      </c>
      <c r="D3083" t="s">
        <v>5030</v>
      </c>
      <c r="E3083" s="2" t="s">
        <v>12</v>
      </c>
      <c r="F3083" s="2" t="s">
        <v>12</v>
      </c>
      <c r="G3083" t="s">
        <v>4944</v>
      </c>
      <c r="H3083" t="str">
        <f t="shared" si="96"/>
        <v>https://videplast.com.br/consulta-imobilizado?id=30004243&amp;nome=ESTANTE%20DE%20ACO%20COM%206%20BANDEJAS</v>
      </c>
      <c r="I3083" t="e">
        <f t="shared" ca="1" si="97"/>
        <v>#NAME?</v>
      </c>
    </row>
    <row r="3084" spans="1:9" x14ac:dyDescent="0.25">
      <c r="A3084" s="2" t="s">
        <v>5121</v>
      </c>
      <c r="B3084" s="2" t="s">
        <v>10</v>
      </c>
      <c r="C3084" s="3">
        <v>45513</v>
      </c>
      <c r="D3084" t="s">
        <v>5030</v>
      </c>
      <c r="E3084" s="2" t="s">
        <v>12</v>
      </c>
      <c r="F3084" s="2" t="s">
        <v>12</v>
      </c>
      <c r="G3084" t="s">
        <v>4944</v>
      </c>
      <c r="H3084" t="str">
        <f t="shared" si="96"/>
        <v>https://videplast.com.br/consulta-imobilizado?id=30004244&amp;nome=ESTANTE%20DE%20ACO%20COM%206%20BANDEJAS</v>
      </c>
      <c r="I3084" t="e">
        <f t="shared" ca="1" si="97"/>
        <v>#NAME?</v>
      </c>
    </row>
    <row r="3085" spans="1:9" x14ac:dyDescent="0.25">
      <c r="A3085" s="2" t="s">
        <v>5122</v>
      </c>
      <c r="B3085" s="2" t="s">
        <v>10</v>
      </c>
      <c r="C3085" s="3">
        <v>45513</v>
      </c>
      <c r="D3085" t="s">
        <v>5030</v>
      </c>
      <c r="E3085" s="2" t="s">
        <v>12</v>
      </c>
      <c r="F3085" s="2" t="s">
        <v>12</v>
      </c>
      <c r="G3085" t="s">
        <v>4944</v>
      </c>
      <c r="H3085" t="str">
        <f t="shared" si="96"/>
        <v>https://videplast.com.br/consulta-imobilizado?id=30004245&amp;nome=ESTANTE%20DE%20ACO%20COM%206%20BANDEJAS</v>
      </c>
      <c r="I3085" t="e">
        <f t="shared" ca="1" si="97"/>
        <v>#NAME?</v>
      </c>
    </row>
    <row r="3086" spans="1:9" x14ac:dyDescent="0.25">
      <c r="A3086" s="2" t="s">
        <v>5123</v>
      </c>
      <c r="B3086" s="2" t="s">
        <v>10</v>
      </c>
      <c r="C3086" s="3">
        <v>45513</v>
      </c>
      <c r="D3086" t="s">
        <v>5030</v>
      </c>
      <c r="E3086" s="2" t="s">
        <v>12</v>
      </c>
      <c r="F3086" s="2" t="s">
        <v>12</v>
      </c>
      <c r="G3086" t="s">
        <v>4944</v>
      </c>
      <c r="H3086" t="str">
        <f t="shared" si="96"/>
        <v>https://videplast.com.br/consulta-imobilizado?id=30004246&amp;nome=ESTANTE%20DE%20ACO%20COM%206%20BANDEJAS</v>
      </c>
      <c r="I3086" t="e">
        <f t="shared" ca="1" si="97"/>
        <v>#NAME?</v>
      </c>
    </row>
    <row r="3087" spans="1:9" x14ac:dyDescent="0.25">
      <c r="A3087" s="2" t="s">
        <v>5124</v>
      </c>
      <c r="B3087" s="2" t="s">
        <v>10</v>
      </c>
      <c r="C3087" s="3">
        <v>45513</v>
      </c>
      <c r="D3087" t="s">
        <v>5030</v>
      </c>
      <c r="E3087" s="2" t="s">
        <v>12</v>
      </c>
      <c r="F3087" s="2" t="s">
        <v>12</v>
      </c>
      <c r="G3087" t="s">
        <v>4944</v>
      </c>
      <c r="H3087" t="str">
        <f t="shared" si="96"/>
        <v>https://videplast.com.br/consulta-imobilizado?id=30004247&amp;nome=ESTANTE%20DE%20ACO%20COM%206%20BANDEJAS</v>
      </c>
      <c r="I3087" t="e">
        <f t="shared" ca="1" si="97"/>
        <v>#NAME?</v>
      </c>
    </row>
    <row r="3088" spans="1:9" x14ac:dyDescent="0.25">
      <c r="A3088" s="2" t="s">
        <v>5125</v>
      </c>
      <c r="B3088" s="2" t="s">
        <v>10</v>
      </c>
      <c r="C3088" s="3">
        <v>45513</v>
      </c>
      <c r="D3088" t="s">
        <v>5030</v>
      </c>
      <c r="E3088" s="2" t="s">
        <v>12</v>
      </c>
      <c r="F3088" s="2" t="s">
        <v>12</v>
      </c>
      <c r="G3088" t="s">
        <v>4944</v>
      </c>
      <c r="H3088" t="str">
        <f t="shared" si="96"/>
        <v>https://videplast.com.br/consulta-imobilizado?id=30004248&amp;nome=ESTANTE%20DE%20ACO%20COM%206%20BANDEJAS</v>
      </c>
      <c r="I3088" t="e">
        <f t="shared" ca="1" si="97"/>
        <v>#NAME?</v>
      </c>
    </row>
    <row r="3089" spans="1:9" x14ac:dyDescent="0.25">
      <c r="A3089" s="2" t="s">
        <v>5126</v>
      </c>
      <c r="B3089" s="2" t="s">
        <v>10</v>
      </c>
      <c r="C3089" s="3">
        <v>45513</v>
      </c>
      <c r="D3089" t="s">
        <v>5030</v>
      </c>
      <c r="E3089" s="2" t="s">
        <v>12</v>
      </c>
      <c r="F3089" s="2" t="s">
        <v>12</v>
      </c>
      <c r="G3089" t="s">
        <v>4944</v>
      </c>
      <c r="H3089" t="str">
        <f t="shared" si="96"/>
        <v>https://videplast.com.br/consulta-imobilizado?id=30004249&amp;nome=ESTANTE%20DE%20ACO%20COM%206%20BANDEJAS</v>
      </c>
      <c r="I3089" t="e">
        <f t="shared" ca="1" si="97"/>
        <v>#NAME?</v>
      </c>
    </row>
    <row r="3090" spans="1:9" x14ac:dyDescent="0.25">
      <c r="A3090" s="2" t="s">
        <v>5127</v>
      </c>
      <c r="B3090" s="2" t="s">
        <v>10</v>
      </c>
      <c r="C3090" s="3">
        <v>45513</v>
      </c>
      <c r="D3090" t="s">
        <v>5030</v>
      </c>
      <c r="E3090" s="2" t="s">
        <v>12</v>
      </c>
      <c r="F3090" s="2" t="s">
        <v>12</v>
      </c>
      <c r="G3090" t="s">
        <v>4944</v>
      </c>
      <c r="H3090" t="str">
        <f t="shared" si="96"/>
        <v>https://videplast.com.br/consulta-imobilizado?id=30004250&amp;nome=ESTANTE%20DE%20ACO%20COM%206%20BANDEJAS</v>
      </c>
      <c r="I3090" t="e">
        <f t="shared" ca="1" si="97"/>
        <v>#NAME?</v>
      </c>
    </row>
    <row r="3091" spans="1:9" x14ac:dyDescent="0.25">
      <c r="A3091" s="2" t="s">
        <v>5128</v>
      </c>
      <c r="B3091" s="2" t="s">
        <v>10</v>
      </c>
      <c r="C3091" s="3">
        <v>45513</v>
      </c>
      <c r="D3091" t="s">
        <v>5030</v>
      </c>
      <c r="E3091" s="2" t="s">
        <v>12</v>
      </c>
      <c r="F3091" s="2" t="s">
        <v>12</v>
      </c>
      <c r="G3091" t="s">
        <v>4944</v>
      </c>
      <c r="H3091" t="str">
        <f t="shared" si="96"/>
        <v>https://videplast.com.br/consulta-imobilizado?id=30004251&amp;nome=ESTANTE%20DE%20ACO%20COM%206%20BANDEJAS</v>
      </c>
      <c r="I3091" t="e">
        <f t="shared" ca="1" si="97"/>
        <v>#NAME?</v>
      </c>
    </row>
    <row r="3092" spans="1:9" x14ac:dyDescent="0.25">
      <c r="A3092" s="2" t="s">
        <v>5129</v>
      </c>
      <c r="B3092" s="2" t="s">
        <v>10</v>
      </c>
      <c r="C3092" s="3">
        <v>45513</v>
      </c>
      <c r="D3092" t="s">
        <v>5030</v>
      </c>
      <c r="E3092" s="2" t="s">
        <v>12</v>
      </c>
      <c r="F3092" s="2" t="s">
        <v>12</v>
      </c>
      <c r="G3092" t="s">
        <v>4944</v>
      </c>
      <c r="H3092" t="str">
        <f t="shared" si="96"/>
        <v>https://videplast.com.br/consulta-imobilizado?id=30004252&amp;nome=ESTANTE%20DE%20ACO%20COM%206%20BANDEJAS</v>
      </c>
      <c r="I3092" t="e">
        <f t="shared" ca="1" si="97"/>
        <v>#NAME?</v>
      </c>
    </row>
    <row r="3093" spans="1:9" x14ac:dyDescent="0.25">
      <c r="A3093" s="2" t="s">
        <v>5130</v>
      </c>
      <c r="B3093" s="2" t="s">
        <v>10</v>
      </c>
      <c r="C3093" s="3">
        <v>45513</v>
      </c>
      <c r="D3093" t="s">
        <v>5030</v>
      </c>
      <c r="E3093" s="2" t="s">
        <v>12</v>
      </c>
      <c r="F3093" s="2" t="s">
        <v>12</v>
      </c>
      <c r="G3093" t="s">
        <v>4944</v>
      </c>
      <c r="H3093" t="str">
        <f t="shared" si="96"/>
        <v>https://videplast.com.br/consulta-imobilizado?id=30004253&amp;nome=ESTANTE%20DE%20ACO%20COM%206%20BANDEJAS</v>
      </c>
      <c r="I3093" t="e">
        <f t="shared" ca="1" si="97"/>
        <v>#NAME?</v>
      </c>
    </row>
    <row r="3094" spans="1:9" x14ac:dyDescent="0.25">
      <c r="A3094" s="2" t="s">
        <v>5131</v>
      </c>
      <c r="B3094" s="2" t="s">
        <v>10</v>
      </c>
      <c r="C3094" s="3">
        <v>45513</v>
      </c>
      <c r="D3094" t="s">
        <v>5030</v>
      </c>
      <c r="E3094" s="2" t="s">
        <v>12</v>
      </c>
      <c r="F3094" s="2" t="s">
        <v>12</v>
      </c>
      <c r="G3094" t="s">
        <v>4944</v>
      </c>
      <c r="H3094" t="str">
        <f t="shared" si="96"/>
        <v>https://videplast.com.br/consulta-imobilizado?id=30004254&amp;nome=ESTANTE%20DE%20ACO%20COM%206%20BANDEJAS</v>
      </c>
      <c r="I3094" t="e">
        <f t="shared" ca="1" si="97"/>
        <v>#NAME?</v>
      </c>
    </row>
    <row r="3095" spans="1:9" x14ac:dyDescent="0.25">
      <c r="A3095" s="2" t="s">
        <v>5132</v>
      </c>
      <c r="B3095" s="2" t="s">
        <v>10</v>
      </c>
      <c r="C3095" s="3">
        <v>45513</v>
      </c>
      <c r="D3095" t="s">
        <v>5030</v>
      </c>
      <c r="E3095" s="2" t="s">
        <v>12</v>
      </c>
      <c r="F3095" s="2" t="s">
        <v>12</v>
      </c>
      <c r="G3095" t="s">
        <v>4944</v>
      </c>
      <c r="H3095" t="str">
        <f t="shared" si="96"/>
        <v>https://videplast.com.br/consulta-imobilizado?id=30004255&amp;nome=ESTANTE%20DE%20ACO%20COM%206%20BANDEJAS</v>
      </c>
      <c r="I3095" t="e">
        <f t="shared" ca="1" si="97"/>
        <v>#NAME?</v>
      </c>
    </row>
    <row r="3096" spans="1:9" x14ac:dyDescent="0.25">
      <c r="A3096" s="2" t="s">
        <v>5133</v>
      </c>
      <c r="B3096" s="2" t="s">
        <v>10</v>
      </c>
      <c r="C3096" s="3">
        <v>45513</v>
      </c>
      <c r="D3096" t="s">
        <v>5030</v>
      </c>
      <c r="E3096" s="2" t="s">
        <v>12</v>
      </c>
      <c r="F3096" s="2" t="s">
        <v>12</v>
      </c>
      <c r="G3096" t="s">
        <v>4944</v>
      </c>
      <c r="H3096" t="str">
        <f t="shared" si="96"/>
        <v>https://videplast.com.br/consulta-imobilizado?id=30004256&amp;nome=ESTANTE%20DE%20ACO%20COM%206%20BANDEJAS</v>
      </c>
      <c r="I3096" t="e">
        <f t="shared" ca="1" si="97"/>
        <v>#NAME?</v>
      </c>
    </row>
    <row r="3097" spans="1:9" x14ac:dyDescent="0.25">
      <c r="A3097" s="2" t="s">
        <v>5134</v>
      </c>
      <c r="B3097" s="2" t="s">
        <v>10</v>
      </c>
      <c r="C3097" s="3">
        <v>45513</v>
      </c>
      <c r="D3097" t="s">
        <v>5030</v>
      </c>
      <c r="E3097" s="2" t="s">
        <v>12</v>
      </c>
      <c r="F3097" s="2" t="s">
        <v>12</v>
      </c>
      <c r="G3097" t="s">
        <v>4944</v>
      </c>
      <c r="H3097" t="str">
        <f t="shared" si="96"/>
        <v>https://videplast.com.br/consulta-imobilizado?id=30004257&amp;nome=ESTANTE%20DE%20ACO%20COM%206%20BANDEJAS</v>
      </c>
      <c r="I3097" t="e">
        <f t="shared" ca="1" si="97"/>
        <v>#NAME?</v>
      </c>
    </row>
    <row r="3098" spans="1:9" x14ac:dyDescent="0.25">
      <c r="A3098" s="2" t="s">
        <v>5135</v>
      </c>
      <c r="B3098" s="2" t="s">
        <v>10</v>
      </c>
      <c r="C3098" s="3">
        <v>45513</v>
      </c>
      <c r="D3098" t="s">
        <v>5030</v>
      </c>
      <c r="E3098" s="2" t="s">
        <v>12</v>
      </c>
      <c r="F3098" s="2" t="s">
        <v>12</v>
      </c>
      <c r="G3098" t="s">
        <v>4944</v>
      </c>
      <c r="H3098" t="str">
        <f t="shared" si="96"/>
        <v>https://videplast.com.br/consulta-imobilizado?id=30004258&amp;nome=ESTANTE%20DE%20ACO%20COM%206%20BANDEJAS</v>
      </c>
      <c r="I3098" t="e">
        <f t="shared" ca="1" si="97"/>
        <v>#NAME?</v>
      </c>
    </row>
    <row r="3099" spans="1:9" x14ac:dyDescent="0.25">
      <c r="A3099" s="2" t="s">
        <v>5136</v>
      </c>
      <c r="B3099" s="2" t="s">
        <v>10</v>
      </c>
      <c r="C3099" s="3">
        <v>45513</v>
      </c>
      <c r="D3099" t="s">
        <v>5030</v>
      </c>
      <c r="E3099" s="2" t="s">
        <v>12</v>
      </c>
      <c r="F3099" s="2" t="s">
        <v>12</v>
      </c>
      <c r="G3099" t="s">
        <v>4944</v>
      </c>
      <c r="H3099" t="str">
        <f t="shared" si="96"/>
        <v>https://videplast.com.br/consulta-imobilizado?id=30004259&amp;nome=ESTANTE%20DE%20ACO%20COM%206%20BANDEJAS</v>
      </c>
      <c r="I3099" t="e">
        <f t="shared" ca="1" si="97"/>
        <v>#NAME?</v>
      </c>
    </row>
    <row r="3100" spans="1:9" x14ac:dyDescent="0.25">
      <c r="A3100" s="2" t="s">
        <v>5137</v>
      </c>
      <c r="B3100" s="2" t="s">
        <v>10</v>
      </c>
      <c r="C3100" s="3">
        <v>45513</v>
      </c>
      <c r="D3100" t="s">
        <v>5030</v>
      </c>
      <c r="E3100" s="2" t="s">
        <v>12</v>
      </c>
      <c r="F3100" s="2" t="s">
        <v>12</v>
      </c>
      <c r="G3100" t="s">
        <v>4944</v>
      </c>
      <c r="H3100" t="str">
        <f t="shared" si="96"/>
        <v>https://videplast.com.br/consulta-imobilizado?id=30004260&amp;nome=ESTANTE%20DE%20ACO%20COM%206%20BANDEJAS</v>
      </c>
      <c r="I3100" t="e">
        <f t="shared" ca="1" si="97"/>
        <v>#NAME?</v>
      </c>
    </row>
    <row r="3101" spans="1:9" x14ac:dyDescent="0.25">
      <c r="A3101" s="2" t="s">
        <v>5138</v>
      </c>
      <c r="B3101" s="2" t="s">
        <v>10</v>
      </c>
      <c r="C3101" s="3">
        <v>45513</v>
      </c>
      <c r="D3101" t="s">
        <v>5030</v>
      </c>
      <c r="E3101" s="2" t="s">
        <v>12</v>
      </c>
      <c r="F3101" s="2" t="s">
        <v>12</v>
      </c>
      <c r="G3101" t="s">
        <v>4944</v>
      </c>
      <c r="H3101" t="str">
        <f t="shared" si="96"/>
        <v>https://videplast.com.br/consulta-imobilizado?id=30004261&amp;nome=ESTANTE%20DE%20ACO%20COM%206%20BANDEJAS</v>
      </c>
      <c r="I3101" t="e">
        <f t="shared" ca="1" si="97"/>
        <v>#NAME?</v>
      </c>
    </row>
    <row r="3102" spans="1:9" x14ac:dyDescent="0.25">
      <c r="A3102" s="2" t="s">
        <v>5139</v>
      </c>
      <c r="B3102" s="2" t="s">
        <v>10</v>
      </c>
      <c r="C3102" s="3">
        <v>45513</v>
      </c>
      <c r="D3102" t="s">
        <v>5030</v>
      </c>
      <c r="E3102" s="2" t="s">
        <v>12</v>
      </c>
      <c r="F3102" s="2" t="s">
        <v>12</v>
      </c>
      <c r="G3102" t="s">
        <v>4944</v>
      </c>
      <c r="H3102" t="str">
        <f t="shared" si="96"/>
        <v>https://videplast.com.br/consulta-imobilizado?id=30004262&amp;nome=ESTANTE%20DE%20ACO%20COM%206%20BANDEJAS</v>
      </c>
      <c r="I3102" t="e">
        <f t="shared" ca="1" si="97"/>
        <v>#NAME?</v>
      </c>
    </row>
    <row r="3103" spans="1:9" x14ac:dyDescent="0.25">
      <c r="A3103" s="2" t="s">
        <v>5140</v>
      </c>
      <c r="B3103" s="2" t="s">
        <v>10</v>
      </c>
      <c r="C3103" s="3">
        <v>45513</v>
      </c>
      <c r="D3103" t="s">
        <v>5030</v>
      </c>
      <c r="E3103" s="2" t="s">
        <v>12</v>
      </c>
      <c r="F3103" s="2" t="s">
        <v>12</v>
      </c>
      <c r="G3103" t="s">
        <v>4944</v>
      </c>
      <c r="H3103" t="str">
        <f t="shared" si="96"/>
        <v>https://videplast.com.br/consulta-imobilizado?id=30004263&amp;nome=ESTANTE%20DE%20ACO%20COM%206%20BANDEJAS</v>
      </c>
      <c r="I3103" t="e">
        <f t="shared" ca="1" si="97"/>
        <v>#NAME?</v>
      </c>
    </row>
    <row r="3104" spans="1:9" x14ac:dyDescent="0.25">
      <c r="A3104" s="2" t="s">
        <v>5141</v>
      </c>
      <c r="B3104" s="2" t="s">
        <v>10</v>
      </c>
      <c r="C3104" s="3">
        <v>45513</v>
      </c>
      <c r="D3104" t="s">
        <v>5030</v>
      </c>
      <c r="E3104" s="2" t="s">
        <v>12</v>
      </c>
      <c r="F3104" s="2" t="s">
        <v>12</v>
      </c>
      <c r="G3104" t="s">
        <v>4944</v>
      </c>
      <c r="H3104" t="str">
        <f t="shared" si="96"/>
        <v>https://videplast.com.br/consulta-imobilizado?id=30004264&amp;nome=ESTANTE%20DE%20ACO%20COM%206%20BANDEJAS</v>
      </c>
      <c r="I3104" t="e">
        <f t="shared" ca="1" si="97"/>
        <v>#NAME?</v>
      </c>
    </row>
    <row r="3105" spans="1:9" x14ac:dyDescent="0.25">
      <c r="A3105" s="2" t="s">
        <v>5142</v>
      </c>
      <c r="B3105" s="2" t="s">
        <v>10</v>
      </c>
      <c r="C3105" s="3">
        <v>45513</v>
      </c>
      <c r="D3105" t="s">
        <v>5030</v>
      </c>
      <c r="E3105" s="2" t="s">
        <v>12</v>
      </c>
      <c r="F3105" s="2" t="s">
        <v>12</v>
      </c>
      <c r="G3105" t="s">
        <v>4944</v>
      </c>
      <c r="H3105" t="str">
        <f t="shared" si="96"/>
        <v>https://videplast.com.br/consulta-imobilizado?id=30004265&amp;nome=ESTANTE%20DE%20ACO%20COM%206%20BANDEJAS</v>
      </c>
      <c r="I3105" t="e">
        <f t="shared" ca="1" si="97"/>
        <v>#NAME?</v>
      </c>
    </row>
    <row r="3106" spans="1:9" x14ac:dyDescent="0.25">
      <c r="A3106" s="2" t="s">
        <v>5143</v>
      </c>
      <c r="B3106" s="2" t="s">
        <v>10</v>
      </c>
      <c r="C3106" s="3">
        <v>45513</v>
      </c>
      <c r="D3106" t="s">
        <v>5030</v>
      </c>
      <c r="E3106" s="2" t="s">
        <v>12</v>
      </c>
      <c r="F3106" s="2" t="s">
        <v>12</v>
      </c>
      <c r="G3106" t="s">
        <v>4944</v>
      </c>
      <c r="H3106" t="str">
        <f t="shared" si="96"/>
        <v>https://videplast.com.br/consulta-imobilizado?id=30004266&amp;nome=ESTANTE%20DE%20ACO%20COM%206%20BANDEJAS</v>
      </c>
      <c r="I3106" t="e">
        <f t="shared" ca="1" si="97"/>
        <v>#NAME?</v>
      </c>
    </row>
    <row r="3107" spans="1:9" x14ac:dyDescent="0.25">
      <c r="A3107" s="2" t="s">
        <v>5144</v>
      </c>
      <c r="B3107" s="2" t="s">
        <v>10</v>
      </c>
      <c r="C3107" s="3">
        <v>45513</v>
      </c>
      <c r="D3107" t="s">
        <v>5030</v>
      </c>
      <c r="E3107" s="2" t="s">
        <v>12</v>
      </c>
      <c r="F3107" s="2" t="s">
        <v>12</v>
      </c>
      <c r="G3107" t="s">
        <v>4944</v>
      </c>
      <c r="H3107" t="str">
        <f t="shared" si="96"/>
        <v>https://videplast.com.br/consulta-imobilizado?id=30004267&amp;nome=ESTANTE%20DE%20ACO%20COM%206%20BANDEJAS</v>
      </c>
      <c r="I3107" t="e">
        <f t="shared" ca="1" si="97"/>
        <v>#NAME?</v>
      </c>
    </row>
    <row r="3108" spans="1:9" x14ac:dyDescent="0.25">
      <c r="A3108" s="2" t="s">
        <v>5145</v>
      </c>
      <c r="B3108" s="2" t="s">
        <v>10</v>
      </c>
      <c r="C3108" s="3">
        <v>45513</v>
      </c>
      <c r="D3108" t="s">
        <v>5030</v>
      </c>
      <c r="E3108" s="2" t="s">
        <v>12</v>
      </c>
      <c r="F3108" s="2" t="s">
        <v>12</v>
      </c>
      <c r="G3108" t="s">
        <v>4944</v>
      </c>
      <c r="H3108" t="str">
        <f t="shared" si="96"/>
        <v>https://videplast.com.br/consulta-imobilizado?id=30004268&amp;nome=ESTANTE%20DE%20ACO%20COM%206%20BANDEJAS</v>
      </c>
      <c r="I3108" t="e">
        <f t="shared" ca="1" si="97"/>
        <v>#NAME?</v>
      </c>
    </row>
    <row r="3109" spans="1:9" x14ac:dyDescent="0.25">
      <c r="A3109" s="2" t="s">
        <v>5146</v>
      </c>
      <c r="B3109" s="2" t="s">
        <v>10</v>
      </c>
      <c r="C3109" s="3">
        <v>45513</v>
      </c>
      <c r="D3109" t="s">
        <v>5030</v>
      </c>
      <c r="E3109" s="2" t="s">
        <v>12</v>
      </c>
      <c r="F3109" s="2" t="s">
        <v>12</v>
      </c>
      <c r="G3109" t="s">
        <v>4944</v>
      </c>
      <c r="H3109" t="str">
        <f t="shared" si="96"/>
        <v>https://videplast.com.br/consulta-imobilizado?id=30004269&amp;nome=ESTANTE%20DE%20ACO%20COM%206%20BANDEJAS</v>
      </c>
      <c r="I3109" t="e">
        <f t="shared" ca="1" si="97"/>
        <v>#NAME?</v>
      </c>
    </row>
    <row r="3110" spans="1:9" x14ac:dyDescent="0.25">
      <c r="A3110" s="2" t="s">
        <v>5147</v>
      </c>
      <c r="B3110" s="2" t="s">
        <v>10</v>
      </c>
      <c r="C3110" s="3">
        <v>45582</v>
      </c>
      <c r="D3110" t="s">
        <v>5148</v>
      </c>
      <c r="E3110" s="2" t="s">
        <v>5149</v>
      </c>
      <c r="F3110" s="2" t="s">
        <v>5150</v>
      </c>
      <c r="G3110" t="s">
        <v>4944</v>
      </c>
      <c r="H3110" t="str">
        <f t="shared" si="96"/>
        <v>https://videplast.com.br/consulta-imobilizado?id=30004421&amp;nome=AR%20CONDICIONADO%20GREE%20GTOP%20FRIO%20AUTO%20R32%2024000%20BTU</v>
      </c>
      <c r="I3110" t="e">
        <f t="shared" ca="1" si="97"/>
        <v>#NAME?</v>
      </c>
    </row>
    <row r="3111" spans="1:9" x14ac:dyDescent="0.25">
      <c r="A3111" s="2" t="s">
        <v>5151</v>
      </c>
      <c r="B3111" s="2" t="s">
        <v>10</v>
      </c>
      <c r="C3111" s="3">
        <v>40755</v>
      </c>
      <c r="D3111" t="s">
        <v>5152</v>
      </c>
      <c r="E3111" s="2" t="s">
        <v>12</v>
      </c>
      <c r="F3111" s="2" t="s">
        <v>12</v>
      </c>
      <c r="G3111" t="s">
        <v>4944</v>
      </c>
      <c r="H3111" t="str">
        <f t="shared" si="96"/>
        <v>https://videplast.com.br/consulta-imobilizado?id=32000069&amp;nome=NOTEBOOK%20HP%20G42-431%20CB6783</v>
      </c>
      <c r="I3111" t="e">
        <f t="shared" ca="1" si="97"/>
        <v>#NAME?</v>
      </c>
    </row>
    <row r="3112" spans="1:9" x14ac:dyDescent="0.25">
      <c r="A3112" s="2" t="s">
        <v>5153</v>
      </c>
      <c r="B3112" s="2" t="s">
        <v>10</v>
      </c>
      <c r="C3112" s="3">
        <v>41759</v>
      </c>
      <c r="D3112" t="s">
        <v>5154</v>
      </c>
      <c r="E3112" s="2" t="s">
        <v>5155</v>
      </c>
      <c r="F3112" s="2" t="s">
        <v>12</v>
      </c>
      <c r="G3112" t="s">
        <v>4944</v>
      </c>
      <c r="H3112" t="str">
        <f t="shared" si="96"/>
        <v>https://videplast.com.br/consulta-imobilizado?id=32000112&amp;nome=AVER%20VIDEO%20CONFERENCIA%20PONTO%20A%20PONTO%20HD%20EVC100</v>
      </c>
      <c r="I3112" t="e">
        <f t="shared" ca="1" si="97"/>
        <v>#NAME?</v>
      </c>
    </row>
    <row r="3113" spans="1:9" x14ac:dyDescent="0.25">
      <c r="A3113" s="2" t="s">
        <v>5156</v>
      </c>
      <c r="B3113" s="2" t="s">
        <v>10</v>
      </c>
      <c r="C3113" s="3">
        <v>37103</v>
      </c>
      <c r="D3113" t="s">
        <v>5157</v>
      </c>
      <c r="E3113" s="2" t="s">
        <v>12</v>
      </c>
      <c r="F3113" s="2" t="s">
        <v>12</v>
      </c>
      <c r="G3113" t="s">
        <v>4944</v>
      </c>
      <c r="H3113" t="str">
        <f t="shared" si="96"/>
        <v>https://videplast.com.br/consulta-imobilizado?id=32000113&amp;nome=MEDIDOR%20DE%20ESPESSURA%20SME%20CONF%20CVIII%20CNT</v>
      </c>
      <c r="I3113" t="e">
        <f t="shared" ca="1" si="97"/>
        <v>#NAME?</v>
      </c>
    </row>
    <row r="3114" spans="1:9" x14ac:dyDescent="0.25">
      <c r="A3114" s="2" t="s">
        <v>5158</v>
      </c>
      <c r="B3114" s="2" t="s">
        <v>10</v>
      </c>
      <c r="C3114" s="3">
        <v>37127</v>
      </c>
      <c r="D3114" t="s">
        <v>5159</v>
      </c>
      <c r="E3114" s="2" t="s">
        <v>12</v>
      </c>
      <c r="F3114" s="2" t="s">
        <v>5160</v>
      </c>
      <c r="G3114" t="s">
        <v>4944</v>
      </c>
      <c r="H3114" t="str">
        <f t="shared" si="96"/>
        <v>https://videplast.com.br/consulta-imobilizado?id=32000114&amp;nome=MONITOR%2015"%20PHILIPS%201505S</v>
      </c>
      <c r="I3114" t="e">
        <f t="shared" ca="1" si="97"/>
        <v>#NAME?</v>
      </c>
    </row>
    <row r="3115" spans="1:9" x14ac:dyDescent="0.25">
      <c r="A3115" s="2" t="s">
        <v>5161</v>
      </c>
      <c r="B3115" s="2" t="s">
        <v>10</v>
      </c>
      <c r="C3115" s="3">
        <v>37260</v>
      </c>
      <c r="D3115" t="s">
        <v>5162</v>
      </c>
      <c r="E3115" s="2" t="s">
        <v>5163</v>
      </c>
      <c r="F3115" s="2" t="s">
        <v>12</v>
      </c>
      <c r="G3115" t="s">
        <v>4944</v>
      </c>
      <c r="H3115" t="str">
        <f t="shared" si="96"/>
        <v>https://videplast.com.br/consulta-imobilizado?id=32000115&amp;nome=AR%20CONDICIONADO%20YORK%2036000%20BTU</v>
      </c>
      <c r="I3115" t="e">
        <f t="shared" ca="1" si="97"/>
        <v>#NAME?</v>
      </c>
    </row>
    <row r="3116" spans="1:9" x14ac:dyDescent="0.25">
      <c r="A3116" s="2" t="s">
        <v>5164</v>
      </c>
      <c r="B3116" s="2" t="s">
        <v>10</v>
      </c>
      <c r="C3116" s="3">
        <v>37350</v>
      </c>
      <c r="D3116" t="s">
        <v>5165</v>
      </c>
      <c r="E3116" s="2" t="s">
        <v>12</v>
      </c>
      <c r="F3116" s="2" t="s">
        <v>12</v>
      </c>
      <c r="G3116" t="s">
        <v>4944</v>
      </c>
      <c r="H3116" s="5" t="str">
        <f t="shared" si="96"/>
        <v>https://videplast.com.br/consulta-imobilizado?id=32000116&amp;nome=COMPUTADOR</v>
      </c>
      <c r="I3116" t="e">
        <f t="shared" ca="1" si="97"/>
        <v>#NAME?</v>
      </c>
    </row>
    <row r="3117" spans="1:9" x14ac:dyDescent="0.25">
      <c r="A3117" s="2" t="s">
        <v>5166</v>
      </c>
      <c r="B3117" s="2" t="s">
        <v>10</v>
      </c>
      <c r="C3117" s="3">
        <v>37660</v>
      </c>
      <c r="D3117" t="s">
        <v>5167</v>
      </c>
      <c r="E3117" s="2" t="s">
        <v>12</v>
      </c>
      <c r="F3117" s="2" t="s">
        <v>5168</v>
      </c>
      <c r="G3117" t="s">
        <v>4944</v>
      </c>
      <c r="H3117" t="str">
        <f t="shared" si="96"/>
        <v>https://videplast.com.br/consulta-imobilizado?id=32000118&amp;nome=MONITOR%2015"%20SANSUMG%20551V</v>
      </c>
      <c r="I3117" t="e">
        <f t="shared" ca="1" si="97"/>
        <v>#NAME?</v>
      </c>
    </row>
    <row r="3118" spans="1:9" x14ac:dyDescent="0.25">
      <c r="A3118" s="2" t="s">
        <v>5169</v>
      </c>
      <c r="B3118" s="2" t="s">
        <v>10</v>
      </c>
      <c r="C3118" s="3">
        <v>37662</v>
      </c>
      <c r="D3118" t="s">
        <v>5170</v>
      </c>
      <c r="E3118" s="2" t="s">
        <v>12</v>
      </c>
      <c r="F3118" s="2" t="s">
        <v>12</v>
      </c>
      <c r="G3118" t="s">
        <v>4944</v>
      </c>
      <c r="H3118" s="5" t="str">
        <f t="shared" si="96"/>
        <v>https://videplast.com.br/consulta-imobilizado?id=32000119&amp;nome=COMPUTADOR%20MONTADO</v>
      </c>
      <c r="I3118" t="e">
        <f t="shared" ca="1" si="97"/>
        <v>#NAME?</v>
      </c>
    </row>
    <row r="3119" spans="1:9" x14ac:dyDescent="0.25">
      <c r="A3119" s="2" t="s">
        <v>5171</v>
      </c>
      <c r="B3119" s="2" t="s">
        <v>10</v>
      </c>
      <c r="C3119" s="3">
        <v>37704</v>
      </c>
      <c r="D3119" t="s">
        <v>5172</v>
      </c>
      <c r="E3119" s="2" t="s">
        <v>12</v>
      </c>
      <c r="F3119" s="2" t="s">
        <v>12</v>
      </c>
      <c r="G3119" t="s">
        <v>4944</v>
      </c>
      <c r="H3119" t="str">
        <f t="shared" si="96"/>
        <v>https://videplast.com.br/consulta-imobilizado?id=32000120&amp;nome=NOBREAK%20SMS%203000%20BI%20VISION</v>
      </c>
      <c r="I3119" t="e">
        <f t="shared" ca="1" si="97"/>
        <v>#NAME?</v>
      </c>
    </row>
    <row r="3120" spans="1:9" x14ac:dyDescent="0.25">
      <c r="A3120" s="2" t="s">
        <v>5173</v>
      </c>
      <c r="B3120" s="2" t="s">
        <v>10</v>
      </c>
      <c r="C3120" s="3">
        <v>37753</v>
      </c>
      <c r="D3120" t="s">
        <v>5167</v>
      </c>
      <c r="E3120" s="2" t="s">
        <v>12</v>
      </c>
      <c r="F3120" s="2" t="s">
        <v>5174</v>
      </c>
      <c r="G3120" t="s">
        <v>4944</v>
      </c>
      <c r="H3120" t="str">
        <f t="shared" si="96"/>
        <v>https://videplast.com.br/consulta-imobilizado?id=32000121&amp;nome=MONITOR%2015"%20SANSUMG%20551V</v>
      </c>
      <c r="I3120" t="e">
        <f t="shared" ca="1" si="97"/>
        <v>#NAME?</v>
      </c>
    </row>
    <row r="3121" spans="1:9" x14ac:dyDescent="0.25">
      <c r="A3121" s="2" t="s">
        <v>5175</v>
      </c>
      <c r="B3121" s="2" t="s">
        <v>10</v>
      </c>
      <c r="C3121" s="3">
        <v>37753</v>
      </c>
      <c r="D3121" t="s">
        <v>5170</v>
      </c>
      <c r="E3121" s="2" t="s">
        <v>12</v>
      </c>
      <c r="F3121" s="2" t="s">
        <v>12</v>
      </c>
      <c r="G3121" t="s">
        <v>4944</v>
      </c>
      <c r="H3121" s="5" t="str">
        <f t="shared" si="96"/>
        <v>https://videplast.com.br/consulta-imobilizado?id=32000122&amp;nome=COMPUTADOR%20MONTADO</v>
      </c>
      <c r="I3121" t="e">
        <f t="shared" ca="1" si="97"/>
        <v>#NAME?</v>
      </c>
    </row>
    <row r="3122" spans="1:9" x14ac:dyDescent="0.25">
      <c r="A3122" s="2" t="s">
        <v>5176</v>
      </c>
      <c r="B3122" s="2" t="s">
        <v>10</v>
      </c>
      <c r="C3122" s="3">
        <v>37936</v>
      </c>
      <c r="D3122" t="s">
        <v>5170</v>
      </c>
      <c r="E3122" s="2" t="s">
        <v>12</v>
      </c>
      <c r="F3122" s="2" t="s">
        <v>12</v>
      </c>
      <c r="G3122" t="s">
        <v>4944</v>
      </c>
      <c r="H3122" s="5" t="str">
        <f t="shared" si="96"/>
        <v>https://videplast.com.br/consulta-imobilizado?id=32000123&amp;nome=COMPUTADOR%20MONTADO</v>
      </c>
      <c r="I3122" t="e">
        <f t="shared" ca="1" si="97"/>
        <v>#NAME?</v>
      </c>
    </row>
    <row r="3123" spans="1:9" x14ac:dyDescent="0.25">
      <c r="A3123" s="2" t="s">
        <v>5177</v>
      </c>
      <c r="B3123" s="2" t="s">
        <v>10</v>
      </c>
      <c r="C3123" s="3">
        <v>38028</v>
      </c>
      <c r="D3123" t="s">
        <v>5178</v>
      </c>
      <c r="E3123" s="2" t="s">
        <v>12</v>
      </c>
      <c r="F3123" s="2" t="s">
        <v>12</v>
      </c>
      <c r="G3123" t="s">
        <v>4944</v>
      </c>
      <c r="H3123" s="5" t="str">
        <f t="shared" si="96"/>
        <v>https://videplast.com.br/consulta-imobilizado?id=32000124&amp;nome=COMPUTADOR%20ATHLON%202000</v>
      </c>
      <c r="I3123" t="e">
        <f t="shared" ca="1" si="97"/>
        <v>#NAME?</v>
      </c>
    </row>
    <row r="3124" spans="1:9" x14ac:dyDescent="0.25">
      <c r="A3124" s="2" t="s">
        <v>5179</v>
      </c>
      <c r="B3124" s="2" t="s">
        <v>10</v>
      </c>
      <c r="C3124" s="3">
        <v>38114</v>
      </c>
      <c r="D3124" t="s">
        <v>5180</v>
      </c>
      <c r="E3124" s="2" t="s">
        <v>12</v>
      </c>
      <c r="F3124" s="2" t="s">
        <v>12</v>
      </c>
      <c r="G3124" t="s">
        <v>4944</v>
      </c>
      <c r="H3124" s="5" t="str">
        <f t="shared" si="96"/>
        <v>https://videplast.com.br/consulta-imobilizado?id=32000127&amp;nome=COMPUTADOR%20ATHLON%202100%20GHZ</v>
      </c>
      <c r="I3124" t="e">
        <f t="shared" ca="1" si="97"/>
        <v>#NAME?</v>
      </c>
    </row>
    <row r="3125" spans="1:9" x14ac:dyDescent="0.25">
      <c r="A3125" s="2" t="s">
        <v>5181</v>
      </c>
      <c r="B3125" s="2" t="s">
        <v>10</v>
      </c>
      <c r="C3125" s="3">
        <v>38133</v>
      </c>
      <c r="D3125" t="s">
        <v>5182</v>
      </c>
      <c r="E3125" s="2" t="s">
        <v>12</v>
      </c>
      <c r="F3125" s="2" t="s">
        <v>12</v>
      </c>
      <c r="G3125" t="s">
        <v>4944</v>
      </c>
      <c r="H3125" s="5" t="str">
        <f t="shared" si="96"/>
        <v>https://videplast.com.br/consulta-imobilizado?id=32000129&amp;nome=COMPUTADOR%20SIMPLES%20ATHLON</v>
      </c>
      <c r="I3125" t="e">
        <f t="shared" ca="1" si="97"/>
        <v>#NAME?</v>
      </c>
    </row>
    <row r="3126" spans="1:9" x14ac:dyDescent="0.25">
      <c r="A3126" s="2" t="s">
        <v>5183</v>
      </c>
      <c r="B3126" s="2" t="s">
        <v>10</v>
      </c>
      <c r="C3126" s="3">
        <v>38299</v>
      </c>
      <c r="D3126" t="s">
        <v>5184</v>
      </c>
      <c r="E3126" s="2" t="s">
        <v>12</v>
      </c>
      <c r="F3126" s="2" t="s">
        <v>5185</v>
      </c>
      <c r="G3126" t="s">
        <v>4944</v>
      </c>
      <c r="H3126" t="str">
        <f t="shared" si="96"/>
        <v>https://videplast.com.br/consulta-imobilizado?id=32000134&amp;nome=MONITOR%2017"%20PHILIPS</v>
      </c>
      <c r="I3126" t="e">
        <f t="shared" ca="1" si="97"/>
        <v>#NAME?</v>
      </c>
    </row>
    <row r="3127" spans="1:9" x14ac:dyDescent="0.25">
      <c r="A3127" s="2" t="s">
        <v>5186</v>
      </c>
      <c r="B3127" s="2" t="s">
        <v>10</v>
      </c>
      <c r="C3127" s="3">
        <v>38405</v>
      </c>
      <c r="D3127" t="s">
        <v>5187</v>
      </c>
      <c r="E3127" s="2" t="s">
        <v>12</v>
      </c>
      <c r="F3127" s="2" t="s">
        <v>12</v>
      </c>
      <c r="G3127" t="s">
        <v>4944</v>
      </c>
      <c r="H3127" t="str">
        <f t="shared" si="96"/>
        <v>https://videplast.com.br/consulta-imobilizado?id=32000135&amp;nome=MONITOR%20SAMSUNG%2015"</v>
      </c>
      <c r="I3127" t="e">
        <f t="shared" ca="1" si="97"/>
        <v>#NAME?</v>
      </c>
    </row>
    <row r="3128" spans="1:9" x14ac:dyDescent="0.25">
      <c r="A3128" s="2" t="s">
        <v>5188</v>
      </c>
      <c r="B3128" s="2" t="s">
        <v>10</v>
      </c>
      <c r="C3128" s="3">
        <v>38468</v>
      </c>
      <c r="D3128" t="s">
        <v>5189</v>
      </c>
      <c r="E3128" s="2" t="s">
        <v>12</v>
      </c>
      <c r="F3128" s="2" t="s">
        <v>12</v>
      </c>
      <c r="G3128" t="s">
        <v>4944</v>
      </c>
      <c r="H3128" t="str">
        <f t="shared" si="96"/>
        <v>https://videplast.com.br/consulta-imobilizado?id=32000136&amp;nome=GRAVADORA%20DVD%20LG</v>
      </c>
      <c r="I3128" t="e">
        <f t="shared" ca="1" si="97"/>
        <v>#NAME?</v>
      </c>
    </row>
    <row r="3129" spans="1:9" x14ac:dyDescent="0.25">
      <c r="A3129" s="2" t="s">
        <v>5190</v>
      </c>
      <c r="B3129" s="2" t="s">
        <v>10</v>
      </c>
      <c r="C3129" s="3">
        <v>38604</v>
      </c>
      <c r="D3129" t="s">
        <v>5191</v>
      </c>
      <c r="E3129" s="2" t="s">
        <v>12</v>
      </c>
      <c r="F3129" s="2" t="s">
        <v>12</v>
      </c>
      <c r="G3129" t="s">
        <v>4944</v>
      </c>
      <c r="H3129" t="str">
        <f t="shared" si="96"/>
        <v>https://videplast.com.br/consulta-imobilizado?id=32000145&amp;nome=IMPRESSORA%20HP%20LASERJET%203020%20CFE</v>
      </c>
      <c r="I3129" t="e">
        <f t="shared" ca="1" si="97"/>
        <v>#NAME?</v>
      </c>
    </row>
    <row r="3130" spans="1:9" x14ac:dyDescent="0.25">
      <c r="A3130" s="2" t="s">
        <v>5192</v>
      </c>
      <c r="B3130" s="2" t="s">
        <v>10</v>
      </c>
      <c r="C3130" s="3">
        <v>38608</v>
      </c>
      <c r="D3130" t="s">
        <v>5193</v>
      </c>
      <c r="E3130" s="2" t="s">
        <v>12</v>
      </c>
      <c r="F3130" s="2" t="s">
        <v>12</v>
      </c>
      <c r="G3130" t="s">
        <v>4944</v>
      </c>
      <c r="H3130" s="5" t="str">
        <f t="shared" si="96"/>
        <v>https://videplast.com.br/consulta-imobilizado?id=32000146&amp;nome=COMPUTADOR%20SEMPRON%202400</v>
      </c>
      <c r="I3130" t="e">
        <f t="shared" ca="1" si="97"/>
        <v>#NAME?</v>
      </c>
    </row>
    <row r="3131" spans="1:9" x14ac:dyDescent="0.25">
      <c r="A3131" s="2" t="s">
        <v>5194</v>
      </c>
      <c r="B3131" s="2" t="s">
        <v>10</v>
      </c>
      <c r="C3131" s="3">
        <v>38694</v>
      </c>
      <c r="D3131" t="s">
        <v>5170</v>
      </c>
      <c r="E3131" s="2" t="s">
        <v>12</v>
      </c>
      <c r="F3131" s="2" t="s">
        <v>12</v>
      </c>
      <c r="G3131" t="s">
        <v>4944</v>
      </c>
      <c r="H3131" s="5" t="str">
        <f t="shared" si="96"/>
        <v>https://videplast.com.br/consulta-imobilizado?id=32000153&amp;nome=COMPUTADOR%20MONTADO</v>
      </c>
      <c r="I3131" t="e">
        <f t="shared" ca="1" si="97"/>
        <v>#NAME?</v>
      </c>
    </row>
    <row r="3132" spans="1:9" x14ac:dyDescent="0.25">
      <c r="A3132" s="2" t="s">
        <v>5195</v>
      </c>
      <c r="B3132" s="2" t="s">
        <v>10</v>
      </c>
      <c r="C3132" s="3">
        <v>38804</v>
      </c>
      <c r="D3132" t="s">
        <v>5196</v>
      </c>
      <c r="E3132" s="2" t="s">
        <v>12</v>
      </c>
      <c r="F3132" s="2" t="s">
        <v>12</v>
      </c>
      <c r="G3132" t="s">
        <v>4944</v>
      </c>
      <c r="H3132" t="str">
        <f t="shared" si="96"/>
        <v>https://videplast.com.br/consulta-imobilizado?id=32000155&amp;nome=MONITOR%20HP%20LCD%2017"</v>
      </c>
      <c r="I3132" t="e">
        <f t="shared" ca="1" si="97"/>
        <v>#NAME?</v>
      </c>
    </row>
    <row r="3133" spans="1:9" x14ac:dyDescent="0.25">
      <c r="A3133" s="2" t="s">
        <v>5197</v>
      </c>
      <c r="B3133" s="2" t="s">
        <v>10</v>
      </c>
      <c r="C3133" s="3">
        <v>38846</v>
      </c>
      <c r="D3133" t="s">
        <v>5165</v>
      </c>
      <c r="E3133" s="2" t="s">
        <v>12</v>
      </c>
      <c r="F3133" s="2" t="s">
        <v>12</v>
      </c>
      <c r="G3133" t="s">
        <v>4944</v>
      </c>
      <c r="H3133" s="5" t="str">
        <f t="shared" si="96"/>
        <v>https://videplast.com.br/consulta-imobilizado?id=32000156&amp;nome=COMPUTADOR</v>
      </c>
      <c r="I3133" t="e">
        <f t="shared" ca="1" si="97"/>
        <v>#NAME?</v>
      </c>
    </row>
    <row r="3134" spans="1:9" x14ac:dyDescent="0.25">
      <c r="A3134" s="2" t="s">
        <v>5198</v>
      </c>
      <c r="B3134" s="2" t="s">
        <v>10</v>
      </c>
      <c r="C3134" s="3">
        <v>38846</v>
      </c>
      <c r="D3134" t="s">
        <v>5199</v>
      </c>
      <c r="E3134" s="2" t="s">
        <v>12</v>
      </c>
      <c r="F3134" s="2" t="s">
        <v>12</v>
      </c>
      <c r="G3134" t="s">
        <v>4944</v>
      </c>
      <c r="H3134" s="5" t="str">
        <f t="shared" si="96"/>
        <v>https://videplast.com.br/consulta-imobilizado?id=32000157&amp;nome=COMPUTADOR%20HP</v>
      </c>
      <c r="I3134" t="e">
        <f t="shared" ca="1" si="97"/>
        <v>#NAME?</v>
      </c>
    </row>
    <row r="3135" spans="1:9" x14ac:dyDescent="0.25">
      <c r="A3135" s="2" t="s">
        <v>5200</v>
      </c>
      <c r="B3135" s="2" t="s">
        <v>10</v>
      </c>
      <c r="C3135" s="3">
        <v>38909</v>
      </c>
      <c r="D3135" t="s">
        <v>5201</v>
      </c>
      <c r="E3135" s="2" t="s">
        <v>12</v>
      </c>
      <c r="F3135" s="2" t="s">
        <v>12</v>
      </c>
      <c r="G3135" t="s">
        <v>4944</v>
      </c>
      <c r="H3135" s="5" t="str">
        <f t="shared" si="96"/>
        <v>https://videplast.com.br/consulta-imobilizado?id=32000159&amp;nome=MICROCOMPUTADOR%20SUPREME%20STYLISH%20SGK8V80</v>
      </c>
      <c r="I3135" t="e">
        <f t="shared" ca="1" si="97"/>
        <v>#NAME?</v>
      </c>
    </row>
    <row r="3136" spans="1:9" x14ac:dyDescent="0.25">
      <c r="A3136" s="2" t="s">
        <v>5202</v>
      </c>
      <c r="B3136" s="2" t="s">
        <v>10</v>
      </c>
      <c r="C3136" s="3">
        <v>38909</v>
      </c>
      <c r="D3136" t="s">
        <v>5203</v>
      </c>
      <c r="E3136" s="2" t="s">
        <v>12</v>
      </c>
      <c r="F3136" s="2" t="s">
        <v>12</v>
      </c>
      <c r="G3136" t="s">
        <v>4944</v>
      </c>
      <c r="H3136" t="str">
        <f t="shared" si="96"/>
        <v>https://videplast.com.br/consulta-imobilizado?id=32000160&amp;nome=MONITOR%2017"%20PHILIPHS</v>
      </c>
      <c r="I3136" t="e">
        <f t="shared" ca="1" si="97"/>
        <v>#NAME?</v>
      </c>
    </row>
    <row r="3137" spans="1:9" x14ac:dyDescent="0.25">
      <c r="A3137" s="2" t="s">
        <v>5204</v>
      </c>
      <c r="B3137" s="2" t="s">
        <v>10</v>
      </c>
      <c r="C3137" s="3">
        <v>39161</v>
      </c>
      <c r="D3137" t="s">
        <v>5205</v>
      </c>
      <c r="E3137" s="2" t="s">
        <v>12</v>
      </c>
      <c r="F3137" s="2" t="s">
        <v>12</v>
      </c>
      <c r="G3137" t="s">
        <v>4944</v>
      </c>
      <c r="H3137" t="str">
        <f t="shared" si="96"/>
        <v>https://videplast.com.br/consulta-imobilizado?id=32000166&amp;nome=AMPLIFICADOR%20DE%20POTENCIA</v>
      </c>
      <c r="I3137" t="e">
        <f t="shared" ca="1" si="97"/>
        <v>#NAME?</v>
      </c>
    </row>
    <row r="3138" spans="1:9" x14ac:dyDescent="0.25">
      <c r="A3138" s="2" t="s">
        <v>5204</v>
      </c>
      <c r="B3138" s="2" t="s">
        <v>26</v>
      </c>
      <c r="C3138" s="3">
        <v>39161</v>
      </c>
      <c r="D3138" t="s">
        <v>5206</v>
      </c>
      <c r="E3138" s="2" t="s">
        <v>12</v>
      </c>
      <c r="F3138" s="2" t="s">
        <v>12</v>
      </c>
      <c r="G3138" t="s">
        <v>4944</v>
      </c>
      <c r="H3138" t="str">
        <f t="shared" ref="H3138:H3201" si="98" xml:space="preserve"> "https://videplast.com.br/consulta-imobilizado?id=" &amp; A3138 &amp; "&amp;nome=" &amp; SUBSTITUTE(D3138, " ", "%20")</f>
        <v>https://videplast.com.br/consulta-imobilizado?id=32000166&amp;nome=MESA%20DE%20SOM</v>
      </c>
      <c r="I3138" t="e">
        <f t="shared" ref="I3138:I3201" ca="1" si="99">_xlfn.IMAGE("https://chart.googleapis.com/chart?chs=150x150&amp;cht=qr&amp;chl=" &amp; H3138)</f>
        <v>#NAME?</v>
      </c>
    </row>
    <row r="3139" spans="1:9" x14ac:dyDescent="0.25">
      <c r="A3139" s="2" t="s">
        <v>5204</v>
      </c>
      <c r="B3139" s="2" t="s">
        <v>21</v>
      </c>
      <c r="C3139" s="3">
        <v>39161</v>
      </c>
      <c r="D3139" t="s">
        <v>5207</v>
      </c>
      <c r="E3139" s="2" t="s">
        <v>12</v>
      </c>
      <c r="F3139" s="2" t="s">
        <v>12</v>
      </c>
      <c r="G3139" t="s">
        <v>4944</v>
      </c>
      <c r="H3139" t="str">
        <f t="shared" si="98"/>
        <v>https://videplast.com.br/consulta-imobilizado?id=32000166&amp;nome=CAIXAS%20ACUSTICAS</v>
      </c>
      <c r="I3139" t="e">
        <f t="shared" ca="1" si="99"/>
        <v>#NAME?</v>
      </c>
    </row>
    <row r="3140" spans="1:9" x14ac:dyDescent="0.25">
      <c r="A3140" s="2" t="s">
        <v>5204</v>
      </c>
      <c r="B3140" s="2" t="s">
        <v>29</v>
      </c>
      <c r="C3140" s="3">
        <v>39161</v>
      </c>
      <c r="D3140" t="s">
        <v>5208</v>
      </c>
      <c r="E3140" s="2" t="s">
        <v>12</v>
      </c>
      <c r="F3140" s="2" t="s">
        <v>12</v>
      </c>
      <c r="G3140" t="s">
        <v>4944</v>
      </c>
      <c r="H3140" t="str">
        <f t="shared" si="98"/>
        <v>https://videplast.com.br/consulta-imobilizado?id=32000166&amp;nome=MICROFONE%20SEM%20FIO%20WM-1001</v>
      </c>
      <c r="I3140" t="e">
        <f t="shared" ca="1" si="99"/>
        <v>#NAME?</v>
      </c>
    </row>
    <row r="3141" spans="1:9" x14ac:dyDescent="0.25">
      <c r="A3141" s="2" t="s">
        <v>5204</v>
      </c>
      <c r="B3141" s="2" t="s">
        <v>31</v>
      </c>
      <c r="C3141" s="3">
        <v>39161</v>
      </c>
      <c r="D3141" t="s">
        <v>5209</v>
      </c>
      <c r="E3141" s="2" t="s">
        <v>12</v>
      </c>
      <c r="F3141" s="2" t="s">
        <v>12</v>
      </c>
      <c r="G3141" t="s">
        <v>4944</v>
      </c>
      <c r="H3141" t="str">
        <f t="shared" si="98"/>
        <v>https://videplast.com.br/consulta-imobilizado?id=32000166&amp;nome=PLUG%20P-10%20PRATA</v>
      </c>
      <c r="I3141" t="e">
        <f t="shared" ca="1" si="99"/>
        <v>#NAME?</v>
      </c>
    </row>
    <row r="3142" spans="1:9" x14ac:dyDescent="0.25">
      <c r="A3142" s="2" t="s">
        <v>5204</v>
      </c>
      <c r="B3142" s="2" t="s">
        <v>33</v>
      </c>
      <c r="C3142" s="3">
        <v>39161</v>
      </c>
      <c r="D3142" t="s">
        <v>5210</v>
      </c>
      <c r="E3142" s="2" t="s">
        <v>12</v>
      </c>
      <c r="F3142" s="2" t="s">
        <v>12</v>
      </c>
      <c r="G3142" t="s">
        <v>4944</v>
      </c>
      <c r="H3142" t="str">
        <f t="shared" si="98"/>
        <v>https://videplast.com.br/consulta-imobilizado?id=32000166&amp;nome=FIO%200,20</v>
      </c>
      <c r="I3142" t="e">
        <f t="shared" ca="1" si="99"/>
        <v>#NAME?</v>
      </c>
    </row>
    <row r="3143" spans="1:9" x14ac:dyDescent="0.25">
      <c r="A3143" s="2" t="s">
        <v>5211</v>
      </c>
      <c r="B3143" s="2" t="s">
        <v>10</v>
      </c>
      <c r="C3143" s="3">
        <v>39976</v>
      </c>
      <c r="D3143" t="s">
        <v>5212</v>
      </c>
      <c r="E3143" s="2" t="s">
        <v>12</v>
      </c>
      <c r="F3143" s="2" t="s">
        <v>12</v>
      </c>
      <c r="G3143" t="s">
        <v>4944</v>
      </c>
      <c r="H3143" s="5" t="str">
        <f t="shared" si="98"/>
        <v>https://videplast.com.br/consulta-imobilizado?id=32000194&amp;nome=COMPUTADOR%20COM%20MEMORIA,%20PLACA%20MAE,%20NVIDIA</v>
      </c>
      <c r="I3143" t="e">
        <f t="shared" ca="1" si="99"/>
        <v>#NAME?</v>
      </c>
    </row>
    <row r="3144" spans="1:9" x14ac:dyDescent="0.25">
      <c r="A3144" s="2" t="s">
        <v>5211</v>
      </c>
      <c r="B3144" s="2" t="s">
        <v>26</v>
      </c>
      <c r="C3144" s="3">
        <v>40003</v>
      </c>
      <c r="D3144" t="s">
        <v>5213</v>
      </c>
      <c r="E3144" s="2" t="s">
        <v>12</v>
      </c>
      <c r="F3144" s="2" t="s">
        <v>12</v>
      </c>
      <c r="G3144" t="s">
        <v>4944</v>
      </c>
      <c r="H3144" t="str">
        <f t="shared" si="98"/>
        <v>https://videplast.com.br/consulta-imobilizado?id=32000194&amp;nome=PLACA%20DE%20VIDEO%20GEFORCE%20FX%208500%20GT%20256%20MB</v>
      </c>
      <c r="I3144" t="e">
        <f t="shared" ca="1" si="99"/>
        <v>#NAME?</v>
      </c>
    </row>
    <row r="3145" spans="1:9" x14ac:dyDescent="0.25">
      <c r="A3145" s="2" t="s">
        <v>5214</v>
      </c>
      <c r="B3145" s="2" t="s">
        <v>10</v>
      </c>
      <c r="C3145" s="3">
        <v>40755</v>
      </c>
      <c r="D3145" t="s">
        <v>759</v>
      </c>
      <c r="E3145" s="2" t="s">
        <v>12</v>
      </c>
      <c r="F3145" s="2" t="s">
        <v>12</v>
      </c>
      <c r="G3145" t="s">
        <v>4944</v>
      </c>
      <c r="H3145" t="str">
        <f t="shared" si="98"/>
        <v>https://videplast.com.br/consulta-imobilizado?id=32000215&amp;nome=SERVIDOR%20POWEREDGE%20T310%20CHASSIS%20P/ATE%204%20DISCOS</v>
      </c>
      <c r="I3145" t="e">
        <f t="shared" ca="1" si="99"/>
        <v>#NAME?</v>
      </c>
    </row>
    <row r="3146" spans="1:9" x14ac:dyDescent="0.25">
      <c r="A3146" s="2" t="s">
        <v>5214</v>
      </c>
      <c r="B3146" s="2" t="s">
        <v>26</v>
      </c>
      <c r="C3146" s="3">
        <v>40755</v>
      </c>
      <c r="D3146" t="s">
        <v>5215</v>
      </c>
      <c r="E3146" s="2" t="s">
        <v>12</v>
      </c>
      <c r="F3146" s="2" t="s">
        <v>12</v>
      </c>
      <c r="G3146" t="s">
        <v>4944</v>
      </c>
      <c r="H3146" t="str">
        <f t="shared" si="98"/>
        <v>https://videplast.com.br/consulta-imobilizado?id=32000215&amp;nome=SERVICO%20DE%20MONTAGEM%20DO%20SERVIDOR</v>
      </c>
      <c r="I3146" t="e">
        <f t="shared" ca="1" si="99"/>
        <v>#NAME?</v>
      </c>
    </row>
    <row r="3147" spans="1:9" x14ac:dyDescent="0.25">
      <c r="A3147" s="2" t="s">
        <v>5216</v>
      </c>
      <c r="B3147" s="2" t="s">
        <v>10</v>
      </c>
      <c r="C3147" s="3">
        <v>42094</v>
      </c>
      <c r="D3147" t="s">
        <v>5217</v>
      </c>
      <c r="E3147" s="2" t="s">
        <v>12</v>
      </c>
      <c r="F3147" s="2" t="s">
        <v>12</v>
      </c>
      <c r="G3147" t="s">
        <v>4944</v>
      </c>
      <c r="H3147" t="str">
        <f t="shared" si="98"/>
        <v>https://videplast.com.br/consulta-imobilizado?id=32000218&amp;nome=NOTEBOOK%20DELL%2015.6"%204G%201TB%20PRATA</v>
      </c>
      <c r="I3147" t="e">
        <f t="shared" ca="1" si="99"/>
        <v>#NAME?</v>
      </c>
    </row>
    <row r="3148" spans="1:9" x14ac:dyDescent="0.25">
      <c r="A3148" s="2" t="s">
        <v>5218</v>
      </c>
      <c r="B3148" s="2" t="s">
        <v>10</v>
      </c>
      <c r="C3148" s="3">
        <v>42317</v>
      </c>
      <c r="D3148" t="s">
        <v>3675</v>
      </c>
      <c r="E3148" s="2" t="s">
        <v>12</v>
      </c>
      <c r="F3148" s="2" t="s">
        <v>12</v>
      </c>
      <c r="G3148" t="s">
        <v>4944</v>
      </c>
      <c r="H3148" t="str">
        <f t="shared" si="98"/>
        <v>https://videplast.com.br/consulta-imobilizado?id=32000893&amp;nome=CAMERA%20IP%20VIP%20S3120%20LENTE%203,6%20MM%2020%20MTS</v>
      </c>
      <c r="I3148" t="e">
        <f t="shared" ca="1" si="99"/>
        <v>#NAME?</v>
      </c>
    </row>
    <row r="3149" spans="1:9" x14ac:dyDescent="0.25">
      <c r="A3149" s="2" t="s">
        <v>5219</v>
      </c>
      <c r="B3149" s="2" t="s">
        <v>10</v>
      </c>
      <c r="C3149" s="3">
        <v>42317</v>
      </c>
      <c r="D3149" t="s">
        <v>3675</v>
      </c>
      <c r="E3149" s="2" t="s">
        <v>12</v>
      </c>
      <c r="F3149" s="2" t="s">
        <v>12</v>
      </c>
      <c r="G3149" t="s">
        <v>4944</v>
      </c>
      <c r="H3149" t="str">
        <f t="shared" si="98"/>
        <v>https://videplast.com.br/consulta-imobilizado?id=32000894&amp;nome=CAMERA%20IP%20VIP%20S3120%20LENTE%203,6%20MM%2020%20MTS</v>
      </c>
      <c r="I3149" t="e">
        <f t="shared" ca="1" si="99"/>
        <v>#NAME?</v>
      </c>
    </row>
    <row r="3150" spans="1:9" x14ac:dyDescent="0.25">
      <c r="A3150" s="2" t="s">
        <v>5220</v>
      </c>
      <c r="B3150" s="2" t="s">
        <v>10</v>
      </c>
      <c r="C3150" s="3">
        <v>42317</v>
      </c>
      <c r="D3150" t="s">
        <v>3675</v>
      </c>
      <c r="E3150" s="2" t="s">
        <v>12</v>
      </c>
      <c r="F3150" s="2" t="s">
        <v>12</v>
      </c>
      <c r="G3150" t="s">
        <v>4944</v>
      </c>
      <c r="H3150" t="str">
        <f t="shared" si="98"/>
        <v>https://videplast.com.br/consulta-imobilizado?id=32000895&amp;nome=CAMERA%20IP%20VIP%20S3120%20LENTE%203,6%20MM%2020%20MTS</v>
      </c>
      <c r="I3150" t="e">
        <f t="shared" ca="1" si="99"/>
        <v>#NAME?</v>
      </c>
    </row>
    <row r="3151" spans="1:9" x14ac:dyDescent="0.25">
      <c r="A3151" s="2" t="s">
        <v>5221</v>
      </c>
      <c r="B3151" s="2" t="s">
        <v>10</v>
      </c>
      <c r="C3151" s="3">
        <v>42612</v>
      </c>
      <c r="D3151" t="s">
        <v>5222</v>
      </c>
      <c r="E3151" s="2" t="s">
        <v>12</v>
      </c>
      <c r="F3151" s="2" t="s">
        <v>12</v>
      </c>
      <c r="G3151" t="s">
        <v>4944</v>
      </c>
      <c r="H3151" t="str">
        <f t="shared" si="98"/>
        <v>https://videplast.com.br/consulta-imobilizado?id=32000966&amp;nome=NOTEBOOK%20DELL%2014%20VST%203458%20I3%204%20SYST%204GB</v>
      </c>
      <c r="I3151" t="e">
        <f t="shared" ca="1" si="99"/>
        <v>#NAME?</v>
      </c>
    </row>
    <row r="3152" spans="1:9" x14ac:dyDescent="0.25">
      <c r="A3152" s="2" t="s">
        <v>5223</v>
      </c>
      <c r="B3152" s="2" t="s">
        <v>10</v>
      </c>
      <c r="C3152" s="3">
        <v>42906</v>
      </c>
      <c r="D3152" t="s">
        <v>504</v>
      </c>
      <c r="E3152" s="2" t="s">
        <v>12</v>
      </c>
      <c r="F3152" s="2" t="s">
        <v>12</v>
      </c>
      <c r="G3152" t="s">
        <v>4944</v>
      </c>
      <c r="H3152" t="str">
        <f t="shared" si="98"/>
        <v>https://videplast.com.br/consulta-imobilizado?id=32001013&amp;nome=MONITOR%20LED%20AOC%2018,5%20WIDESCREEN%20E970SWNL</v>
      </c>
      <c r="I3152" t="e">
        <f t="shared" ca="1" si="99"/>
        <v>#NAME?</v>
      </c>
    </row>
    <row r="3153" spans="1:9" x14ac:dyDescent="0.25">
      <c r="A3153" s="2" t="s">
        <v>5224</v>
      </c>
      <c r="B3153" s="2" t="s">
        <v>10</v>
      </c>
      <c r="C3153" s="3">
        <v>43581</v>
      </c>
      <c r="D3153" t="s">
        <v>2294</v>
      </c>
      <c r="E3153" s="2" t="s">
        <v>12</v>
      </c>
      <c r="F3153" s="2" t="s">
        <v>5225</v>
      </c>
      <c r="G3153" t="s">
        <v>4944</v>
      </c>
      <c r="H3153" s="5" t="str">
        <f t="shared" si="98"/>
        <v>https://videplast.com.br/consulta-imobilizado?id=32001344&amp;nome=COMPUTADOR%20DELL%20VOSTRO%20I3%204GB%20HD%201TB%20W10P</v>
      </c>
      <c r="I3153" t="e">
        <f t="shared" ca="1" si="99"/>
        <v>#NAME?</v>
      </c>
    </row>
    <row r="3154" spans="1:9" x14ac:dyDescent="0.25">
      <c r="A3154" s="2" t="s">
        <v>5226</v>
      </c>
      <c r="B3154" s="2" t="s">
        <v>10</v>
      </c>
      <c r="C3154" s="3">
        <v>43581</v>
      </c>
      <c r="D3154" t="s">
        <v>5227</v>
      </c>
      <c r="E3154" s="2" t="s">
        <v>12</v>
      </c>
      <c r="F3154" s="2" t="s">
        <v>4643</v>
      </c>
      <c r="G3154" t="s">
        <v>4944</v>
      </c>
      <c r="H3154" t="str">
        <f t="shared" si="98"/>
        <v>https://videplast.com.br/consulta-imobilizado?id=32001347&amp;nome=MONITOR%20DELL%20E1916H%2018,5"%20WIDESCREEN</v>
      </c>
      <c r="I3154" t="e">
        <f t="shared" ca="1" si="99"/>
        <v>#NAME?</v>
      </c>
    </row>
    <row r="3155" spans="1:9" x14ac:dyDescent="0.25">
      <c r="A3155" s="2" t="s">
        <v>5228</v>
      </c>
      <c r="B3155" s="2" t="s">
        <v>10</v>
      </c>
      <c r="C3155" s="3">
        <v>43613</v>
      </c>
      <c r="D3155" t="s">
        <v>522</v>
      </c>
      <c r="E3155" s="2" t="s">
        <v>12</v>
      </c>
      <c r="F3155" s="2" t="s">
        <v>12</v>
      </c>
      <c r="G3155" t="s">
        <v>4944</v>
      </c>
      <c r="H3155" t="str">
        <f t="shared" si="98"/>
        <v>https://videplast.com.br/consulta-imobilizado?id=32001363&amp;nome=RELOGIO%20PONTO%20TOPDATA%20INNER%20373%20LFD%20BIO%20BARRAS</v>
      </c>
      <c r="I3155" t="e">
        <f t="shared" ca="1" si="99"/>
        <v>#NAME?</v>
      </c>
    </row>
    <row r="3156" spans="1:9" x14ac:dyDescent="0.25">
      <c r="A3156" s="2" t="s">
        <v>5229</v>
      </c>
      <c r="B3156" s="2" t="s">
        <v>10</v>
      </c>
      <c r="C3156" s="3">
        <v>44950</v>
      </c>
      <c r="D3156" t="s">
        <v>5230</v>
      </c>
      <c r="E3156" s="2" t="s">
        <v>12</v>
      </c>
      <c r="F3156" s="2" t="s">
        <v>5231</v>
      </c>
      <c r="G3156" t="s">
        <v>4944</v>
      </c>
      <c r="H3156" t="str">
        <f t="shared" si="98"/>
        <v>https://videplast.com.br/consulta-imobilizado?id=32002623&amp;nome=NOTEBOOK%20DELL%20INSPIRION%2015%205000%20I5%2016GB%20W11P</v>
      </c>
      <c r="I3156" t="e">
        <f t="shared" ca="1" si="99"/>
        <v>#NAME?</v>
      </c>
    </row>
    <row r="3157" spans="1:9" x14ac:dyDescent="0.25">
      <c r="A3157" s="2" t="s">
        <v>5232</v>
      </c>
      <c r="B3157" s="2" t="s">
        <v>10</v>
      </c>
      <c r="C3157" s="3">
        <v>44963</v>
      </c>
      <c r="D3157" t="s">
        <v>5167</v>
      </c>
      <c r="E3157" s="2" t="s">
        <v>12</v>
      </c>
      <c r="F3157" s="2" t="s">
        <v>12</v>
      </c>
      <c r="G3157" t="s">
        <v>4944</v>
      </c>
      <c r="H3157" t="str">
        <f t="shared" si="98"/>
        <v>https://videplast.com.br/consulta-imobilizado?id=32002641&amp;nome=MONITOR%2015"%20SANSUMG%20551V</v>
      </c>
      <c r="I3157" t="e">
        <f t="shared" ca="1" si="99"/>
        <v>#NAME?</v>
      </c>
    </row>
    <row r="3158" spans="1:9" x14ac:dyDescent="0.25">
      <c r="A3158" s="2" t="s">
        <v>5233</v>
      </c>
      <c r="B3158" s="2" t="s">
        <v>10</v>
      </c>
      <c r="C3158" s="3">
        <v>44970</v>
      </c>
      <c r="D3158" t="s">
        <v>5230</v>
      </c>
      <c r="E3158" s="2" t="s">
        <v>12</v>
      </c>
      <c r="F3158" s="2" t="s">
        <v>5234</v>
      </c>
      <c r="G3158" t="s">
        <v>4944</v>
      </c>
      <c r="H3158" t="str">
        <f t="shared" si="98"/>
        <v>https://videplast.com.br/consulta-imobilizado?id=32002646&amp;nome=NOTEBOOK%20DELL%20INSPIRION%2015%205000%20I5%2016GB%20W11P</v>
      </c>
      <c r="I3158" t="e">
        <f t="shared" ca="1" si="99"/>
        <v>#NAME?</v>
      </c>
    </row>
    <row r="3159" spans="1:9" x14ac:dyDescent="0.25">
      <c r="A3159" s="2" t="s">
        <v>5235</v>
      </c>
      <c r="B3159" s="2" t="s">
        <v>10</v>
      </c>
      <c r="C3159" s="3">
        <v>45189</v>
      </c>
      <c r="D3159" t="s">
        <v>5236</v>
      </c>
      <c r="E3159" s="2" t="s">
        <v>12</v>
      </c>
      <c r="F3159" s="2" t="s">
        <v>5237</v>
      </c>
      <c r="G3159" t="s">
        <v>4944</v>
      </c>
      <c r="H3159" t="str">
        <f t="shared" si="98"/>
        <v>https://videplast.com.br/consulta-imobilizado?id=32002827&amp;nome=MONITOR%20DELL%20P2018H%2021"</v>
      </c>
      <c r="I3159" t="e">
        <f t="shared" ca="1" si="99"/>
        <v>#NAME?</v>
      </c>
    </row>
    <row r="3160" spans="1:9" x14ac:dyDescent="0.25">
      <c r="A3160" s="2" t="s">
        <v>5238</v>
      </c>
      <c r="B3160" s="2" t="s">
        <v>10</v>
      </c>
      <c r="C3160" s="3">
        <v>45439</v>
      </c>
      <c r="D3160" t="s">
        <v>5239</v>
      </c>
      <c r="E3160" s="2" t="s">
        <v>12</v>
      </c>
      <c r="F3160" s="2" t="s">
        <v>5240</v>
      </c>
      <c r="G3160" t="s">
        <v>4944</v>
      </c>
      <c r="H3160" t="str">
        <f t="shared" si="98"/>
        <v>https://videplast.com.br/consulta-imobilizado?id=32002984&amp;nome=TV%20SAMSUNG%20SMART%204K%20UHD%203HDMI%2050"%20LH50BECH</v>
      </c>
      <c r="I3160" t="e">
        <f t="shared" ca="1" si="99"/>
        <v>#NAME?</v>
      </c>
    </row>
    <row r="3161" spans="1:9" x14ac:dyDescent="0.25">
      <c r="A3161" s="2" t="s">
        <v>5241</v>
      </c>
      <c r="B3161" s="2" t="s">
        <v>10</v>
      </c>
      <c r="C3161" s="3">
        <v>45513</v>
      </c>
      <c r="D3161" t="s">
        <v>5170</v>
      </c>
      <c r="E3161" s="2" t="s">
        <v>12</v>
      </c>
      <c r="F3161" s="2" t="s">
        <v>12</v>
      </c>
      <c r="G3161" t="s">
        <v>4944</v>
      </c>
      <c r="H3161" s="5" t="str">
        <f t="shared" si="98"/>
        <v>https://videplast.com.br/consulta-imobilizado?id=32003073&amp;nome=COMPUTADOR%20MONTADO</v>
      </c>
      <c r="I3161" t="e">
        <f t="shared" ca="1" si="99"/>
        <v>#NAME?</v>
      </c>
    </row>
    <row r="3162" spans="1:9" x14ac:dyDescent="0.25">
      <c r="A3162" s="2" t="s">
        <v>5242</v>
      </c>
      <c r="B3162" s="2" t="s">
        <v>10</v>
      </c>
      <c r="C3162" s="3">
        <v>45513</v>
      </c>
      <c r="D3162" t="s">
        <v>5170</v>
      </c>
      <c r="E3162" s="2" t="s">
        <v>12</v>
      </c>
      <c r="F3162" s="2" t="s">
        <v>12</v>
      </c>
      <c r="G3162" t="s">
        <v>4944</v>
      </c>
      <c r="H3162" s="5" t="str">
        <f t="shared" si="98"/>
        <v>https://videplast.com.br/consulta-imobilizado?id=32003074&amp;nome=COMPUTADOR%20MONTADO</v>
      </c>
      <c r="I3162" t="e">
        <f t="shared" ca="1" si="99"/>
        <v>#NAME?</v>
      </c>
    </row>
    <row r="3163" spans="1:9" x14ac:dyDescent="0.25">
      <c r="A3163" s="2" t="s">
        <v>5243</v>
      </c>
      <c r="B3163" s="2" t="s">
        <v>10</v>
      </c>
      <c r="C3163" s="3">
        <v>45513</v>
      </c>
      <c r="D3163" t="s">
        <v>5193</v>
      </c>
      <c r="E3163" s="2" t="s">
        <v>12</v>
      </c>
      <c r="F3163" s="2" t="s">
        <v>12</v>
      </c>
      <c r="G3163" t="s">
        <v>4944</v>
      </c>
      <c r="H3163" s="5" t="str">
        <f t="shared" si="98"/>
        <v>https://videplast.com.br/consulta-imobilizado?id=32003075&amp;nome=COMPUTADOR%20SEMPRON%202400</v>
      </c>
      <c r="I3163" t="e">
        <f t="shared" ca="1" si="99"/>
        <v>#NAME?</v>
      </c>
    </row>
    <row r="3164" spans="1:9" x14ac:dyDescent="0.25">
      <c r="A3164" s="2" t="s">
        <v>5244</v>
      </c>
      <c r="B3164" s="2" t="s">
        <v>10</v>
      </c>
      <c r="C3164" s="3">
        <v>45513</v>
      </c>
      <c r="D3164" t="s">
        <v>5245</v>
      </c>
      <c r="E3164" s="2" t="s">
        <v>12</v>
      </c>
      <c r="F3164" s="2" t="s">
        <v>12</v>
      </c>
      <c r="G3164" t="s">
        <v>4944</v>
      </c>
      <c r="H3164" t="str">
        <f t="shared" si="98"/>
        <v>https://videplast.com.br/consulta-imobilizado?id=32003076&amp;nome=MONITOR%20HP%20LCD%2021"</v>
      </c>
      <c r="I3164" t="e">
        <f t="shared" ca="1" si="99"/>
        <v>#NAME?</v>
      </c>
    </row>
    <row r="3165" spans="1:9" x14ac:dyDescent="0.25">
      <c r="A3165" s="2" t="s">
        <v>5246</v>
      </c>
      <c r="B3165" s="2" t="s">
        <v>10</v>
      </c>
      <c r="C3165" s="3">
        <v>45513</v>
      </c>
      <c r="D3165" t="s">
        <v>5165</v>
      </c>
      <c r="E3165" s="2" t="s">
        <v>12</v>
      </c>
      <c r="F3165" s="2" t="s">
        <v>12</v>
      </c>
      <c r="G3165" t="s">
        <v>4944</v>
      </c>
      <c r="H3165" s="5" t="str">
        <f t="shared" si="98"/>
        <v>https://videplast.com.br/consulta-imobilizado?id=32003077&amp;nome=COMPUTADOR</v>
      </c>
      <c r="I3165" t="e">
        <f t="shared" ca="1" si="99"/>
        <v>#NAME?</v>
      </c>
    </row>
    <row r="3166" spans="1:9" x14ac:dyDescent="0.25">
      <c r="A3166" s="2" t="s">
        <v>5247</v>
      </c>
      <c r="B3166" s="2" t="s">
        <v>10</v>
      </c>
      <c r="C3166" s="3">
        <v>45513</v>
      </c>
      <c r="D3166" t="s">
        <v>5248</v>
      </c>
      <c r="E3166" s="2" t="s">
        <v>12</v>
      </c>
      <c r="F3166" s="2" t="s">
        <v>12</v>
      </c>
      <c r="G3166" t="s">
        <v>4944</v>
      </c>
      <c r="H3166" t="str">
        <f t="shared" si="98"/>
        <v>https://videplast.com.br/consulta-imobilizado?id=32003078&amp;nome=MONITOR%20SANSUNG%2015"%20591V</v>
      </c>
      <c r="I3166" t="e">
        <f t="shared" ca="1" si="99"/>
        <v>#NAME?</v>
      </c>
    </row>
    <row r="3167" spans="1:9" x14ac:dyDescent="0.25">
      <c r="A3167" s="2" t="s">
        <v>5249</v>
      </c>
      <c r="B3167" s="2" t="s">
        <v>10</v>
      </c>
      <c r="C3167" s="3">
        <v>45513</v>
      </c>
      <c r="D3167" t="s">
        <v>5248</v>
      </c>
      <c r="E3167" s="2" t="s">
        <v>12</v>
      </c>
      <c r="F3167" s="2" t="s">
        <v>12</v>
      </c>
      <c r="G3167" t="s">
        <v>4944</v>
      </c>
      <c r="H3167" t="str">
        <f t="shared" si="98"/>
        <v>https://videplast.com.br/consulta-imobilizado?id=32003079&amp;nome=MONITOR%20SANSUNG%2015"%20591V</v>
      </c>
      <c r="I3167" t="e">
        <f t="shared" ca="1" si="99"/>
        <v>#NAME?</v>
      </c>
    </row>
    <row r="3168" spans="1:9" x14ac:dyDescent="0.25">
      <c r="A3168" s="2" t="s">
        <v>5250</v>
      </c>
      <c r="B3168" s="2" t="s">
        <v>10</v>
      </c>
      <c r="C3168" s="3">
        <v>45513</v>
      </c>
      <c r="D3168" t="s">
        <v>5251</v>
      </c>
      <c r="E3168" s="2" t="s">
        <v>12</v>
      </c>
      <c r="F3168" s="2" t="s">
        <v>12</v>
      </c>
      <c r="G3168" t="s">
        <v>4944</v>
      </c>
      <c r="H3168" t="str">
        <f t="shared" si="98"/>
        <v>https://videplast.com.br/consulta-imobilizado?id=32003080&amp;nome=MONITOR%20SANSUNG%2015"%20551V</v>
      </c>
      <c r="I3168" t="e">
        <f t="shared" ca="1" si="99"/>
        <v>#NAME?</v>
      </c>
    </row>
    <row r="3169" spans="1:9" x14ac:dyDescent="0.25">
      <c r="A3169" s="2" t="s">
        <v>5252</v>
      </c>
      <c r="B3169" s="2" t="s">
        <v>10</v>
      </c>
      <c r="C3169" s="3">
        <v>45513</v>
      </c>
      <c r="D3169" t="s">
        <v>5251</v>
      </c>
      <c r="E3169" s="2" t="s">
        <v>12</v>
      </c>
      <c r="F3169" s="2" t="s">
        <v>12</v>
      </c>
      <c r="G3169" t="s">
        <v>4944</v>
      </c>
      <c r="H3169" t="str">
        <f t="shared" si="98"/>
        <v>https://videplast.com.br/consulta-imobilizado?id=32003081&amp;nome=MONITOR%20SANSUNG%2015"%20551V</v>
      </c>
      <c r="I3169" t="e">
        <f t="shared" ca="1" si="99"/>
        <v>#NAME?</v>
      </c>
    </row>
    <row r="3170" spans="1:9" x14ac:dyDescent="0.25">
      <c r="A3170" s="2" t="s">
        <v>5253</v>
      </c>
      <c r="B3170" s="2" t="s">
        <v>10</v>
      </c>
      <c r="C3170" s="3">
        <v>45513</v>
      </c>
      <c r="D3170" t="s">
        <v>5254</v>
      </c>
      <c r="E3170" s="2" t="s">
        <v>12</v>
      </c>
      <c r="F3170" s="2" t="s">
        <v>12</v>
      </c>
      <c r="G3170" t="s">
        <v>4944</v>
      </c>
      <c r="H3170" t="str">
        <f t="shared" si="98"/>
        <v>https://videplast.com.br/consulta-imobilizado?id=32003082&amp;nome=MONITOR%20SANSUNG%2015"%20540%20N</v>
      </c>
      <c r="I3170" t="e">
        <f t="shared" ca="1" si="99"/>
        <v>#NAME?</v>
      </c>
    </row>
    <row r="3171" spans="1:9" x14ac:dyDescent="0.25">
      <c r="A3171" s="2" t="s">
        <v>5255</v>
      </c>
      <c r="B3171" s="2" t="s">
        <v>10</v>
      </c>
      <c r="C3171" s="3">
        <v>45513</v>
      </c>
      <c r="D3171" t="s">
        <v>5180</v>
      </c>
      <c r="E3171" s="2" t="s">
        <v>12</v>
      </c>
      <c r="F3171" s="2" t="s">
        <v>12</v>
      </c>
      <c r="G3171" t="s">
        <v>4944</v>
      </c>
      <c r="H3171" s="5" t="str">
        <f t="shared" si="98"/>
        <v>https://videplast.com.br/consulta-imobilizado?id=32003083&amp;nome=COMPUTADOR%20ATHLON%202100%20GHZ</v>
      </c>
      <c r="I3171" t="e">
        <f t="shared" ca="1" si="99"/>
        <v>#NAME?</v>
      </c>
    </row>
    <row r="3172" spans="1:9" x14ac:dyDescent="0.25">
      <c r="A3172" s="2" t="s">
        <v>5256</v>
      </c>
      <c r="B3172" s="2" t="s">
        <v>10</v>
      </c>
      <c r="C3172" s="3">
        <v>45513</v>
      </c>
      <c r="D3172" t="s">
        <v>5257</v>
      </c>
      <c r="E3172" s="2" t="s">
        <v>12</v>
      </c>
      <c r="F3172" s="2" t="s">
        <v>12</v>
      </c>
      <c r="G3172" t="s">
        <v>4944</v>
      </c>
      <c r="H3172" t="str">
        <f t="shared" si="98"/>
        <v>https://videplast.com.br/consulta-imobilizado?id=32003084&amp;nome=MONITOR%20PHILIPS%205"</v>
      </c>
      <c r="I3172" t="e">
        <f t="shared" ca="1" si="99"/>
        <v>#NAME?</v>
      </c>
    </row>
    <row r="3173" spans="1:9" x14ac:dyDescent="0.25">
      <c r="A3173" s="2" t="s">
        <v>5258</v>
      </c>
      <c r="B3173" s="2" t="s">
        <v>10</v>
      </c>
      <c r="C3173" s="3">
        <v>45513</v>
      </c>
      <c r="D3173" t="s">
        <v>5257</v>
      </c>
      <c r="E3173" s="2" t="s">
        <v>12</v>
      </c>
      <c r="F3173" s="2" t="s">
        <v>12</v>
      </c>
      <c r="G3173" t="s">
        <v>4944</v>
      </c>
      <c r="H3173" t="str">
        <f t="shared" si="98"/>
        <v>https://videplast.com.br/consulta-imobilizado?id=32003085&amp;nome=MONITOR%20PHILIPS%205"</v>
      </c>
      <c r="I3173" t="e">
        <f t="shared" ca="1" si="99"/>
        <v>#NAME?</v>
      </c>
    </row>
    <row r="3174" spans="1:9" x14ac:dyDescent="0.25">
      <c r="A3174" s="2" t="s">
        <v>5259</v>
      </c>
      <c r="B3174" s="2" t="s">
        <v>10</v>
      </c>
      <c r="C3174" s="3">
        <v>45513</v>
      </c>
      <c r="D3174" t="s">
        <v>5260</v>
      </c>
      <c r="E3174" s="2" t="s">
        <v>12</v>
      </c>
      <c r="F3174" s="2" t="s">
        <v>12</v>
      </c>
      <c r="G3174" t="s">
        <v>4944</v>
      </c>
      <c r="H3174" t="str">
        <f t="shared" si="98"/>
        <v>https://videplast.com.br/consulta-imobilizado?id=32003086&amp;nome=MONITOR%20SANSUNG%2015"</v>
      </c>
      <c r="I3174" t="e">
        <f t="shared" ca="1" si="99"/>
        <v>#NAME?</v>
      </c>
    </row>
    <row r="3175" spans="1:9" x14ac:dyDescent="0.25">
      <c r="A3175" s="2" t="s">
        <v>5261</v>
      </c>
      <c r="B3175" s="2" t="s">
        <v>10</v>
      </c>
      <c r="C3175" s="3">
        <v>41639</v>
      </c>
      <c r="D3175" t="s">
        <v>5262</v>
      </c>
      <c r="E3175" s="2" t="s">
        <v>12</v>
      </c>
      <c r="F3175" s="2" t="s">
        <v>12</v>
      </c>
      <c r="G3175" t="s">
        <v>4944</v>
      </c>
      <c r="H3175" t="str">
        <f t="shared" si="98"/>
        <v>https://videplast.com.br/consulta-imobilizado?id=33000000&amp;nome=LICENCA%20DE%20SOFTWARE,%20P/O%20SETOR%20DE%20LABORATORIO%20DA</v>
      </c>
      <c r="I3175" t="e">
        <f t="shared" ca="1" si="99"/>
        <v>#NAME?</v>
      </c>
    </row>
    <row r="3176" spans="1:9" x14ac:dyDescent="0.25">
      <c r="A3176" s="2" t="s">
        <v>5263</v>
      </c>
      <c r="B3176" s="2" t="s">
        <v>10</v>
      </c>
      <c r="C3176" s="3">
        <v>43252</v>
      </c>
      <c r="D3176" t="s">
        <v>5264</v>
      </c>
      <c r="E3176" s="2" t="s">
        <v>12</v>
      </c>
      <c r="F3176" s="2" t="s">
        <v>12</v>
      </c>
      <c r="G3176" t="s">
        <v>4944</v>
      </c>
      <c r="H3176" t="str">
        <f t="shared" si="98"/>
        <v>https://videplast.com.br/consulta-imobilizado?id=33000043&amp;nome=SOFTWARE%20DE%20MONITORAMENTO%20UPS%20LOGWEB%20NB%20G3%208-10%20KV</v>
      </c>
      <c r="I3176" t="e">
        <f t="shared" ca="1" si="99"/>
        <v>#NAME?</v>
      </c>
    </row>
    <row r="3177" spans="1:9" x14ac:dyDescent="0.25">
      <c r="A3177" s="2" t="s">
        <v>5265</v>
      </c>
      <c r="B3177" s="2" t="s">
        <v>10</v>
      </c>
      <c r="C3177" s="3">
        <v>39082</v>
      </c>
      <c r="D3177" t="s">
        <v>5266</v>
      </c>
      <c r="E3177" s="2" t="s">
        <v>12</v>
      </c>
      <c r="F3177" s="2" t="s">
        <v>12</v>
      </c>
      <c r="G3177" t="s">
        <v>5267</v>
      </c>
      <c r="H3177" t="str">
        <f t="shared" si="98"/>
        <v>https://videplast.com.br/consulta-imobilizado?id=30000204&amp;nome=ESTANTE%20DE%20ACO%206X1</v>
      </c>
      <c r="I3177" t="e">
        <f t="shared" ca="1" si="99"/>
        <v>#NAME?</v>
      </c>
    </row>
    <row r="3178" spans="1:9" x14ac:dyDescent="0.25">
      <c r="A3178" s="2" t="s">
        <v>5268</v>
      </c>
      <c r="B3178" s="2" t="s">
        <v>10</v>
      </c>
      <c r="C3178" s="3">
        <v>39082</v>
      </c>
      <c r="D3178" t="s">
        <v>5266</v>
      </c>
      <c r="E3178" s="2" t="s">
        <v>12</v>
      </c>
      <c r="F3178" s="2" t="s">
        <v>12</v>
      </c>
      <c r="G3178" t="s">
        <v>5267</v>
      </c>
      <c r="H3178" t="str">
        <f t="shared" si="98"/>
        <v>https://videplast.com.br/consulta-imobilizado?id=30000205&amp;nome=ESTANTE%20DE%20ACO%206X1</v>
      </c>
      <c r="I3178" t="e">
        <f t="shared" ca="1" si="99"/>
        <v>#NAME?</v>
      </c>
    </row>
    <row r="3179" spans="1:9" x14ac:dyDescent="0.25">
      <c r="A3179" s="2" t="s">
        <v>5269</v>
      </c>
      <c r="B3179" s="2" t="s">
        <v>10</v>
      </c>
      <c r="C3179" s="3">
        <v>39202</v>
      </c>
      <c r="D3179" t="s">
        <v>5266</v>
      </c>
      <c r="E3179" s="2" t="s">
        <v>12</v>
      </c>
      <c r="F3179" s="2" t="s">
        <v>12</v>
      </c>
      <c r="G3179" t="s">
        <v>5267</v>
      </c>
      <c r="H3179" t="str">
        <f t="shared" si="98"/>
        <v>https://videplast.com.br/consulta-imobilizado?id=30000213&amp;nome=ESTANTE%20DE%20ACO%206X1</v>
      </c>
      <c r="I3179" t="e">
        <f t="shared" ca="1" si="99"/>
        <v>#NAME?</v>
      </c>
    </row>
    <row r="3180" spans="1:9" x14ac:dyDescent="0.25">
      <c r="A3180" s="2" t="s">
        <v>5270</v>
      </c>
      <c r="B3180" s="2" t="s">
        <v>10</v>
      </c>
      <c r="C3180" s="3">
        <v>39813</v>
      </c>
      <c r="D3180" t="s">
        <v>4320</v>
      </c>
      <c r="E3180" s="2" t="s">
        <v>12</v>
      </c>
      <c r="F3180" s="2" t="s">
        <v>12</v>
      </c>
      <c r="G3180" t="s">
        <v>5267</v>
      </c>
      <c r="H3180" t="str">
        <f t="shared" si="98"/>
        <v>https://videplast.com.br/consulta-imobilizado?id=30000227&amp;nome=ESTANTE%20DE%20ACO</v>
      </c>
      <c r="I3180" t="e">
        <f t="shared" ca="1" si="99"/>
        <v>#NAME?</v>
      </c>
    </row>
    <row r="3181" spans="1:9" x14ac:dyDescent="0.25">
      <c r="A3181" s="2" t="s">
        <v>5271</v>
      </c>
      <c r="B3181" s="2" t="s">
        <v>10</v>
      </c>
      <c r="C3181" s="3">
        <v>45516</v>
      </c>
      <c r="D3181" t="s">
        <v>5266</v>
      </c>
      <c r="E3181" s="2" t="s">
        <v>12</v>
      </c>
      <c r="F3181" s="2" t="s">
        <v>12</v>
      </c>
      <c r="G3181" t="s">
        <v>5267</v>
      </c>
      <c r="H3181" t="str">
        <f t="shared" si="98"/>
        <v>https://videplast.com.br/consulta-imobilizado?id=30004270&amp;nome=ESTANTE%20DE%20ACO%206X1</v>
      </c>
      <c r="I3181" t="e">
        <f t="shared" ca="1" si="99"/>
        <v>#NAME?</v>
      </c>
    </row>
    <row r="3182" spans="1:9" x14ac:dyDescent="0.25">
      <c r="A3182" s="2" t="s">
        <v>5272</v>
      </c>
      <c r="B3182" s="2" t="s">
        <v>10</v>
      </c>
      <c r="C3182" s="3">
        <v>45516</v>
      </c>
      <c r="D3182" t="s">
        <v>5266</v>
      </c>
      <c r="E3182" s="2" t="s">
        <v>12</v>
      </c>
      <c r="F3182" s="2" t="s">
        <v>12</v>
      </c>
      <c r="G3182" t="s">
        <v>5267</v>
      </c>
      <c r="H3182" t="str">
        <f t="shared" si="98"/>
        <v>https://videplast.com.br/consulta-imobilizado?id=30004271&amp;nome=ESTANTE%20DE%20ACO%206X1</v>
      </c>
      <c r="I3182" t="e">
        <f t="shared" ca="1" si="99"/>
        <v>#NAME?</v>
      </c>
    </row>
    <row r="3183" spans="1:9" x14ac:dyDescent="0.25">
      <c r="A3183" s="2" t="s">
        <v>5273</v>
      </c>
      <c r="B3183" s="2" t="s">
        <v>10</v>
      </c>
      <c r="C3183" s="3">
        <v>45516</v>
      </c>
      <c r="D3183" t="s">
        <v>5266</v>
      </c>
      <c r="E3183" s="2" t="s">
        <v>12</v>
      </c>
      <c r="F3183" s="2" t="s">
        <v>12</v>
      </c>
      <c r="G3183" t="s">
        <v>5267</v>
      </c>
      <c r="H3183" t="str">
        <f t="shared" si="98"/>
        <v>https://videplast.com.br/consulta-imobilizado?id=30004272&amp;nome=ESTANTE%20DE%20ACO%206X1</v>
      </c>
      <c r="I3183" t="e">
        <f t="shared" ca="1" si="99"/>
        <v>#NAME?</v>
      </c>
    </row>
    <row r="3184" spans="1:9" x14ac:dyDescent="0.25">
      <c r="A3184" s="2" t="s">
        <v>5274</v>
      </c>
      <c r="B3184" s="2" t="s">
        <v>10</v>
      </c>
      <c r="C3184" s="3">
        <v>45516</v>
      </c>
      <c r="D3184" t="s">
        <v>5266</v>
      </c>
      <c r="E3184" s="2" t="s">
        <v>12</v>
      </c>
      <c r="F3184" s="2" t="s">
        <v>12</v>
      </c>
      <c r="G3184" t="s">
        <v>5267</v>
      </c>
      <c r="H3184" t="str">
        <f t="shared" si="98"/>
        <v>https://videplast.com.br/consulta-imobilizado?id=30004273&amp;nome=ESTANTE%20DE%20ACO%206X1</v>
      </c>
      <c r="I3184" t="e">
        <f t="shared" ca="1" si="99"/>
        <v>#NAME?</v>
      </c>
    </row>
    <row r="3185" spans="1:9" x14ac:dyDescent="0.25">
      <c r="A3185" s="2" t="s">
        <v>5275</v>
      </c>
      <c r="B3185" s="2" t="s">
        <v>10</v>
      </c>
      <c r="C3185" s="3">
        <v>45516</v>
      </c>
      <c r="D3185" t="s">
        <v>5266</v>
      </c>
      <c r="E3185" s="2" t="s">
        <v>12</v>
      </c>
      <c r="F3185" s="2" t="s">
        <v>12</v>
      </c>
      <c r="G3185" t="s">
        <v>5267</v>
      </c>
      <c r="H3185" t="str">
        <f t="shared" si="98"/>
        <v>https://videplast.com.br/consulta-imobilizado?id=30004274&amp;nome=ESTANTE%20DE%20ACO%206X1</v>
      </c>
      <c r="I3185" t="e">
        <f t="shared" ca="1" si="99"/>
        <v>#NAME?</v>
      </c>
    </row>
    <row r="3186" spans="1:9" x14ac:dyDescent="0.25">
      <c r="A3186" s="2" t="s">
        <v>5276</v>
      </c>
      <c r="B3186" s="2" t="s">
        <v>10</v>
      </c>
      <c r="C3186" s="3">
        <v>45516</v>
      </c>
      <c r="D3186" t="s">
        <v>5266</v>
      </c>
      <c r="E3186" s="2" t="s">
        <v>12</v>
      </c>
      <c r="F3186" s="2" t="s">
        <v>12</v>
      </c>
      <c r="G3186" t="s">
        <v>5267</v>
      </c>
      <c r="H3186" t="str">
        <f t="shared" si="98"/>
        <v>https://videplast.com.br/consulta-imobilizado?id=30004275&amp;nome=ESTANTE%20DE%20ACO%206X1</v>
      </c>
      <c r="I3186" t="e">
        <f t="shared" ca="1" si="99"/>
        <v>#NAME?</v>
      </c>
    </row>
    <row r="3187" spans="1:9" x14ac:dyDescent="0.25">
      <c r="A3187" s="2" t="s">
        <v>5277</v>
      </c>
      <c r="B3187" s="2" t="s">
        <v>10</v>
      </c>
      <c r="C3187" s="3">
        <v>45516</v>
      </c>
      <c r="D3187" t="s">
        <v>5266</v>
      </c>
      <c r="E3187" s="2" t="s">
        <v>12</v>
      </c>
      <c r="F3187" s="2" t="s">
        <v>12</v>
      </c>
      <c r="G3187" t="s">
        <v>5267</v>
      </c>
      <c r="H3187" t="str">
        <f t="shared" si="98"/>
        <v>https://videplast.com.br/consulta-imobilizado?id=30004276&amp;nome=ESTANTE%20DE%20ACO%206X1</v>
      </c>
      <c r="I3187" t="e">
        <f t="shared" ca="1" si="99"/>
        <v>#NAME?</v>
      </c>
    </row>
    <row r="3188" spans="1:9" x14ac:dyDescent="0.25">
      <c r="A3188" s="2" t="s">
        <v>5278</v>
      </c>
      <c r="B3188" s="2" t="s">
        <v>10</v>
      </c>
      <c r="C3188" s="3">
        <v>45516</v>
      </c>
      <c r="D3188" t="s">
        <v>5266</v>
      </c>
      <c r="E3188" s="2" t="s">
        <v>12</v>
      </c>
      <c r="F3188" s="2" t="s">
        <v>12</v>
      </c>
      <c r="G3188" t="s">
        <v>5267</v>
      </c>
      <c r="H3188" t="str">
        <f t="shared" si="98"/>
        <v>https://videplast.com.br/consulta-imobilizado?id=30004277&amp;nome=ESTANTE%20DE%20ACO%206X1</v>
      </c>
      <c r="I3188" t="e">
        <f t="shared" ca="1" si="99"/>
        <v>#NAME?</v>
      </c>
    </row>
    <row r="3189" spans="1:9" x14ac:dyDescent="0.25">
      <c r="A3189" s="2" t="s">
        <v>5279</v>
      </c>
      <c r="B3189" s="2" t="s">
        <v>10</v>
      </c>
      <c r="C3189" s="3">
        <v>45516</v>
      </c>
      <c r="D3189" t="s">
        <v>5266</v>
      </c>
      <c r="E3189" s="2" t="s">
        <v>12</v>
      </c>
      <c r="F3189" s="2" t="s">
        <v>12</v>
      </c>
      <c r="G3189" t="s">
        <v>5267</v>
      </c>
      <c r="H3189" t="str">
        <f t="shared" si="98"/>
        <v>https://videplast.com.br/consulta-imobilizado?id=30004278&amp;nome=ESTANTE%20DE%20ACO%206X1</v>
      </c>
      <c r="I3189" t="e">
        <f t="shared" ca="1" si="99"/>
        <v>#NAME?</v>
      </c>
    </row>
    <row r="3190" spans="1:9" x14ac:dyDescent="0.25">
      <c r="A3190" s="2" t="s">
        <v>5280</v>
      </c>
      <c r="B3190" s="2" t="s">
        <v>10</v>
      </c>
      <c r="C3190" s="3">
        <v>45516</v>
      </c>
      <c r="D3190" t="s">
        <v>5266</v>
      </c>
      <c r="E3190" s="2" t="s">
        <v>12</v>
      </c>
      <c r="F3190" s="2" t="s">
        <v>12</v>
      </c>
      <c r="G3190" t="s">
        <v>5267</v>
      </c>
      <c r="H3190" t="str">
        <f t="shared" si="98"/>
        <v>https://videplast.com.br/consulta-imobilizado?id=30004279&amp;nome=ESTANTE%20DE%20ACO%206X1</v>
      </c>
      <c r="I3190" t="e">
        <f t="shared" ca="1" si="99"/>
        <v>#NAME?</v>
      </c>
    </row>
    <row r="3191" spans="1:9" x14ac:dyDescent="0.25">
      <c r="A3191" s="2" t="s">
        <v>5281</v>
      </c>
      <c r="B3191" s="2" t="s">
        <v>10</v>
      </c>
      <c r="C3191" s="3">
        <v>45516</v>
      </c>
      <c r="D3191" t="s">
        <v>4320</v>
      </c>
      <c r="E3191" s="2" t="s">
        <v>12</v>
      </c>
      <c r="F3191" s="2" t="s">
        <v>12</v>
      </c>
      <c r="G3191" t="s">
        <v>5267</v>
      </c>
      <c r="H3191" t="str">
        <f t="shared" si="98"/>
        <v>https://videplast.com.br/consulta-imobilizado?id=30004280&amp;nome=ESTANTE%20DE%20ACO</v>
      </c>
      <c r="I3191" t="e">
        <f t="shared" ca="1" si="99"/>
        <v>#NAME?</v>
      </c>
    </row>
    <row r="3192" spans="1:9" x14ac:dyDescent="0.25">
      <c r="A3192" s="2" t="s">
        <v>5282</v>
      </c>
      <c r="B3192" s="2" t="s">
        <v>10</v>
      </c>
      <c r="C3192" s="3">
        <v>45516</v>
      </c>
      <c r="D3192" t="s">
        <v>4320</v>
      </c>
      <c r="E3192" s="2" t="s">
        <v>12</v>
      </c>
      <c r="F3192" s="2" t="s">
        <v>12</v>
      </c>
      <c r="G3192" t="s">
        <v>5267</v>
      </c>
      <c r="H3192" t="str">
        <f t="shared" si="98"/>
        <v>https://videplast.com.br/consulta-imobilizado?id=30004281&amp;nome=ESTANTE%20DE%20ACO</v>
      </c>
      <c r="I3192" t="e">
        <f t="shared" ca="1" si="99"/>
        <v>#NAME?</v>
      </c>
    </row>
    <row r="3193" spans="1:9" x14ac:dyDescent="0.25">
      <c r="A3193" s="2" t="s">
        <v>5283</v>
      </c>
      <c r="B3193" s="2" t="s">
        <v>10</v>
      </c>
      <c r="C3193" s="3">
        <v>45516</v>
      </c>
      <c r="D3193" t="s">
        <v>4320</v>
      </c>
      <c r="E3193" s="2" t="s">
        <v>12</v>
      </c>
      <c r="F3193" s="2" t="s">
        <v>12</v>
      </c>
      <c r="G3193" t="s">
        <v>5267</v>
      </c>
      <c r="H3193" t="str">
        <f t="shared" si="98"/>
        <v>https://videplast.com.br/consulta-imobilizado?id=30004282&amp;nome=ESTANTE%20DE%20ACO</v>
      </c>
      <c r="I3193" t="e">
        <f t="shared" ca="1" si="99"/>
        <v>#NAME?</v>
      </c>
    </row>
    <row r="3194" spans="1:9" x14ac:dyDescent="0.25">
      <c r="A3194" s="2" t="s">
        <v>5284</v>
      </c>
      <c r="B3194" s="2" t="s">
        <v>10</v>
      </c>
      <c r="C3194" s="3">
        <v>45516</v>
      </c>
      <c r="D3194" t="s">
        <v>4320</v>
      </c>
      <c r="E3194" s="2" t="s">
        <v>12</v>
      </c>
      <c r="F3194" s="2" t="s">
        <v>12</v>
      </c>
      <c r="G3194" t="s">
        <v>5267</v>
      </c>
      <c r="H3194" t="str">
        <f t="shared" si="98"/>
        <v>https://videplast.com.br/consulta-imobilizado?id=30004283&amp;nome=ESTANTE%20DE%20ACO</v>
      </c>
      <c r="I3194" t="e">
        <f t="shared" ca="1" si="99"/>
        <v>#NAME?</v>
      </c>
    </row>
    <row r="3195" spans="1:9" x14ac:dyDescent="0.25">
      <c r="A3195" s="2" t="s">
        <v>5285</v>
      </c>
      <c r="B3195" s="2" t="s">
        <v>10</v>
      </c>
      <c r="C3195" s="3">
        <v>45516</v>
      </c>
      <c r="D3195" t="s">
        <v>4320</v>
      </c>
      <c r="E3195" s="2" t="s">
        <v>12</v>
      </c>
      <c r="F3195" s="2" t="s">
        <v>12</v>
      </c>
      <c r="G3195" t="s">
        <v>5267</v>
      </c>
      <c r="H3195" t="str">
        <f t="shared" si="98"/>
        <v>https://videplast.com.br/consulta-imobilizado?id=30004284&amp;nome=ESTANTE%20DE%20ACO</v>
      </c>
      <c r="I3195" t="e">
        <f t="shared" ca="1" si="99"/>
        <v>#NAME?</v>
      </c>
    </row>
    <row r="3196" spans="1:9" x14ac:dyDescent="0.25">
      <c r="A3196" s="2" t="s">
        <v>5286</v>
      </c>
      <c r="B3196" s="2" t="s">
        <v>10</v>
      </c>
      <c r="C3196" s="3">
        <v>45516</v>
      </c>
      <c r="D3196" t="s">
        <v>4320</v>
      </c>
      <c r="E3196" s="2" t="s">
        <v>12</v>
      </c>
      <c r="F3196" s="2" t="s">
        <v>12</v>
      </c>
      <c r="G3196" t="s">
        <v>5267</v>
      </c>
      <c r="H3196" t="str">
        <f t="shared" si="98"/>
        <v>https://videplast.com.br/consulta-imobilizado?id=30004285&amp;nome=ESTANTE%20DE%20ACO</v>
      </c>
      <c r="I3196" t="e">
        <f t="shared" ca="1" si="99"/>
        <v>#NAME?</v>
      </c>
    </row>
    <row r="3197" spans="1:9" x14ac:dyDescent="0.25">
      <c r="A3197" s="2" t="s">
        <v>5287</v>
      </c>
      <c r="B3197" s="2" t="s">
        <v>10</v>
      </c>
      <c r="C3197" s="3">
        <v>45516</v>
      </c>
      <c r="D3197" t="s">
        <v>4320</v>
      </c>
      <c r="E3197" s="2" t="s">
        <v>12</v>
      </c>
      <c r="F3197" s="2" t="s">
        <v>12</v>
      </c>
      <c r="G3197" t="s">
        <v>5267</v>
      </c>
      <c r="H3197" t="str">
        <f t="shared" si="98"/>
        <v>https://videplast.com.br/consulta-imobilizado?id=30004286&amp;nome=ESTANTE%20DE%20ACO</v>
      </c>
      <c r="I3197" t="e">
        <f t="shared" ca="1" si="99"/>
        <v>#NAME?</v>
      </c>
    </row>
    <row r="3198" spans="1:9" x14ac:dyDescent="0.25">
      <c r="A3198" s="2" t="s">
        <v>5288</v>
      </c>
      <c r="B3198" s="2" t="s">
        <v>10</v>
      </c>
      <c r="C3198" s="3">
        <v>45516</v>
      </c>
      <c r="D3198" t="s">
        <v>4320</v>
      </c>
      <c r="E3198" s="2" t="s">
        <v>12</v>
      </c>
      <c r="F3198" s="2" t="s">
        <v>12</v>
      </c>
      <c r="G3198" t="s">
        <v>5267</v>
      </c>
      <c r="H3198" t="str">
        <f t="shared" si="98"/>
        <v>https://videplast.com.br/consulta-imobilizado?id=30004287&amp;nome=ESTANTE%20DE%20ACO</v>
      </c>
      <c r="I3198" t="e">
        <f t="shared" ca="1" si="99"/>
        <v>#NAME?</v>
      </c>
    </row>
    <row r="3199" spans="1:9" x14ac:dyDescent="0.25">
      <c r="A3199" s="2" t="s">
        <v>5289</v>
      </c>
      <c r="B3199" s="2" t="s">
        <v>10</v>
      </c>
      <c r="C3199" s="3">
        <v>45516</v>
      </c>
      <c r="D3199" t="s">
        <v>4320</v>
      </c>
      <c r="E3199" s="2" t="s">
        <v>12</v>
      </c>
      <c r="F3199" s="2" t="s">
        <v>12</v>
      </c>
      <c r="G3199" t="s">
        <v>5267</v>
      </c>
      <c r="H3199" t="str">
        <f t="shared" si="98"/>
        <v>https://videplast.com.br/consulta-imobilizado?id=30004288&amp;nome=ESTANTE%20DE%20ACO</v>
      </c>
      <c r="I3199" t="e">
        <f t="shared" ca="1" si="99"/>
        <v>#NAME?</v>
      </c>
    </row>
    <row r="3200" spans="1:9" x14ac:dyDescent="0.25">
      <c r="A3200" s="2" t="s">
        <v>5290</v>
      </c>
      <c r="B3200" s="2" t="s">
        <v>10</v>
      </c>
      <c r="C3200" s="3">
        <v>42917</v>
      </c>
      <c r="D3200" t="s">
        <v>5291</v>
      </c>
      <c r="E3200" s="2" t="s">
        <v>5292</v>
      </c>
      <c r="F3200" s="2" t="s">
        <v>12</v>
      </c>
      <c r="G3200" t="s">
        <v>5267</v>
      </c>
      <c r="H3200" t="str">
        <f t="shared" si="98"/>
        <v>https://videplast.com.br/consulta-imobilizado?id=32001023&amp;nome=MONITOR%2018,5"%20LED%20LS19C301FSMZD</v>
      </c>
      <c r="I3200" t="e">
        <f t="shared" ca="1" si="99"/>
        <v>#NAME?</v>
      </c>
    </row>
    <row r="3201" spans="1:9" x14ac:dyDescent="0.25">
      <c r="A3201" s="2" t="s">
        <v>5293</v>
      </c>
      <c r="B3201" s="2" t="s">
        <v>10</v>
      </c>
      <c r="C3201" s="3">
        <v>42917</v>
      </c>
      <c r="D3201" t="s">
        <v>5291</v>
      </c>
      <c r="E3201" s="2" t="s">
        <v>5294</v>
      </c>
      <c r="F3201" s="2" t="s">
        <v>12</v>
      </c>
      <c r="G3201" t="s">
        <v>5267</v>
      </c>
      <c r="H3201" t="str">
        <f t="shared" si="98"/>
        <v>https://videplast.com.br/consulta-imobilizado?id=32001024&amp;nome=MONITOR%2018,5"%20LED%20LS19C301FSMZD</v>
      </c>
      <c r="I3201" t="e">
        <f t="shared" ca="1" si="99"/>
        <v>#NAME?</v>
      </c>
    </row>
    <row r="3202" spans="1:9" x14ac:dyDescent="0.25">
      <c r="A3202" s="2" t="s">
        <v>5295</v>
      </c>
      <c r="B3202" s="2" t="s">
        <v>10</v>
      </c>
      <c r="C3202" s="3">
        <v>40147</v>
      </c>
      <c r="D3202" t="s">
        <v>5296</v>
      </c>
      <c r="E3202" s="2" t="s">
        <v>12</v>
      </c>
      <c r="F3202" s="2" t="s">
        <v>12</v>
      </c>
      <c r="G3202" t="s">
        <v>5297</v>
      </c>
      <c r="H3202" t="str">
        <f t="shared" ref="H3202:H3265" si="100" xml:space="preserve"> "https://videplast.com.br/consulta-imobilizado?id=" &amp; A3202 &amp; "&amp;nome=" &amp; SUBSTITUTE(D3202, " ", "%20")</f>
        <v>https://videplast.com.br/consulta-imobilizado?id=11000091&amp;nome=ABRACADEIRA,%20CURVA,%20TAMPA%20CEGA,%20ADAPTADOR</v>
      </c>
      <c r="I3202" t="e">
        <f t="shared" ref="I3202:I3265" ca="1" si="101">_xlfn.IMAGE("https://chart.googleapis.com/chart?chs=150x150&amp;cht=qr&amp;chl=" &amp; H3202)</f>
        <v>#NAME?</v>
      </c>
    </row>
    <row r="3203" spans="1:9" x14ac:dyDescent="0.25">
      <c r="A3203" s="2" t="s">
        <v>5295</v>
      </c>
      <c r="B3203" s="2" t="s">
        <v>26</v>
      </c>
      <c r="C3203" s="3">
        <v>40147</v>
      </c>
      <c r="D3203" t="s">
        <v>5298</v>
      </c>
      <c r="E3203" s="2" t="s">
        <v>12</v>
      </c>
      <c r="F3203" s="2" t="s">
        <v>12</v>
      </c>
      <c r="G3203" t="s">
        <v>5297</v>
      </c>
      <c r="H3203" t="str">
        <f t="shared" si="100"/>
        <v>https://videplast.com.br/consulta-imobilizado?id=11000091&amp;nome=CABO%20SINTENAX%20E%20KIT%20BARRAMENTO</v>
      </c>
      <c r="I3203" t="e">
        <f t="shared" ca="1" si="101"/>
        <v>#NAME?</v>
      </c>
    </row>
    <row r="3204" spans="1:9" x14ac:dyDescent="0.25">
      <c r="A3204" s="2" t="s">
        <v>5295</v>
      </c>
      <c r="B3204" s="2" t="s">
        <v>21</v>
      </c>
      <c r="C3204" s="3">
        <v>40147</v>
      </c>
      <c r="D3204" t="s">
        <v>5299</v>
      </c>
      <c r="E3204" s="2" t="s">
        <v>12</v>
      </c>
      <c r="F3204" s="2" t="s">
        <v>12</v>
      </c>
      <c r="G3204" t="s">
        <v>5297</v>
      </c>
      <c r="H3204" t="str">
        <f t="shared" si="100"/>
        <v>https://videplast.com.br/consulta-imobilizado?id=11000091&amp;nome=TERM.%20TUBULAR%20METRI.TM-150MM,%20LUVA%20EMENDA%20COBRE</v>
      </c>
      <c r="I3204" t="e">
        <f t="shared" ca="1" si="101"/>
        <v>#NAME?</v>
      </c>
    </row>
    <row r="3205" spans="1:9" x14ac:dyDescent="0.25">
      <c r="A3205" s="2" t="s">
        <v>5295</v>
      </c>
      <c r="B3205" s="2" t="s">
        <v>29</v>
      </c>
      <c r="C3205" s="3">
        <v>40147</v>
      </c>
      <c r="D3205" t="s">
        <v>5300</v>
      </c>
      <c r="E3205" s="2" t="s">
        <v>12</v>
      </c>
      <c r="F3205" s="2" t="s">
        <v>12</v>
      </c>
      <c r="G3205" t="s">
        <v>5297</v>
      </c>
      <c r="H3205" t="str">
        <f t="shared" si="100"/>
        <v>https://videplast.com.br/consulta-imobilizado?id=11000091&amp;nome=PAINEL%20EUCATEX,%20TRAVESSA,%20GUIA%20INFERIOR,%20FECHAMENT</v>
      </c>
      <c r="I3205" t="e">
        <f t="shared" ca="1" si="101"/>
        <v>#NAME?</v>
      </c>
    </row>
    <row r="3206" spans="1:9" x14ac:dyDescent="0.25">
      <c r="A3206" s="2" t="s">
        <v>5295</v>
      </c>
      <c r="B3206" s="2" t="s">
        <v>31</v>
      </c>
      <c r="C3206" s="3">
        <v>40147</v>
      </c>
      <c r="D3206" t="s">
        <v>5301</v>
      </c>
      <c r="E3206" s="2" t="s">
        <v>12</v>
      </c>
      <c r="F3206" s="2" t="s">
        <v>12</v>
      </c>
      <c r="G3206" t="s">
        <v>5297</v>
      </c>
      <c r="H3206" t="str">
        <f t="shared" si="100"/>
        <v>https://videplast.com.br/consulta-imobilizado?id=11000091&amp;nome=BAGUETE%20PARA%20VIDRO%20P/SALA%20DO%20CPD%20DA%20FABRICA</v>
      </c>
      <c r="I3206" t="e">
        <f t="shared" ca="1" si="101"/>
        <v>#NAME?</v>
      </c>
    </row>
    <row r="3207" spans="1:9" x14ac:dyDescent="0.25">
      <c r="A3207" s="2" t="s">
        <v>5302</v>
      </c>
      <c r="B3207" s="2" t="s">
        <v>10</v>
      </c>
      <c r="C3207" s="3">
        <v>40816</v>
      </c>
      <c r="D3207" t="s">
        <v>5303</v>
      </c>
      <c r="E3207" s="2" t="s">
        <v>12</v>
      </c>
      <c r="F3207" s="2" t="s">
        <v>12</v>
      </c>
      <c r="G3207" t="s">
        <v>5297</v>
      </c>
      <c r="H3207" t="str">
        <f t="shared" si="100"/>
        <v>https://videplast.com.br/consulta-imobilizado?id=21000663&amp;nome=AR%20CONDICIONADO%20SPLIT%20HI%20WALL%20CARRIER%2022.000%20BTUS</v>
      </c>
      <c r="I3207" t="e">
        <f t="shared" ca="1" si="101"/>
        <v>#NAME?</v>
      </c>
    </row>
    <row r="3208" spans="1:9" x14ac:dyDescent="0.25">
      <c r="A3208" s="2" t="s">
        <v>5304</v>
      </c>
      <c r="B3208" s="2" t="s">
        <v>10</v>
      </c>
      <c r="C3208" s="3">
        <v>41912</v>
      </c>
      <c r="D3208" t="s">
        <v>5305</v>
      </c>
      <c r="E3208" s="2" t="s">
        <v>5306</v>
      </c>
      <c r="F3208" s="2" t="s">
        <v>12</v>
      </c>
      <c r="G3208" t="s">
        <v>5297</v>
      </c>
      <c r="H3208" t="str">
        <f t="shared" si="100"/>
        <v>https://videplast.com.br/consulta-imobilizado?id=21000666&amp;nome=NOBREAK%20UPS%20EATON%20DX%2010%20KVA</v>
      </c>
      <c r="I3208" t="e">
        <f t="shared" ca="1" si="101"/>
        <v>#NAME?</v>
      </c>
    </row>
    <row r="3209" spans="1:9" x14ac:dyDescent="0.25">
      <c r="A3209" s="2" t="s">
        <v>5307</v>
      </c>
      <c r="B3209" s="2" t="s">
        <v>10</v>
      </c>
      <c r="C3209" s="3">
        <v>40877</v>
      </c>
      <c r="D3209" t="s">
        <v>5308</v>
      </c>
      <c r="E3209" s="2" t="s">
        <v>12</v>
      </c>
      <c r="F3209" s="2" t="s">
        <v>12</v>
      </c>
      <c r="G3209" t="s">
        <v>5297</v>
      </c>
      <c r="H3209" t="str">
        <f t="shared" si="100"/>
        <v>https://videplast.com.br/consulta-imobilizado?id=30000111&amp;nome=ARMARIO%20ALTO%20TREVISO%201,60X0,90X0,40</v>
      </c>
      <c r="I3209" t="e">
        <f t="shared" ca="1" si="101"/>
        <v>#NAME?</v>
      </c>
    </row>
    <row r="3210" spans="1:9" x14ac:dyDescent="0.25">
      <c r="A3210" s="2" t="s">
        <v>5309</v>
      </c>
      <c r="B3210" s="2" t="s">
        <v>10</v>
      </c>
      <c r="C3210" s="3">
        <v>41670</v>
      </c>
      <c r="D3210" t="s">
        <v>5310</v>
      </c>
      <c r="E3210" s="2" t="s">
        <v>5311</v>
      </c>
      <c r="F3210" s="2" t="s">
        <v>12</v>
      </c>
      <c r="G3210" t="s">
        <v>5297</v>
      </c>
      <c r="H3210" t="str">
        <f t="shared" si="100"/>
        <v>https://videplast.com.br/consulta-imobilizado?id=30000134&amp;nome=AR%20CONDICIONADO%20SPLIT%20CONSUL%20220V%2022000%20BTU</v>
      </c>
      <c r="I3210" t="e">
        <f t="shared" ca="1" si="101"/>
        <v>#NAME?</v>
      </c>
    </row>
    <row r="3211" spans="1:9" x14ac:dyDescent="0.25">
      <c r="A3211" s="2" t="s">
        <v>5312</v>
      </c>
      <c r="B3211" s="2" t="s">
        <v>10</v>
      </c>
      <c r="C3211" s="3">
        <v>41670</v>
      </c>
      <c r="D3211" t="s">
        <v>5310</v>
      </c>
      <c r="E3211" s="2" t="s">
        <v>5313</v>
      </c>
      <c r="F3211" s="2" t="s">
        <v>12</v>
      </c>
      <c r="G3211" t="s">
        <v>5297</v>
      </c>
      <c r="H3211" t="str">
        <f t="shared" si="100"/>
        <v>https://videplast.com.br/consulta-imobilizado?id=30000135&amp;nome=AR%20CONDICIONADO%20SPLIT%20CONSUL%20220V%2022000%20BTU</v>
      </c>
      <c r="I3211" t="e">
        <f t="shared" ca="1" si="101"/>
        <v>#NAME?</v>
      </c>
    </row>
    <row r="3212" spans="1:9" x14ac:dyDescent="0.25">
      <c r="A3212" s="2" t="s">
        <v>5314</v>
      </c>
      <c r="B3212" s="2" t="s">
        <v>10</v>
      </c>
      <c r="C3212" s="3">
        <v>39082</v>
      </c>
      <c r="D3212" t="s">
        <v>5315</v>
      </c>
      <c r="E3212" s="2" t="s">
        <v>12</v>
      </c>
      <c r="F3212" s="2" t="s">
        <v>12</v>
      </c>
      <c r="G3212" t="s">
        <v>5297</v>
      </c>
      <c r="H3212" t="str">
        <f t="shared" si="100"/>
        <v>https://videplast.com.br/consulta-imobilizado?id=30000203&amp;nome=ARMARIO%20FECHADO%20DA%20FABRICA</v>
      </c>
      <c r="I3212" t="e">
        <f t="shared" ca="1" si="101"/>
        <v>#NAME?</v>
      </c>
    </row>
    <row r="3213" spans="1:9" x14ac:dyDescent="0.25">
      <c r="A3213" s="2" t="s">
        <v>5316</v>
      </c>
      <c r="B3213" s="2" t="s">
        <v>10</v>
      </c>
      <c r="C3213" s="3">
        <v>40209</v>
      </c>
      <c r="D3213" t="s">
        <v>5317</v>
      </c>
      <c r="E3213" s="2" t="s">
        <v>12</v>
      </c>
      <c r="F3213" s="2" t="s">
        <v>12</v>
      </c>
      <c r="G3213" t="s">
        <v>5297</v>
      </c>
      <c r="H3213" t="str">
        <f t="shared" si="100"/>
        <v>https://videplast.com.br/consulta-imobilizado?id=30000231&amp;nome=AR%20CONDICIONADO%20CARRIER%20HIWALL%20SPRINGUER%2018000%20BTU</v>
      </c>
      <c r="I3213" t="e">
        <f t="shared" ca="1" si="101"/>
        <v>#NAME?</v>
      </c>
    </row>
    <row r="3214" spans="1:9" x14ac:dyDescent="0.25">
      <c r="A3214" s="2" t="s">
        <v>5318</v>
      </c>
      <c r="B3214" s="2" t="s">
        <v>10</v>
      </c>
      <c r="C3214" s="3">
        <v>43185</v>
      </c>
      <c r="D3214" t="s">
        <v>5319</v>
      </c>
      <c r="E3214" s="2" t="s">
        <v>12</v>
      </c>
      <c r="F3214" s="2" t="s">
        <v>12</v>
      </c>
      <c r="G3214" t="s">
        <v>5297</v>
      </c>
      <c r="H3214" t="str">
        <f t="shared" si="100"/>
        <v>https://videplast.com.br/consulta-imobilizado?id=30001695&amp;nome=AR%20CONDICIONADO%20SPLIT%20FRIO%20FUJITSU%2027000%20BTU</v>
      </c>
      <c r="I3214" t="e">
        <f t="shared" ca="1" si="101"/>
        <v>#NAME?</v>
      </c>
    </row>
    <row r="3215" spans="1:9" x14ac:dyDescent="0.25">
      <c r="A3215" s="2" t="s">
        <v>5320</v>
      </c>
      <c r="B3215" s="2" t="s">
        <v>10</v>
      </c>
      <c r="C3215" s="3">
        <v>45595</v>
      </c>
      <c r="D3215" t="s">
        <v>5321</v>
      </c>
      <c r="E3215" s="2" t="s">
        <v>5322</v>
      </c>
      <c r="F3215" s="2" t="s">
        <v>5323</v>
      </c>
      <c r="G3215" t="s">
        <v>5297</v>
      </c>
      <c r="H3215" t="str">
        <f t="shared" si="100"/>
        <v>https://videplast.com.br/consulta-imobilizado?id=30004424&amp;nome=AR%20CONDICIONADO%20FRIO%20FUJITSU%20INVERTER%2012000%20BTU</v>
      </c>
      <c r="I3215" t="e">
        <f t="shared" ca="1" si="101"/>
        <v>#NAME?</v>
      </c>
    </row>
    <row r="3216" spans="1:9" x14ac:dyDescent="0.25">
      <c r="A3216" s="2" t="s">
        <v>5324</v>
      </c>
      <c r="B3216" s="2" t="s">
        <v>10</v>
      </c>
      <c r="C3216" s="3">
        <v>40430</v>
      </c>
      <c r="D3216" t="s">
        <v>5325</v>
      </c>
      <c r="E3216" s="2" t="s">
        <v>12</v>
      </c>
      <c r="F3216" s="2" t="s">
        <v>12</v>
      </c>
      <c r="G3216" t="s">
        <v>5297</v>
      </c>
      <c r="H3216" s="5" t="str">
        <f t="shared" si="100"/>
        <v>https://videplast.com.br/consulta-imobilizado?id=32000062&amp;nome=COMPUTADOR%20B2W%20DUAL%20E2180%20VSE%20TOSHIBA</v>
      </c>
      <c r="I3216" t="e">
        <f t="shared" ca="1" si="101"/>
        <v>#NAME?</v>
      </c>
    </row>
    <row r="3217" spans="1:9" x14ac:dyDescent="0.25">
      <c r="A3217" s="2" t="s">
        <v>5326</v>
      </c>
      <c r="B3217" s="2" t="s">
        <v>10</v>
      </c>
      <c r="C3217" s="3">
        <v>40451</v>
      </c>
      <c r="D3217" t="s">
        <v>5325</v>
      </c>
      <c r="E3217" s="2" t="s">
        <v>12</v>
      </c>
      <c r="F3217" s="2" t="s">
        <v>12</v>
      </c>
      <c r="G3217" t="s">
        <v>5297</v>
      </c>
      <c r="H3217" s="5" t="str">
        <f t="shared" si="100"/>
        <v>https://videplast.com.br/consulta-imobilizado?id=32000063&amp;nome=COMPUTADOR%20B2W%20DUAL%20E2180%20VSE%20TOSHIBA</v>
      </c>
      <c r="I3217" t="e">
        <f t="shared" ca="1" si="101"/>
        <v>#NAME?</v>
      </c>
    </row>
    <row r="3218" spans="1:9" x14ac:dyDescent="0.25">
      <c r="A3218" s="2" t="s">
        <v>5327</v>
      </c>
      <c r="B3218" s="2" t="s">
        <v>10</v>
      </c>
      <c r="C3218" s="3">
        <v>40816</v>
      </c>
      <c r="D3218" t="s">
        <v>5328</v>
      </c>
      <c r="E3218" s="2" t="s">
        <v>12</v>
      </c>
      <c r="F3218" s="2" t="s">
        <v>12</v>
      </c>
      <c r="G3218" t="s">
        <v>5297</v>
      </c>
      <c r="H3218" t="str">
        <f t="shared" si="100"/>
        <v>https://videplast.com.br/consulta-imobilizado?id=32000071&amp;nome=GRAVADOR%20DE%20IMAGEM%20DVR%2016C%20RS%20480X480%2016%20AUD</v>
      </c>
      <c r="I3218" t="e">
        <f t="shared" ca="1" si="101"/>
        <v>#NAME?</v>
      </c>
    </row>
    <row r="3219" spans="1:9" x14ac:dyDescent="0.25">
      <c r="A3219" s="2" t="s">
        <v>5329</v>
      </c>
      <c r="B3219" s="2" t="s">
        <v>10</v>
      </c>
      <c r="C3219" s="3">
        <v>40908</v>
      </c>
      <c r="D3219" t="s">
        <v>5330</v>
      </c>
      <c r="E3219" s="2" t="s">
        <v>12</v>
      </c>
      <c r="F3219" s="2" t="s">
        <v>12</v>
      </c>
      <c r="G3219" t="s">
        <v>5297</v>
      </c>
      <c r="H3219" t="str">
        <f t="shared" si="100"/>
        <v>https://videplast.com.br/consulta-imobilizado?id=32000072&amp;nome=HD%20EXTERNO%20LACIE%20D2%20NETWORK%202TB</v>
      </c>
      <c r="I3219" t="e">
        <f t="shared" ca="1" si="101"/>
        <v>#NAME?</v>
      </c>
    </row>
    <row r="3220" spans="1:9" x14ac:dyDescent="0.25">
      <c r="A3220" s="2" t="s">
        <v>5331</v>
      </c>
      <c r="B3220" s="2" t="s">
        <v>10</v>
      </c>
      <c r="C3220" s="3">
        <v>41029</v>
      </c>
      <c r="D3220" t="s">
        <v>5332</v>
      </c>
      <c r="E3220" s="2" t="s">
        <v>12</v>
      </c>
      <c r="F3220" s="2" t="s">
        <v>12</v>
      </c>
      <c r="G3220" t="s">
        <v>5297</v>
      </c>
      <c r="H3220" t="str">
        <f t="shared" si="100"/>
        <v>https://videplast.com.br/consulta-imobilizado?id=32000077&amp;nome=DVR%20STAND%20ALONE%2016%20CANAIS</v>
      </c>
      <c r="I3220" t="e">
        <f t="shared" ca="1" si="101"/>
        <v>#NAME?</v>
      </c>
    </row>
    <row r="3221" spans="1:9" x14ac:dyDescent="0.25">
      <c r="A3221" s="2" t="s">
        <v>5333</v>
      </c>
      <c r="B3221" s="2" t="s">
        <v>10</v>
      </c>
      <c r="C3221" s="3">
        <v>41182</v>
      </c>
      <c r="D3221" t="s">
        <v>5334</v>
      </c>
      <c r="E3221" s="2" t="s">
        <v>12</v>
      </c>
      <c r="F3221" s="2" t="s">
        <v>12</v>
      </c>
      <c r="G3221" t="s">
        <v>5297</v>
      </c>
      <c r="H3221" t="str">
        <f t="shared" si="100"/>
        <v>https://videplast.com.br/consulta-imobilizado?id=32000085&amp;nome=CAMERA%20PROFICIONAL%201/3%20SONY%20700L</v>
      </c>
      <c r="I3221" t="e">
        <f t="shared" ca="1" si="101"/>
        <v>#NAME?</v>
      </c>
    </row>
    <row r="3222" spans="1:9" x14ac:dyDescent="0.25">
      <c r="A3222" s="2" t="s">
        <v>5333</v>
      </c>
      <c r="B3222" s="2" t="s">
        <v>26</v>
      </c>
      <c r="C3222" s="3">
        <v>41182</v>
      </c>
      <c r="D3222" t="s">
        <v>5335</v>
      </c>
      <c r="E3222" s="2" t="s">
        <v>12</v>
      </c>
      <c r="F3222" s="2" t="s">
        <v>12</v>
      </c>
      <c r="G3222" t="s">
        <v>5297</v>
      </c>
      <c r="H3222" t="str">
        <f t="shared" si="100"/>
        <v>https://videplast.com.br/consulta-imobilizado?id=32000085&amp;nome=LENTE%20VARIF%20LARGA%203,5-8MM%20L358%20HIGH</v>
      </c>
      <c r="I3222" t="e">
        <f t="shared" ca="1" si="101"/>
        <v>#NAME?</v>
      </c>
    </row>
    <row r="3223" spans="1:9" x14ac:dyDescent="0.25">
      <c r="A3223" s="2" t="s">
        <v>5336</v>
      </c>
      <c r="B3223" s="2" t="s">
        <v>10</v>
      </c>
      <c r="C3223" s="3">
        <v>41274</v>
      </c>
      <c r="D3223" t="s">
        <v>5337</v>
      </c>
      <c r="E3223" s="2" t="s">
        <v>12</v>
      </c>
      <c r="F3223" s="2" t="s">
        <v>12</v>
      </c>
      <c r="G3223" t="s">
        <v>5297</v>
      </c>
      <c r="H3223" s="5" t="str">
        <f t="shared" si="100"/>
        <v>https://videplast.com.br/consulta-imobilizado?id=32000090&amp;nome=COMPUTADOR%20B2W%20SIM%20I8800%20I3%206GB%201%20TB%20W8</v>
      </c>
      <c r="I3223" t="e">
        <f t="shared" ca="1" si="101"/>
        <v>#NAME?</v>
      </c>
    </row>
    <row r="3224" spans="1:9" x14ac:dyDescent="0.25">
      <c r="A3224" s="2" t="s">
        <v>5338</v>
      </c>
      <c r="B3224" s="2" t="s">
        <v>10</v>
      </c>
      <c r="C3224" s="3">
        <v>41274</v>
      </c>
      <c r="D3224" t="s">
        <v>5339</v>
      </c>
      <c r="E3224" s="2" t="s">
        <v>12</v>
      </c>
      <c r="F3224" s="2" t="s">
        <v>12</v>
      </c>
      <c r="G3224" t="s">
        <v>5297</v>
      </c>
      <c r="H3224" t="str">
        <f t="shared" si="100"/>
        <v>https://videplast.com.br/consulta-imobilizado?id=32000091&amp;nome=MONITOR%20LED%2018,5"%20WIDESCREEN%20E950SW-AOC</v>
      </c>
      <c r="I3224" t="e">
        <f t="shared" ca="1" si="101"/>
        <v>#NAME?</v>
      </c>
    </row>
    <row r="3225" spans="1:9" x14ac:dyDescent="0.25">
      <c r="A3225" s="2" t="s">
        <v>5340</v>
      </c>
      <c r="B3225" s="2" t="s">
        <v>10</v>
      </c>
      <c r="C3225" s="3">
        <v>41455</v>
      </c>
      <c r="D3225" t="s">
        <v>5341</v>
      </c>
      <c r="E3225" s="2" t="s">
        <v>5342</v>
      </c>
      <c r="F3225" s="2" t="s">
        <v>12</v>
      </c>
      <c r="G3225" t="s">
        <v>5297</v>
      </c>
      <c r="H3225" s="5" t="str">
        <f t="shared" si="100"/>
        <v>https://videplast.com.br/consulta-imobilizado?id=32000093&amp;nome=COMPUTADOR%20VIDENET%20I5%208GB%20500G</v>
      </c>
      <c r="I3225" t="e">
        <f t="shared" ca="1" si="101"/>
        <v>#NAME?</v>
      </c>
    </row>
    <row r="3226" spans="1:9" x14ac:dyDescent="0.25">
      <c r="A3226" s="2" t="s">
        <v>5343</v>
      </c>
      <c r="B3226" s="2" t="s">
        <v>10</v>
      </c>
      <c r="C3226" s="3">
        <v>41517</v>
      </c>
      <c r="D3226" t="s">
        <v>5344</v>
      </c>
      <c r="E3226" s="2" t="s">
        <v>5345</v>
      </c>
      <c r="F3226" s="2" t="s">
        <v>12</v>
      </c>
      <c r="G3226" t="s">
        <v>5297</v>
      </c>
      <c r="H3226" t="str">
        <f t="shared" si="100"/>
        <v>https://videplast.com.br/consulta-imobilizado?id=32000094&amp;nome=SERVIDOR%20HP%20ML350P%20GEN8%20XEON</v>
      </c>
      <c r="I3226" t="e">
        <f t="shared" ca="1" si="101"/>
        <v>#NAME?</v>
      </c>
    </row>
    <row r="3227" spans="1:9" x14ac:dyDescent="0.25">
      <c r="A3227" s="2" t="s">
        <v>5346</v>
      </c>
      <c r="B3227" s="2" t="s">
        <v>10</v>
      </c>
      <c r="C3227" s="3">
        <v>41517</v>
      </c>
      <c r="D3227" t="s">
        <v>5347</v>
      </c>
      <c r="E3227" s="2" t="s">
        <v>12</v>
      </c>
      <c r="F3227" s="2" t="s">
        <v>12</v>
      </c>
      <c r="G3227" t="s">
        <v>5297</v>
      </c>
      <c r="H3227" t="str">
        <f t="shared" si="100"/>
        <v>https://videplast.com.br/consulta-imobilizado?id=32000095&amp;nome=DC%20BALUN%20TRANSCEPTOR%20PASSIVO%20DE%20VIDEO%2016%20CANAIS</v>
      </c>
      <c r="I3227" t="e">
        <f t="shared" ca="1" si="101"/>
        <v>#NAME?</v>
      </c>
    </row>
    <row r="3228" spans="1:9" x14ac:dyDescent="0.25">
      <c r="A3228" s="2" t="s">
        <v>5348</v>
      </c>
      <c r="B3228" s="2" t="s">
        <v>10</v>
      </c>
      <c r="C3228" s="3">
        <v>41578</v>
      </c>
      <c r="D3228" t="s">
        <v>2902</v>
      </c>
      <c r="E3228" s="2" t="s">
        <v>5349</v>
      </c>
      <c r="F3228" s="2" t="s">
        <v>12</v>
      </c>
      <c r="G3228" t="s">
        <v>5297</v>
      </c>
      <c r="H3228" t="str">
        <f t="shared" si="100"/>
        <v>https://videplast.com.br/consulta-imobilizado?id=32000096&amp;nome=THIN%20CLIENT%20T510%20HP</v>
      </c>
      <c r="I3228" t="e">
        <f t="shared" ca="1" si="101"/>
        <v>#NAME?</v>
      </c>
    </row>
    <row r="3229" spans="1:9" x14ac:dyDescent="0.25">
      <c r="A3229" s="2" t="s">
        <v>5350</v>
      </c>
      <c r="B3229" s="2" t="s">
        <v>10</v>
      </c>
      <c r="C3229" s="3">
        <v>41698</v>
      </c>
      <c r="D3229" t="s">
        <v>5351</v>
      </c>
      <c r="E3229" s="2" t="s">
        <v>5352</v>
      </c>
      <c r="F3229" s="2" t="s">
        <v>12</v>
      </c>
      <c r="G3229" t="s">
        <v>5297</v>
      </c>
      <c r="H3229" s="5" t="str">
        <f t="shared" si="100"/>
        <v>https://videplast.com.br/consulta-imobilizado?id=32000100&amp;nome=COMPUTADOR%20CPU%20POSITIVO%20I3%20SIM5161%204GB%201TB%20W8</v>
      </c>
      <c r="I3229" t="e">
        <f t="shared" ca="1" si="101"/>
        <v>#NAME?</v>
      </c>
    </row>
    <row r="3230" spans="1:9" x14ac:dyDescent="0.25">
      <c r="A3230" s="2" t="s">
        <v>5353</v>
      </c>
      <c r="B3230" s="2" t="s">
        <v>10</v>
      </c>
      <c r="C3230" s="3">
        <v>41698</v>
      </c>
      <c r="D3230" t="s">
        <v>5351</v>
      </c>
      <c r="E3230" s="2" t="s">
        <v>5354</v>
      </c>
      <c r="F3230" s="2" t="s">
        <v>12</v>
      </c>
      <c r="G3230" t="s">
        <v>5297</v>
      </c>
      <c r="H3230" s="5" t="str">
        <f t="shared" si="100"/>
        <v>https://videplast.com.br/consulta-imobilizado?id=32000101&amp;nome=COMPUTADOR%20CPU%20POSITIVO%20I3%20SIM5161%204GB%201TB%20W8</v>
      </c>
      <c r="I3230" t="e">
        <f t="shared" ca="1" si="101"/>
        <v>#NAME?</v>
      </c>
    </row>
    <row r="3231" spans="1:9" x14ac:dyDescent="0.25">
      <c r="A3231" s="2" t="s">
        <v>5355</v>
      </c>
      <c r="B3231" s="2" t="s">
        <v>10</v>
      </c>
      <c r="C3231" s="3">
        <v>41698</v>
      </c>
      <c r="D3231" t="s">
        <v>5356</v>
      </c>
      <c r="E3231" s="2" t="s">
        <v>5357</v>
      </c>
      <c r="F3231" s="2" t="s">
        <v>12</v>
      </c>
      <c r="G3231" t="s">
        <v>5297</v>
      </c>
      <c r="H3231" t="str">
        <f t="shared" si="100"/>
        <v>https://videplast.com.br/consulta-imobilizado?id=32000102&amp;nome=MONITOR%20LED%2021,5"%20WIDSCREEN%20E2270SWN-AOC</v>
      </c>
      <c r="I3231" t="e">
        <f t="shared" ca="1" si="101"/>
        <v>#NAME?</v>
      </c>
    </row>
    <row r="3232" spans="1:9" x14ac:dyDescent="0.25">
      <c r="A3232" s="2" t="s">
        <v>5358</v>
      </c>
      <c r="B3232" s="2" t="s">
        <v>10</v>
      </c>
      <c r="C3232" s="3">
        <v>41698</v>
      </c>
      <c r="D3232" t="s">
        <v>5356</v>
      </c>
      <c r="E3232" s="2" t="s">
        <v>5359</v>
      </c>
      <c r="F3232" s="2" t="s">
        <v>12</v>
      </c>
      <c r="G3232" t="s">
        <v>5297</v>
      </c>
      <c r="H3232" t="str">
        <f t="shared" si="100"/>
        <v>https://videplast.com.br/consulta-imobilizado?id=32000103&amp;nome=MONITOR%20LED%2021,5"%20WIDSCREEN%20E2270SWN-AOC</v>
      </c>
      <c r="I3232" t="e">
        <f t="shared" ca="1" si="101"/>
        <v>#NAME?</v>
      </c>
    </row>
    <row r="3233" spans="1:9" x14ac:dyDescent="0.25">
      <c r="A3233" s="2" t="s">
        <v>5360</v>
      </c>
      <c r="B3233" s="2" t="s">
        <v>10</v>
      </c>
      <c r="C3233" s="3">
        <v>41698</v>
      </c>
      <c r="D3233" t="s">
        <v>5361</v>
      </c>
      <c r="E3233" s="2" t="s">
        <v>5362</v>
      </c>
      <c r="F3233" s="2" t="s">
        <v>12</v>
      </c>
      <c r="G3233" t="s">
        <v>5297</v>
      </c>
      <c r="H3233" t="str">
        <f t="shared" si="100"/>
        <v>https://videplast.com.br/consulta-imobilizado?id=32000104&amp;nome=MONITOR%20LED%2021,5%20WIDSCREEN%20E2270SWN-AOC</v>
      </c>
      <c r="I3233" t="e">
        <f t="shared" ca="1" si="101"/>
        <v>#NAME?</v>
      </c>
    </row>
    <row r="3234" spans="1:9" x14ac:dyDescent="0.25">
      <c r="A3234" s="2" t="s">
        <v>5363</v>
      </c>
      <c r="B3234" s="2" t="s">
        <v>10</v>
      </c>
      <c r="C3234" s="3">
        <v>41698</v>
      </c>
      <c r="D3234" t="s">
        <v>5361</v>
      </c>
      <c r="E3234" s="2" t="s">
        <v>5364</v>
      </c>
      <c r="F3234" s="2" t="s">
        <v>12</v>
      </c>
      <c r="G3234" t="s">
        <v>5297</v>
      </c>
      <c r="H3234" t="str">
        <f t="shared" si="100"/>
        <v>https://videplast.com.br/consulta-imobilizado?id=32000105&amp;nome=MONITOR%20LED%2021,5%20WIDSCREEN%20E2270SWN-AOC</v>
      </c>
      <c r="I3234" t="e">
        <f t="shared" ca="1" si="101"/>
        <v>#NAME?</v>
      </c>
    </row>
    <row r="3235" spans="1:9" x14ac:dyDescent="0.25">
      <c r="A3235" s="2" t="s">
        <v>5365</v>
      </c>
      <c r="B3235" s="2" t="s">
        <v>10</v>
      </c>
      <c r="C3235" s="3">
        <v>41698</v>
      </c>
      <c r="D3235" t="s">
        <v>5361</v>
      </c>
      <c r="E3235" s="2" t="s">
        <v>5366</v>
      </c>
      <c r="F3235" s="2" t="s">
        <v>12</v>
      </c>
      <c r="G3235" t="s">
        <v>5297</v>
      </c>
      <c r="H3235" t="str">
        <f t="shared" si="100"/>
        <v>https://videplast.com.br/consulta-imobilizado?id=32000106&amp;nome=MONITOR%20LED%2021,5%20WIDSCREEN%20E2270SWN-AOC</v>
      </c>
      <c r="I3235" t="e">
        <f t="shared" ca="1" si="101"/>
        <v>#NAME?</v>
      </c>
    </row>
    <row r="3236" spans="1:9" x14ac:dyDescent="0.25">
      <c r="A3236" s="2" t="s">
        <v>5367</v>
      </c>
      <c r="B3236" s="2" t="s">
        <v>10</v>
      </c>
      <c r="C3236" s="3">
        <v>41698</v>
      </c>
      <c r="D3236" t="s">
        <v>5368</v>
      </c>
      <c r="E3236" s="2" t="s">
        <v>5369</v>
      </c>
      <c r="F3236" s="2" t="s">
        <v>12</v>
      </c>
      <c r="G3236" t="s">
        <v>5297</v>
      </c>
      <c r="H3236" s="5" t="str">
        <f t="shared" si="100"/>
        <v>https://videplast.com.br/consulta-imobilizado?id=32000107&amp;nome=COMPUTADOR%20CPU%20POSITIVO%20SIM5161%20I3%204GB%201TB%20W8</v>
      </c>
      <c r="I3236" t="e">
        <f t="shared" ca="1" si="101"/>
        <v>#NAME?</v>
      </c>
    </row>
    <row r="3237" spans="1:9" x14ac:dyDescent="0.25">
      <c r="A3237" s="2" t="s">
        <v>5370</v>
      </c>
      <c r="B3237" s="2" t="s">
        <v>10</v>
      </c>
      <c r="C3237" s="3">
        <v>41698</v>
      </c>
      <c r="D3237" t="s">
        <v>5368</v>
      </c>
      <c r="E3237" s="2" t="s">
        <v>5371</v>
      </c>
      <c r="F3237" s="2" t="s">
        <v>12</v>
      </c>
      <c r="G3237" t="s">
        <v>5297</v>
      </c>
      <c r="H3237" s="5" t="str">
        <f t="shared" si="100"/>
        <v>https://videplast.com.br/consulta-imobilizado?id=32000108&amp;nome=COMPUTADOR%20CPU%20POSITIVO%20SIM5161%20I3%204GB%201TB%20W8</v>
      </c>
      <c r="I3237" t="e">
        <f t="shared" ca="1" si="101"/>
        <v>#NAME?</v>
      </c>
    </row>
    <row r="3238" spans="1:9" x14ac:dyDescent="0.25">
      <c r="A3238" s="2" t="s">
        <v>5372</v>
      </c>
      <c r="B3238" s="2" t="s">
        <v>10</v>
      </c>
      <c r="C3238" s="3">
        <v>41698</v>
      </c>
      <c r="D3238" t="s">
        <v>5368</v>
      </c>
      <c r="E3238" s="2" t="s">
        <v>5373</v>
      </c>
      <c r="F3238" s="2" t="s">
        <v>12</v>
      </c>
      <c r="G3238" t="s">
        <v>5297</v>
      </c>
      <c r="H3238" s="5" t="str">
        <f t="shared" si="100"/>
        <v>https://videplast.com.br/consulta-imobilizado?id=32000109&amp;nome=COMPUTADOR%20CPU%20POSITIVO%20SIM5161%20I3%204GB%201TB%20W8</v>
      </c>
      <c r="I3238" t="e">
        <f t="shared" ca="1" si="101"/>
        <v>#NAME?</v>
      </c>
    </row>
    <row r="3239" spans="1:9" x14ac:dyDescent="0.25">
      <c r="A3239" s="2" t="s">
        <v>5374</v>
      </c>
      <c r="B3239" s="2" t="s">
        <v>10</v>
      </c>
      <c r="C3239" s="3">
        <v>41698</v>
      </c>
      <c r="D3239" t="s">
        <v>5368</v>
      </c>
      <c r="E3239" s="2" t="s">
        <v>5375</v>
      </c>
      <c r="F3239" s="2" t="s">
        <v>12</v>
      </c>
      <c r="G3239" t="s">
        <v>5297</v>
      </c>
      <c r="H3239" s="5" t="str">
        <f t="shared" si="100"/>
        <v>https://videplast.com.br/consulta-imobilizado?id=32000110&amp;nome=COMPUTADOR%20CPU%20POSITIVO%20SIM5161%20I3%204GB%201TB%20W8</v>
      </c>
      <c r="I3239" t="e">
        <f t="shared" ca="1" si="101"/>
        <v>#NAME?</v>
      </c>
    </row>
    <row r="3240" spans="1:9" x14ac:dyDescent="0.25">
      <c r="A3240" s="2" t="s">
        <v>5376</v>
      </c>
      <c r="B3240" s="2" t="s">
        <v>10</v>
      </c>
      <c r="C3240" s="3">
        <v>41698</v>
      </c>
      <c r="D3240" t="s">
        <v>5368</v>
      </c>
      <c r="E3240" s="2" t="s">
        <v>5377</v>
      </c>
      <c r="F3240" s="2" t="s">
        <v>12</v>
      </c>
      <c r="G3240" t="s">
        <v>5297</v>
      </c>
      <c r="H3240" s="5" t="str">
        <f t="shared" si="100"/>
        <v>https://videplast.com.br/consulta-imobilizado?id=32000111&amp;nome=COMPUTADOR%20CPU%20POSITIVO%20SIM5161%20I3%204GB%201TB%20W8</v>
      </c>
      <c r="I3240" t="e">
        <f t="shared" ca="1" si="101"/>
        <v>#NAME?</v>
      </c>
    </row>
    <row r="3241" spans="1:9" x14ac:dyDescent="0.25">
      <c r="A3241" s="2" t="s">
        <v>5378</v>
      </c>
      <c r="B3241" s="2" t="s">
        <v>10</v>
      </c>
      <c r="C3241" s="3">
        <v>40050</v>
      </c>
      <c r="D3241" t="s">
        <v>5379</v>
      </c>
      <c r="E3241" s="2" t="s">
        <v>12</v>
      </c>
      <c r="F3241" s="2" t="s">
        <v>12</v>
      </c>
      <c r="G3241" t="s">
        <v>5297</v>
      </c>
      <c r="H3241" s="5" t="str">
        <f t="shared" si="100"/>
        <v>https://videplast.com.br/consulta-imobilizado?id=32000197&amp;nome=MICROCOMPUTADOR%20SERVIDOR</v>
      </c>
      <c r="I3241" t="e">
        <f t="shared" ca="1" si="101"/>
        <v>#NAME?</v>
      </c>
    </row>
    <row r="3242" spans="1:9" x14ac:dyDescent="0.25">
      <c r="A3242" s="2" t="s">
        <v>5380</v>
      </c>
      <c r="B3242" s="2" t="s">
        <v>10</v>
      </c>
      <c r="C3242" s="3">
        <v>40602</v>
      </c>
      <c r="D3242" t="s">
        <v>5381</v>
      </c>
      <c r="E3242" s="2" t="s">
        <v>12</v>
      </c>
      <c r="F3242" s="2" t="s">
        <v>12</v>
      </c>
      <c r="G3242" t="s">
        <v>5297</v>
      </c>
      <c r="H3242" t="str">
        <f t="shared" si="100"/>
        <v>https://videplast.com.br/consulta-imobilizado?id=32000212&amp;nome=HD/DISCO%20RIGIDO%20500%20GB%20SATA%20II</v>
      </c>
      <c r="I3242" t="e">
        <f t="shared" ca="1" si="101"/>
        <v>#NAME?</v>
      </c>
    </row>
    <row r="3243" spans="1:9" x14ac:dyDescent="0.25">
      <c r="A3243" s="2" t="s">
        <v>5380</v>
      </c>
      <c r="B3243" s="2" t="s">
        <v>26</v>
      </c>
      <c r="C3243" s="3">
        <v>40602</v>
      </c>
      <c r="D3243" t="s">
        <v>5382</v>
      </c>
      <c r="E3243" s="2" t="s">
        <v>12</v>
      </c>
      <c r="F3243" s="2" t="s">
        <v>12</v>
      </c>
      <c r="G3243" t="s">
        <v>5297</v>
      </c>
      <c r="H3243" t="str">
        <f t="shared" si="100"/>
        <v>https://videplast.com.br/consulta-imobilizado?id=32000212&amp;nome=DVR%20STAND%20ALONE%2016C%20RS%20480%20X%20480%204AUD%20COP%20P/O</v>
      </c>
      <c r="I3243" t="e">
        <f t="shared" ca="1" si="101"/>
        <v>#NAME?</v>
      </c>
    </row>
    <row r="3244" spans="1:9" x14ac:dyDescent="0.25">
      <c r="A3244" s="2" t="s">
        <v>5383</v>
      </c>
      <c r="B3244" s="2" t="s">
        <v>10</v>
      </c>
      <c r="C3244" s="3">
        <v>40602</v>
      </c>
      <c r="D3244" t="s">
        <v>5384</v>
      </c>
      <c r="E3244" s="2" t="s">
        <v>12</v>
      </c>
      <c r="F3244" s="2" t="s">
        <v>12</v>
      </c>
      <c r="G3244" t="s">
        <v>5297</v>
      </c>
      <c r="H3244" t="str">
        <f t="shared" si="100"/>
        <v>https://videplast.com.br/consulta-imobilizado?id=32000214&amp;nome=FITA%20P/%20ETIQUETADORA%20BROTHER%20PT-65/80</v>
      </c>
      <c r="I3244" t="e">
        <f t="shared" ca="1" si="101"/>
        <v>#NAME?</v>
      </c>
    </row>
    <row r="3245" spans="1:9" x14ac:dyDescent="0.25">
      <c r="A3245" s="2" t="s">
        <v>5383</v>
      </c>
      <c r="B3245" s="2" t="s">
        <v>26</v>
      </c>
      <c r="C3245" s="3">
        <v>40602</v>
      </c>
      <c r="D3245" t="s">
        <v>5385</v>
      </c>
      <c r="E3245" s="2" t="s">
        <v>12</v>
      </c>
      <c r="F3245" s="2" t="s">
        <v>12</v>
      </c>
      <c r="G3245" t="s">
        <v>5297</v>
      </c>
      <c r="H3245" t="str">
        <f t="shared" si="100"/>
        <v>https://videplast.com.br/consulta-imobilizado?id=32000214&amp;nome=CONECTOR%20FEMEA%20AUGMENTED%20CAT.6A</v>
      </c>
      <c r="I3245" t="e">
        <f t="shared" ca="1" si="101"/>
        <v>#NAME?</v>
      </c>
    </row>
    <row r="3246" spans="1:9" x14ac:dyDescent="0.25">
      <c r="A3246" s="2" t="s">
        <v>5383</v>
      </c>
      <c r="B3246" s="2" t="s">
        <v>21</v>
      </c>
      <c r="C3246" s="3">
        <v>40602</v>
      </c>
      <c r="D3246" t="s">
        <v>5386</v>
      </c>
      <c r="E3246" s="2" t="s">
        <v>12</v>
      </c>
      <c r="F3246" s="2" t="s">
        <v>12</v>
      </c>
      <c r="G3246" t="s">
        <v>5297</v>
      </c>
      <c r="H3246" t="str">
        <f t="shared" si="100"/>
        <v>https://videplast.com.br/consulta-imobilizado?id=32000214&amp;nome=PATCH%20CORD%20F/UTP%20GIGALAN%20CAT.6A</v>
      </c>
      <c r="I3246" t="e">
        <f t="shared" ca="1" si="101"/>
        <v>#NAME?</v>
      </c>
    </row>
    <row r="3247" spans="1:9" x14ac:dyDescent="0.25">
      <c r="A3247" s="2" t="s">
        <v>5387</v>
      </c>
      <c r="B3247" s="2" t="s">
        <v>10</v>
      </c>
      <c r="C3247" s="3">
        <v>40207</v>
      </c>
      <c r="D3247" t="s">
        <v>5388</v>
      </c>
      <c r="E3247" s="2" t="s">
        <v>12</v>
      </c>
      <c r="F3247" s="2" t="s">
        <v>12</v>
      </c>
      <c r="G3247" t="s">
        <v>5297</v>
      </c>
      <c r="H3247" t="str">
        <f t="shared" si="100"/>
        <v>https://videplast.com.br/consulta-imobilizado?id=32000280&amp;nome=SWITCH%204210%2024%20PORTAS%2010/100%20MBPS</v>
      </c>
      <c r="I3247" t="e">
        <f t="shared" ca="1" si="101"/>
        <v>#NAME?</v>
      </c>
    </row>
    <row r="3248" spans="1:9" x14ac:dyDescent="0.25">
      <c r="A3248" s="2" t="s">
        <v>5389</v>
      </c>
      <c r="B3248" s="2" t="s">
        <v>10</v>
      </c>
      <c r="C3248" s="3">
        <v>40298</v>
      </c>
      <c r="D3248" t="s">
        <v>5390</v>
      </c>
      <c r="E3248" s="2" t="s">
        <v>12</v>
      </c>
      <c r="F3248" s="2" t="s">
        <v>12</v>
      </c>
      <c r="G3248" t="s">
        <v>5297</v>
      </c>
      <c r="H3248" t="str">
        <f t="shared" si="100"/>
        <v>https://videplast.com.br/consulta-imobilizado?id=32000548&amp;nome=SWITCH%203%20COM%2048%20PORTAS%20500-48X</v>
      </c>
      <c r="I3248" t="e">
        <f t="shared" ca="1" si="101"/>
        <v>#NAME?</v>
      </c>
    </row>
    <row r="3249" spans="1:9" x14ac:dyDescent="0.25">
      <c r="A3249" s="2" t="s">
        <v>5391</v>
      </c>
      <c r="B3249" s="2" t="s">
        <v>10</v>
      </c>
      <c r="C3249" s="3">
        <v>42200</v>
      </c>
      <c r="D3249" t="s">
        <v>5392</v>
      </c>
      <c r="E3249" s="2" t="s">
        <v>12</v>
      </c>
      <c r="F3249" s="2" t="s">
        <v>12</v>
      </c>
      <c r="G3249" t="s">
        <v>5297</v>
      </c>
      <c r="H3249" t="str">
        <f t="shared" si="100"/>
        <v>https://videplast.com.br/consulta-imobilizado?id=32000869&amp;nome=NOBREAK%20SAMART%20UPS%20RT%206KVA%204200W</v>
      </c>
      <c r="I3249" t="e">
        <f t="shared" ca="1" si="101"/>
        <v>#NAME?</v>
      </c>
    </row>
    <row r="3250" spans="1:9" x14ac:dyDescent="0.25">
      <c r="A3250" s="2" t="s">
        <v>5393</v>
      </c>
      <c r="B3250" s="2" t="s">
        <v>10</v>
      </c>
      <c r="C3250" s="3">
        <v>42317</v>
      </c>
      <c r="D3250" t="s">
        <v>5394</v>
      </c>
      <c r="E3250" s="2" t="s">
        <v>12</v>
      </c>
      <c r="F3250" s="2" t="s">
        <v>12</v>
      </c>
      <c r="G3250" t="s">
        <v>5297</v>
      </c>
      <c r="H3250" t="str">
        <f t="shared" si="100"/>
        <v>https://videplast.com.br/consulta-imobilizado?id=32000905&amp;nome=HD%20WESTERN%20DIGITAL%206.0%20TB%20SATA%20PURPLE</v>
      </c>
      <c r="I3250" t="e">
        <f t="shared" ca="1" si="101"/>
        <v>#NAME?</v>
      </c>
    </row>
    <row r="3251" spans="1:9" x14ac:dyDescent="0.25">
      <c r="A3251" s="2" t="s">
        <v>5395</v>
      </c>
      <c r="B3251" s="2" t="s">
        <v>10</v>
      </c>
      <c r="C3251" s="3">
        <v>42317</v>
      </c>
      <c r="D3251" t="s">
        <v>5394</v>
      </c>
      <c r="E3251" s="2" t="s">
        <v>12</v>
      </c>
      <c r="F3251" s="2" t="s">
        <v>12</v>
      </c>
      <c r="G3251" t="s">
        <v>5297</v>
      </c>
      <c r="H3251" t="str">
        <f t="shared" si="100"/>
        <v>https://videplast.com.br/consulta-imobilizado?id=32000906&amp;nome=HD%20WESTERN%20DIGITAL%206.0%20TB%20SATA%20PURPLE</v>
      </c>
      <c r="I3251" t="e">
        <f t="shared" ca="1" si="101"/>
        <v>#NAME?</v>
      </c>
    </row>
    <row r="3252" spans="1:9" x14ac:dyDescent="0.25">
      <c r="A3252" s="2" t="s">
        <v>5396</v>
      </c>
      <c r="B3252" s="2" t="s">
        <v>10</v>
      </c>
      <c r="C3252" s="3">
        <v>42317</v>
      </c>
      <c r="D3252" t="s">
        <v>5397</v>
      </c>
      <c r="E3252" s="2" t="s">
        <v>12</v>
      </c>
      <c r="F3252" s="2" t="s">
        <v>12</v>
      </c>
      <c r="G3252" t="s">
        <v>5297</v>
      </c>
      <c r="H3252" t="str">
        <f t="shared" si="100"/>
        <v>https://videplast.com.br/consulta-imobilizado?id=32000907&amp;nome=SWITCH%2024%20PORTAS%20GIGA%204P%20MINI%20INTELBRAS%20POE%20SG%20240</v>
      </c>
      <c r="I3252" t="e">
        <f t="shared" ca="1" si="101"/>
        <v>#NAME?</v>
      </c>
    </row>
    <row r="3253" spans="1:9" x14ac:dyDescent="0.25">
      <c r="A3253" s="2" t="s">
        <v>5398</v>
      </c>
      <c r="B3253" s="2" t="s">
        <v>10</v>
      </c>
      <c r="C3253" s="3">
        <v>42917</v>
      </c>
      <c r="D3253" t="s">
        <v>5291</v>
      </c>
      <c r="E3253" s="2" t="s">
        <v>5399</v>
      </c>
      <c r="F3253" s="2" t="s">
        <v>12</v>
      </c>
      <c r="G3253" t="s">
        <v>5297</v>
      </c>
      <c r="H3253" t="str">
        <f t="shared" si="100"/>
        <v>https://videplast.com.br/consulta-imobilizado?id=32001025&amp;nome=MONITOR%2018,5"%20LED%20LS19C301FSMZD</v>
      </c>
      <c r="I3253" t="e">
        <f t="shared" ca="1" si="101"/>
        <v>#NAME?</v>
      </c>
    </row>
    <row r="3254" spans="1:9" x14ac:dyDescent="0.25">
      <c r="A3254" s="2" t="s">
        <v>5400</v>
      </c>
      <c r="B3254" s="2" t="s">
        <v>10</v>
      </c>
      <c r="C3254" s="3">
        <v>45516</v>
      </c>
      <c r="D3254" t="s">
        <v>5390</v>
      </c>
      <c r="E3254" s="2" t="s">
        <v>12</v>
      </c>
      <c r="F3254" s="2" t="s">
        <v>12</v>
      </c>
      <c r="G3254" t="s">
        <v>5297</v>
      </c>
      <c r="H3254" t="str">
        <f t="shared" si="100"/>
        <v>https://videplast.com.br/consulta-imobilizado?id=32003087&amp;nome=SWITCH%203%20COM%2048%20PORTAS%20500-48X</v>
      </c>
      <c r="I3254" t="e">
        <f t="shared" ca="1" si="101"/>
        <v>#NAME?</v>
      </c>
    </row>
    <row r="3255" spans="1:9" x14ac:dyDescent="0.25">
      <c r="A3255" s="2" t="s">
        <v>5401</v>
      </c>
      <c r="B3255" s="2" t="s">
        <v>10</v>
      </c>
      <c r="C3255" s="3">
        <v>45516</v>
      </c>
      <c r="D3255" t="s">
        <v>5402</v>
      </c>
      <c r="E3255" s="2" t="s">
        <v>12</v>
      </c>
      <c r="F3255" s="2" t="s">
        <v>12</v>
      </c>
      <c r="G3255" t="s">
        <v>5297</v>
      </c>
      <c r="H3255" t="str">
        <f t="shared" si="100"/>
        <v>https://videplast.com.br/consulta-imobilizado?id=32003088&amp;nome=MONITOR%2017"%20SANSUNG</v>
      </c>
      <c r="I3255" t="e">
        <f t="shared" ca="1" si="101"/>
        <v>#NAME?</v>
      </c>
    </row>
    <row r="3256" spans="1:9" x14ac:dyDescent="0.25">
      <c r="A3256" s="2" t="s">
        <v>5403</v>
      </c>
      <c r="B3256" s="2" t="s">
        <v>10</v>
      </c>
      <c r="C3256" s="3">
        <v>45516</v>
      </c>
      <c r="D3256" t="s">
        <v>5402</v>
      </c>
      <c r="E3256" s="2" t="s">
        <v>12</v>
      </c>
      <c r="F3256" s="2" t="s">
        <v>12</v>
      </c>
      <c r="G3256" t="s">
        <v>5297</v>
      </c>
      <c r="H3256" t="str">
        <f t="shared" si="100"/>
        <v>https://videplast.com.br/consulta-imobilizado?id=32003089&amp;nome=MONITOR%2017"%20SANSUNG</v>
      </c>
      <c r="I3256" t="e">
        <f t="shared" ca="1" si="101"/>
        <v>#NAME?</v>
      </c>
    </row>
    <row r="3257" spans="1:9" x14ac:dyDescent="0.25">
      <c r="A3257" s="2" t="s">
        <v>5404</v>
      </c>
      <c r="B3257" s="2" t="s">
        <v>10</v>
      </c>
      <c r="C3257" s="3">
        <v>42264</v>
      </c>
      <c r="D3257" t="s">
        <v>3584</v>
      </c>
      <c r="E3257" s="2" t="s">
        <v>5405</v>
      </c>
      <c r="F3257" s="2" t="s">
        <v>12</v>
      </c>
      <c r="G3257" t="s">
        <v>5406</v>
      </c>
      <c r="H3257" t="str">
        <f t="shared" si="100"/>
        <v>https://videplast.com.br/consulta-imobilizado?id=30001258&amp;nome=AR%20CONDICIONADO%20SPLIT%20CARRIER%2058000%20BTU</v>
      </c>
      <c r="I3257" t="e">
        <f t="shared" ca="1" si="101"/>
        <v>#NAME?</v>
      </c>
    </row>
    <row r="3258" spans="1:9" x14ac:dyDescent="0.25">
      <c r="A3258" s="2" t="s">
        <v>5407</v>
      </c>
      <c r="B3258" s="2" t="s">
        <v>10</v>
      </c>
      <c r="C3258" s="3">
        <v>42264</v>
      </c>
      <c r="D3258" t="s">
        <v>3584</v>
      </c>
      <c r="E3258" s="2" t="s">
        <v>5408</v>
      </c>
      <c r="F3258" s="2" t="s">
        <v>12</v>
      </c>
      <c r="G3258" t="s">
        <v>5406</v>
      </c>
      <c r="H3258" t="str">
        <f t="shared" si="100"/>
        <v>https://videplast.com.br/consulta-imobilizado?id=30001259&amp;nome=AR%20CONDICIONADO%20SPLIT%20CARRIER%2058000%20BTU</v>
      </c>
      <c r="I3258" t="e">
        <f t="shared" ca="1" si="101"/>
        <v>#NAME?</v>
      </c>
    </row>
    <row r="3259" spans="1:9" x14ac:dyDescent="0.25">
      <c r="A3259" s="2" t="s">
        <v>5409</v>
      </c>
      <c r="B3259" s="2" t="s">
        <v>10</v>
      </c>
      <c r="C3259" s="3">
        <v>43006</v>
      </c>
      <c r="D3259" t="s">
        <v>5410</v>
      </c>
      <c r="E3259" s="2" t="s">
        <v>12</v>
      </c>
      <c r="F3259" s="2" t="s">
        <v>12</v>
      </c>
      <c r="G3259" t="s">
        <v>5406</v>
      </c>
      <c r="H3259" t="str">
        <f t="shared" si="100"/>
        <v>https://videplast.com.br/consulta-imobilizado?id=30001643&amp;nome=BEBEDOURO%20BAG-40</v>
      </c>
      <c r="I3259" t="e">
        <f t="shared" ca="1" si="101"/>
        <v>#NAME?</v>
      </c>
    </row>
    <row r="3260" spans="1:9" x14ac:dyDescent="0.25">
      <c r="A3260" s="2" t="s">
        <v>5411</v>
      </c>
      <c r="B3260" s="2" t="s">
        <v>10</v>
      </c>
      <c r="C3260" s="3">
        <v>43006</v>
      </c>
      <c r="D3260" t="s">
        <v>5412</v>
      </c>
      <c r="E3260" s="2" t="s">
        <v>12</v>
      </c>
      <c r="F3260" s="2" t="s">
        <v>12</v>
      </c>
      <c r="G3260" t="s">
        <v>5406</v>
      </c>
      <c r="H3260" t="str">
        <f t="shared" si="100"/>
        <v>https://videplast.com.br/consulta-imobilizado?id=30001644&amp;nome=PURIFICADOR%20RF-600%20ESPECIALE</v>
      </c>
      <c r="I3260" t="e">
        <f t="shared" ca="1" si="101"/>
        <v>#NAME?</v>
      </c>
    </row>
    <row r="3261" spans="1:9" x14ac:dyDescent="0.25">
      <c r="A3261" s="2" t="s">
        <v>5413</v>
      </c>
      <c r="B3261" s="2" t="s">
        <v>10</v>
      </c>
      <c r="C3261" s="3">
        <v>43559</v>
      </c>
      <c r="D3261" t="s">
        <v>2294</v>
      </c>
      <c r="E3261" s="2" t="s">
        <v>12</v>
      </c>
      <c r="F3261" s="2" t="s">
        <v>12</v>
      </c>
      <c r="G3261" t="s">
        <v>5406</v>
      </c>
      <c r="H3261" s="5" t="str">
        <f t="shared" si="100"/>
        <v>https://videplast.com.br/consulta-imobilizado?id=32001327&amp;nome=COMPUTADOR%20DELL%20VOSTRO%20I3%204GB%20HD%201TB%20W10P</v>
      </c>
      <c r="I3261" t="e">
        <f t="shared" ca="1" si="101"/>
        <v>#NAME?</v>
      </c>
    </row>
    <row r="3262" spans="1:9" x14ac:dyDescent="0.25">
      <c r="A3262" s="2" t="s">
        <v>5414</v>
      </c>
      <c r="B3262" s="2" t="s">
        <v>10</v>
      </c>
      <c r="C3262" s="3">
        <v>43559</v>
      </c>
      <c r="D3262" t="s">
        <v>515</v>
      </c>
      <c r="E3262" s="2" t="s">
        <v>12</v>
      </c>
      <c r="F3262" s="2" t="s">
        <v>5415</v>
      </c>
      <c r="G3262" t="s">
        <v>5406</v>
      </c>
      <c r="H3262" t="str">
        <f t="shared" si="100"/>
        <v>https://videplast.com.br/consulta-imobilizado?id=32001332&amp;nome=MONITOR%20LED%2018,5"%20DELL%20E1916H</v>
      </c>
      <c r="I3262" t="e">
        <f t="shared" ca="1" si="101"/>
        <v>#NAME?</v>
      </c>
    </row>
    <row r="3263" spans="1:9" x14ac:dyDescent="0.25">
      <c r="A3263" s="2" t="s">
        <v>5416</v>
      </c>
      <c r="B3263" s="2" t="s">
        <v>10</v>
      </c>
      <c r="C3263" s="3">
        <v>44656</v>
      </c>
      <c r="D3263" t="s">
        <v>5417</v>
      </c>
      <c r="E3263" s="2" t="s">
        <v>5418</v>
      </c>
      <c r="F3263" s="2" t="s">
        <v>12</v>
      </c>
      <c r="G3263" t="s">
        <v>5406</v>
      </c>
      <c r="H3263" t="str">
        <f t="shared" si="100"/>
        <v>https://videplast.com.br/consulta-imobilizado?id=32002285&amp;nome=PROJETOR%20EPSON%20FH52%20+%204000%20LUMENS</v>
      </c>
      <c r="I3263" t="e">
        <f t="shared" ca="1" si="101"/>
        <v>#NAME?</v>
      </c>
    </row>
    <row r="3264" spans="1:9" x14ac:dyDescent="0.25">
      <c r="A3264" s="2" t="s">
        <v>5419</v>
      </c>
      <c r="B3264" s="2" t="s">
        <v>10</v>
      </c>
      <c r="C3264" s="3">
        <v>42726</v>
      </c>
      <c r="D3264" t="s">
        <v>5420</v>
      </c>
      <c r="E3264" s="2" t="s">
        <v>12</v>
      </c>
      <c r="F3264" s="2" t="s">
        <v>12</v>
      </c>
      <c r="G3264" t="s">
        <v>5421</v>
      </c>
      <c r="H3264" t="str">
        <f t="shared" si="100"/>
        <v>https://videplast.com.br/consulta-imobilizado?id=11000140&amp;nome=VESTIARIOS%20MASCULINOS%20E%20FEMININOS%20185,16M2</v>
      </c>
      <c r="I3264" t="e">
        <f t="shared" ca="1" si="101"/>
        <v>#NAME?</v>
      </c>
    </row>
    <row r="3265" spans="1:9" x14ac:dyDescent="0.25">
      <c r="A3265" s="2" t="s">
        <v>5419</v>
      </c>
      <c r="B3265" s="2" t="s">
        <v>26</v>
      </c>
      <c r="C3265" s="3">
        <v>44183</v>
      </c>
      <c r="D3265" t="s">
        <v>5422</v>
      </c>
      <c r="E3265" s="2" t="s">
        <v>12</v>
      </c>
      <c r="F3265" s="2" t="s">
        <v>12</v>
      </c>
      <c r="G3265" t="s">
        <v>5421</v>
      </c>
      <c r="H3265" t="str">
        <f t="shared" si="100"/>
        <v>https://videplast.com.br/consulta-imobilizado?id=11000140&amp;nome=ADEQUAÇÃO%20VESTIARIOS%20E%20RH</v>
      </c>
      <c r="I3265" t="e">
        <f t="shared" ca="1" si="101"/>
        <v>#NAME?</v>
      </c>
    </row>
    <row r="3266" spans="1:9" x14ac:dyDescent="0.25">
      <c r="A3266" s="2" t="s">
        <v>5423</v>
      </c>
      <c r="B3266" s="2" t="s">
        <v>10</v>
      </c>
      <c r="C3266" s="3">
        <v>44330</v>
      </c>
      <c r="D3266" t="s">
        <v>5424</v>
      </c>
      <c r="E3266" s="2" t="s">
        <v>12</v>
      </c>
      <c r="F3266" s="2" t="s">
        <v>12</v>
      </c>
      <c r="G3266" t="s">
        <v>5421</v>
      </c>
      <c r="H3266" t="str">
        <f t="shared" ref="H3266:H3329" si="102" xml:space="preserve"> "https://videplast.com.br/consulta-imobilizado?id=" &amp; A3266 &amp; "&amp;nome=" &amp; SUBSTITUTE(D3266, " ", "%20")</f>
        <v>https://videplast.com.br/consulta-imobilizado?id=30003453&amp;nome=ARMARIO%20ACO%20100%20PORTAS%201140X2060X280MM</v>
      </c>
      <c r="I3266" t="e">
        <f t="shared" ref="I3266:I3329" ca="1" si="103">_xlfn.IMAGE("https://chart.googleapis.com/chart?chs=150x150&amp;cht=qr&amp;chl=" &amp; H3266)</f>
        <v>#NAME?</v>
      </c>
    </row>
    <row r="3267" spans="1:9" x14ac:dyDescent="0.25">
      <c r="A3267" s="2" t="s">
        <v>5425</v>
      </c>
      <c r="B3267" s="2" t="s">
        <v>10</v>
      </c>
      <c r="C3267" s="3">
        <v>44421</v>
      </c>
      <c r="D3267" t="s">
        <v>5426</v>
      </c>
      <c r="E3267" s="2" t="s">
        <v>12</v>
      </c>
      <c r="F3267" s="2" t="s">
        <v>12</v>
      </c>
      <c r="G3267" t="s">
        <v>5421</v>
      </c>
      <c r="H3267" t="str">
        <f t="shared" si="102"/>
        <v>https://videplast.com.br/consulta-imobilizado?id=30003498&amp;nome=ARMARIO%20DE%20ACO%2016%20PORTAS%20C/%20CADEADO%20CH26</v>
      </c>
      <c r="I3267" t="e">
        <f t="shared" ca="1" si="103"/>
        <v>#NAME?</v>
      </c>
    </row>
    <row r="3268" spans="1:9" x14ac:dyDescent="0.25">
      <c r="A3268" s="2" t="s">
        <v>5427</v>
      </c>
      <c r="B3268" s="2" t="s">
        <v>10</v>
      </c>
      <c r="C3268" s="3">
        <v>44421</v>
      </c>
      <c r="D3268" t="s">
        <v>5426</v>
      </c>
      <c r="E3268" s="2" t="s">
        <v>12</v>
      </c>
      <c r="F3268" s="2" t="s">
        <v>12</v>
      </c>
      <c r="G3268" t="s">
        <v>5421</v>
      </c>
      <c r="H3268" t="str">
        <f t="shared" si="102"/>
        <v>https://videplast.com.br/consulta-imobilizado?id=30003499&amp;nome=ARMARIO%20DE%20ACO%2016%20PORTAS%20C/%20CADEADO%20CH26</v>
      </c>
      <c r="I3268" t="e">
        <f t="shared" ca="1" si="103"/>
        <v>#NAME?</v>
      </c>
    </row>
    <row r="3269" spans="1:9" x14ac:dyDescent="0.25">
      <c r="A3269" s="2" t="s">
        <v>5428</v>
      </c>
      <c r="B3269" s="2" t="s">
        <v>10</v>
      </c>
      <c r="C3269" s="3">
        <v>44802</v>
      </c>
      <c r="D3269" t="s">
        <v>5429</v>
      </c>
      <c r="E3269" s="2" t="s">
        <v>12</v>
      </c>
      <c r="F3269" s="2" t="s">
        <v>12</v>
      </c>
      <c r="G3269" t="s">
        <v>5421</v>
      </c>
      <c r="H3269" t="str">
        <f t="shared" si="102"/>
        <v>https://videplast.com.br/consulta-imobilizado?id=30003668&amp;nome=ARMARIO%20MDF%202%20PORTAS%20E%204%20DIVISORIAS%201800x800x400MM</v>
      </c>
      <c r="I3269" t="e">
        <f t="shared" ca="1" si="103"/>
        <v>#NAME?</v>
      </c>
    </row>
    <row r="3270" spans="1:9" x14ac:dyDescent="0.25">
      <c r="A3270" s="2" t="s">
        <v>5430</v>
      </c>
      <c r="B3270" s="2" t="s">
        <v>10</v>
      </c>
      <c r="C3270" s="3">
        <v>44895</v>
      </c>
      <c r="D3270" t="s">
        <v>5431</v>
      </c>
      <c r="E3270" s="2" t="s">
        <v>5432</v>
      </c>
      <c r="F3270" s="2" t="s">
        <v>12</v>
      </c>
      <c r="G3270" t="s">
        <v>5421</v>
      </c>
      <c r="H3270" t="str">
        <f t="shared" si="102"/>
        <v>https://videplast.com.br/consulta-imobilizado?id=30003698&amp;nome=ARMARIO%201,96X1,23X0,36%20C/%20CADEADO%20E%20PORTA%20VERMELHA</v>
      </c>
      <c r="I3270" t="e">
        <f t="shared" ca="1" si="103"/>
        <v>#NAME?</v>
      </c>
    </row>
    <row r="3271" spans="1:9" x14ac:dyDescent="0.25">
      <c r="A3271" s="2" t="s">
        <v>5433</v>
      </c>
      <c r="B3271" s="2" t="s">
        <v>10</v>
      </c>
      <c r="C3271" s="3">
        <v>44895</v>
      </c>
      <c r="D3271" t="s">
        <v>5431</v>
      </c>
      <c r="E3271" s="2" t="s">
        <v>5434</v>
      </c>
      <c r="F3271" s="2" t="s">
        <v>12</v>
      </c>
      <c r="G3271" t="s">
        <v>5421</v>
      </c>
      <c r="H3271" t="str">
        <f t="shared" si="102"/>
        <v>https://videplast.com.br/consulta-imobilizado?id=30003699&amp;nome=ARMARIO%201,96X1,23X0,36%20C/%20CADEADO%20E%20PORTA%20VERMELHA</v>
      </c>
      <c r="I3271" t="e">
        <f t="shared" ca="1" si="103"/>
        <v>#NAME?</v>
      </c>
    </row>
    <row r="3272" spans="1:9" x14ac:dyDescent="0.25">
      <c r="A3272" s="2" t="s">
        <v>5435</v>
      </c>
      <c r="B3272" s="2" t="s">
        <v>10</v>
      </c>
      <c r="C3272" s="3">
        <v>44895</v>
      </c>
      <c r="D3272" t="s">
        <v>5431</v>
      </c>
      <c r="E3272" s="2" t="s">
        <v>5436</v>
      </c>
      <c r="F3272" s="2" t="s">
        <v>12</v>
      </c>
      <c r="G3272" t="s">
        <v>5421</v>
      </c>
      <c r="H3272" t="str">
        <f t="shared" si="102"/>
        <v>https://videplast.com.br/consulta-imobilizado?id=30003700&amp;nome=ARMARIO%201,96X1,23X0,36%20C/%20CADEADO%20E%20PORTA%20VERMELHA</v>
      </c>
      <c r="I3272" t="e">
        <f t="shared" ca="1" si="103"/>
        <v>#NAME?</v>
      </c>
    </row>
    <row r="3273" spans="1:9" x14ac:dyDescent="0.25">
      <c r="A3273" s="2" t="s">
        <v>5437</v>
      </c>
      <c r="B3273" s="2" t="s">
        <v>10</v>
      </c>
      <c r="C3273" s="3">
        <v>44895</v>
      </c>
      <c r="D3273" t="s">
        <v>5431</v>
      </c>
      <c r="E3273" s="2" t="s">
        <v>5438</v>
      </c>
      <c r="F3273" s="2" t="s">
        <v>12</v>
      </c>
      <c r="G3273" t="s">
        <v>5421</v>
      </c>
      <c r="H3273" t="str">
        <f t="shared" si="102"/>
        <v>https://videplast.com.br/consulta-imobilizado?id=30003701&amp;nome=ARMARIO%201,96X1,23X0,36%20C/%20CADEADO%20E%20PORTA%20VERMELHA</v>
      </c>
      <c r="I3273" t="e">
        <f t="shared" ca="1" si="103"/>
        <v>#NAME?</v>
      </c>
    </row>
    <row r="3274" spans="1:9" x14ac:dyDescent="0.25">
      <c r="A3274" s="2" t="s">
        <v>5439</v>
      </c>
      <c r="B3274" s="2" t="s">
        <v>10</v>
      </c>
      <c r="C3274" s="3">
        <v>44895</v>
      </c>
      <c r="D3274" t="s">
        <v>5431</v>
      </c>
      <c r="E3274" s="2" t="s">
        <v>5440</v>
      </c>
      <c r="F3274" s="2" t="s">
        <v>12</v>
      </c>
      <c r="G3274" t="s">
        <v>5421</v>
      </c>
      <c r="H3274" t="str">
        <f t="shared" si="102"/>
        <v>https://videplast.com.br/consulta-imobilizado?id=30003702&amp;nome=ARMARIO%201,96X1,23X0,36%20C/%20CADEADO%20E%20PORTA%20VERMELHA</v>
      </c>
      <c r="I3274" t="e">
        <f t="shared" ca="1" si="103"/>
        <v>#NAME?</v>
      </c>
    </row>
    <row r="3275" spans="1:9" x14ac:dyDescent="0.25">
      <c r="A3275" s="2" t="s">
        <v>5441</v>
      </c>
      <c r="B3275" s="2" t="s">
        <v>10</v>
      </c>
      <c r="C3275" s="3">
        <v>44895</v>
      </c>
      <c r="D3275" t="s">
        <v>5431</v>
      </c>
      <c r="E3275" s="2" t="s">
        <v>5442</v>
      </c>
      <c r="F3275" s="2" t="s">
        <v>12</v>
      </c>
      <c r="G3275" t="s">
        <v>5421</v>
      </c>
      <c r="H3275" t="str">
        <f t="shared" si="102"/>
        <v>https://videplast.com.br/consulta-imobilizado?id=30003703&amp;nome=ARMARIO%201,96X1,23X0,36%20C/%20CADEADO%20E%20PORTA%20VERMELHA</v>
      </c>
      <c r="I3275" t="e">
        <f t="shared" ca="1" si="103"/>
        <v>#NAME?</v>
      </c>
    </row>
    <row r="3276" spans="1:9" x14ac:dyDescent="0.25">
      <c r="A3276" s="2" t="s">
        <v>5443</v>
      </c>
      <c r="B3276" s="2" t="s">
        <v>10</v>
      </c>
      <c r="C3276" s="3">
        <v>44895</v>
      </c>
      <c r="D3276" t="s">
        <v>5431</v>
      </c>
      <c r="E3276" s="2" t="s">
        <v>5444</v>
      </c>
      <c r="F3276" s="2" t="s">
        <v>12</v>
      </c>
      <c r="G3276" t="s">
        <v>5421</v>
      </c>
      <c r="H3276" t="str">
        <f t="shared" si="102"/>
        <v>https://videplast.com.br/consulta-imobilizado?id=30003704&amp;nome=ARMARIO%201,96X1,23X0,36%20C/%20CADEADO%20E%20PORTA%20VERMELHA</v>
      </c>
      <c r="I3276" t="e">
        <f t="shared" ca="1" si="103"/>
        <v>#NAME?</v>
      </c>
    </row>
    <row r="3277" spans="1:9" x14ac:dyDescent="0.25">
      <c r="A3277" s="2" t="s">
        <v>5445</v>
      </c>
      <c r="B3277" s="2" t="s">
        <v>10</v>
      </c>
      <c r="C3277" s="3">
        <v>44895</v>
      </c>
      <c r="D3277" t="s">
        <v>5431</v>
      </c>
      <c r="E3277" s="2" t="s">
        <v>5446</v>
      </c>
      <c r="F3277" s="2" t="s">
        <v>12</v>
      </c>
      <c r="G3277" t="s">
        <v>5421</v>
      </c>
      <c r="H3277" t="str">
        <f t="shared" si="102"/>
        <v>https://videplast.com.br/consulta-imobilizado?id=30003705&amp;nome=ARMARIO%201,96X1,23X0,36%20C/%20CADEADO%20E%20PORTA%20VERMELHA</v>
      </c>
      <c r="I3277" t="e">
        <f t="shared" ca="1" si="103"/>
        <v>#NAME?</v>
      </c>
    </row>
    <row r="3278" spans="1:9" x14ac:dyDescent="0.25">
      <c r="A3278" s="2" t="s">
        <v>5447</v>
      </c>
      <c r="B3278" s="2" t="s">
        <v>10</v>
      </c>
      <c r="C3278" s="3">
        <v>44895</v>
      </c>
      <c r="D3278" t="s">
        <v>5431</v>
      </c>
      <c r="E3278" s="2" t="s">
        <v>5448</v>
      </c>
      <c r="F3278" s="2" t="s">
        <v>12</v>
      </c>
      <c r="G3278" t="s">
        <v>5421</v>
      </c>
      <c r="H3278" t="str">
        <f t="shared" si="102"/>
        <v>https://videplast.com.br/consulta-imobilizado?id=30003706&amp;nome=ARMARIO%201,96X1,23X0,36%20C/%20CADEADO%20E%20PORTA%20VERMELHA</v>
      </c>
      <c r="I3278" t="e">
        <f t="shared" ca="1" si="103"/>
        <v>#NAME?</v>
      </c>
    </row>
    <row r="3279" spans="1:9" x14ac:dyDescent="0.25">
      <c r="A3279" s="2" t="s">
        <v>5449</v>
      </c>
      <c r="B3279" s="2" t="s">
        <v>10</v>
      </c>
      <c r="C3279" s="3">
        <v>44895</v>
      </c>
      <c r="D3279" t="s">
        <v>5431</v>
      </c>
      <c r="E3279" s="2" t="s">
        <v>5450</v>
      </c>
      <c r="F3279" s="2" t="s">
        <v>12</v>
      </c>
      <c r="G3279" t="s">
        <v>5421</v>
      </c>
      <c r="H3279" t="str">
        <f t="shared" si="102"/>
        <v>https://videplast.com.br/consulta-imobilizado?id=30003707&amp;nome=ARMARIO%201,96X1,23X0,36%20C/%20CADEADO%20E%20PORTA%20VERMELHA</v>
      </c>
      <c r="I3279" t="e">
        <f t="shared" ca="1" si="103"/>
        <v>#NAME?</v>
      </c>
    </row>
    <row r="3280" spans="1:9" x14ac:dyDescent="0.25">
      <c r="A3280" s="2" t="s">
        <v>5451</v>
      </c>
      <c r="B3280" s="2" t="s">
        <v>10</v>
      </c>
      <c r="C3280" s="3">
        <v>44895</v>
      </c>
      <c r="D3280" t="s">
        <v>5431</v>
      </c>
      <c r="E3280" s="2" t="s">
        <v>5452</v>
      </c>
      <c r="F3280" s="2" t="s">
        <v>12</v>
      </c>
      <c r="G3280" t="s">
        <v>5421</v>
      </c>
      <c r="H3280" t="str">
        <f t="shared" si="102"/>
        <v>https://videplast.com.br/consulta-imobilizado?id=30003708&amp;nome=ARMARIO%201,96X1,23X0,36%20C/%20CADEADO%20E%20PORTA%20VERMELHA</v>
      </c>
      <c r="I3280" t="e">
        <f t="shared" ca="1" si="103"/>
        <v>#NAME?</v>
      </c>
    </row>
    <row r="3281" spans="1:9" x14ac:dyDescent="0.25">
      <c r="A3281" s="2" t="s">
        <v>5453</v>
      </c>
      <c r="B3281" s="2" t="s">
        <v>10</v>
      </c>
      <c r="C3281" s="3">
        <v>44895</v>
      </c>
      <c r="D3281" t="s">
        <v>5431</v>
      </c>
      <c r="E3281" s="2" t="s">
        <v>5454</v>
      </c>
      <c r="F3281" s="2" t="s">
        <v>12</v>
      </c>
      <c r="G3281" t="s">
        <v>5421</v>
      </c>
      <c r="H3281" t="str">
        <f t="shared" si="102"/>
        <v>https://videplast.com.br/consulta-imobilizado?id=30003709&amp;nome=ARMARIO%201,96X1,23X0,36%20C/%20CADEADO%20E%20PORTA%20VERMELHA</v>
      </c>
      <c r="I3281" t="e">
        <f t="shared" ca="1" si="103"/>
        <v>#NAME?</v>
      </c>
    </row>
    <row r="3282" spans="1:9" x14ac:dyDescent="0.25">
      <c r="A3282" s="2" t="s">
        <v>5455</v>
      </c>
      <c r="B3282" s="2" t="s">
        <v>10</v>
      </c>
      <c r="C3282" s="3">
        <v>44895</v>
      </c>
      <c r="D3282" t="s">
        <v>5431</v>
      </c>
      <c r="E3282" s="2" t="s">
        <v>5456</v>
      </c>
      <c r="F3282" s="2" t="s">
        <v>12</v>
      </c>
      <c r="G3282" t="s">
        <v>5421</v>
      </c>
      <c r="H3282" t="str">
        <f t="shared" si="102"/>
        <v>https://videplast.com.br/consulta-imobilizado?id=30003710&amp;nome=ARMARIO%201,96X1,23X0,36%20C/%20CADEADO%20E%20PORTA%20VERMELHA</v>
      </c>
      <c r="I3282" t="e">
        <f t="shared" ca="1" si="103"/>
        <v>#NAME?</v>
      </c>
    </row>
    <row r="3283" spans="1:9" x14ac:dyDescent="0.25">
      <c r="A3283" s="2" t="s">
        <v>5457</v>
      </c>
      <c r="B3283" s="2" t="s">
        <v>10</v>
      </c>
      <c r="C3283" s="3">
        <v>44895</v>
      </c>
      <c r="D3283" t="s">
        <v>5431</v>
      </c>
      <c r="E3283" s="2" t="s">
        <v>5458</v>
      </c>
      <c r="F3283" s="2" t="s">
        <v>12</v>
      </c>
      <c r="G3283" t="s">
        <v>5421</v>
      </c>
      <c r="H3283" t="str">
        <f t="shared" si="102"/>
        <v>https://videplast.com.br/consulta-imobilizado?id=30003711&amp;nome=ARMARIO%201,96X1,23X0,36%20C/%20CADEADO%20E%20PORTA%20VERMELHA</v>
      </c>
      <c r="I3283" t="e">
        <f t="shared" ca="1" si="103"/>
        <v>#NAME?</v>
      </c>
    </row>
    <row r="3284" spans="1:9" x14ac:dyDescent="0.25">
      <c r="A3284" s="2" t="s">
        <v>5459</v>
      </c>
      <c r="B3284" s="2" t="s">
        <v>10</v>
      </c>
      <c r="C3284" s="3">
        <v>44895</v>
      </c>
      <c r="D3284" t="s">
        <v>5431</v>
      </c>
      <c r="E3284" s="2" t="s">
        <v>5460</v>
      </c>
      <c r="F3284" s="2" t="s">
        <v>12</v>
      </c>
      <c r="G3284" t="s">
        <v>5421</v>
      </c>
      <c r="H3284" t="str">
        <f t="shared" si="102"/>
        <v>https://videplast.com.br/consulta-imobilizado?id=30003712&amp;nome=ARMARIO%201,96X1,23X0,36%20C/%20CADEADO%20E%20PORTA%20VERMELHA</v>
      </c>
      <c r="I3284" t="e">
        <f t="shared" ca="1" si="103"/>
        <v>#NAME?</v>
      </c>
    </row>
    <row r="3285" spans="1:9" x14ac:dyDescent="0.25">
      <c r="A3285" s="2" t="s">
        <v>5461</v>
      </c>
      <c r="B3285" s="2" t="s">
        <v>10</v>
      </c>
      <c r="C3285" s="3">
        <v>44895</v>
      </c>
      <c r="D3285" t="s">
        <v>5431</v>
      </c>
      <c r="E3285" s="2" t="s">
        <v>5462</v>
      </c>
      <c r="F3285" s="2" t="s">
        <v>12</v>
      </c>
      <c r="G3285" t="s">
        <v>5421</v>
      </c>
      <c r="H3285" t="str">
        <f t="shared" si="102"/>
        <v>https://videplast.com.br/consulta-imobilizado?id=30003713&amp;nome=ARMARIO%201,96X1,23X0,36%20C/%20CADEADO%20E%20PORTA%20VERMELHA</v>
      </c>
      <c r="I3285" t="e">
        <f t="shared" ca="1" si="103"/>
        <v>#NAME?</v>
      </c>
    </row>
    <row r="3286" spans="1:9" x14ac:dyDescent="0.25">
      <c r="A3286" s="2" t="s">
        <v>5463</v>
      </c>
      <c r="B3286" s="2" t="s">
        <v>10</v>
      </c>
      <c r="C3286" s="3">
        <v>44895</v>
      </c>
      <c r="D3286" t="s">
        <v>5431</v>
      </c>
      <c r="E3286" s="2" t="s">
        <v>5464</v>
      </c>
      <c r="F3286" s="2" t="s">
        <v>12</v>
      </c>
      <c r="G3286" t="s">
        <v>5421</v>
      </c>
      <c r="H3286" t="str">
        <f t="shared" si="102"/>
        <v>https://videplast.com.br/consulta-imobilizado?id=30003714&amp;nome=ARMARIO%201,96X1,23X0,36%20C/%20CADEADO%20E%20PORTA%20VERMELHA</v>
      </c>
      <c r="I3286" t="e">
        <f t="shared" ca="1" si="103"/>
        <v>#NAME?</v>
      </c>
    </row>
    <row r="3287" spans="1:9" x14ac:dyDescent="0.25">
      <c r="A3287" s="2" t="s">
        <v>5465</v>
      </c>
      <c r="B3287" s="2" t="s">
        <v>10</v>
      </c>
      <c r="C3287" s="3">
        <v>44895</v>
      </c>
      <c r="D3287" t="s">
        <v>5431</v>
      </c>
      <c r="E3287" s="2" t="s">
        <v>5466</v>
      </c>
      <c r="F3287" s="2" t="s">
        <v>12</v>
      </c>
      <c r="G3287" t="s">
        <v>5421</v>
      </c>
      <c r="H3287" t="str">
        <f t="shared" si="102"/>
        <v>https://videplast.com.br/consulta-imobilizado?id=30003715&amp;nome=ARMARIO%201,96X1,23X0,36%20C/%20CADEADO%20E%20PORTA%20VERMELHA</v>
      </c>
      <c r="I3287" t="e">
        <f t="shared" ca="1" si="103"/>
        <v>#NAME?</v>
      </c>
    </row>
    <row r="3288" spans="1:9" x14ac:dyDescent="0.25">
      <c r="A3288" s="2" t="s">
        <v>5467</v>
      </c>
      <c r="B3288" s="2" t="s">
        <v>10</v>
      </c>
      <c r="C3288" s="3">
        <v>44895</v>
      </c>
      <c r="D3288" t="s">
        <v>5431</v>
      </c>
      <c r="E3288" s="2" t="s">
        <v>5468</v>
      </c>
      <c r="F3288" s="2" t="s">
        <v>12</v>
      </c>
      <c r="G3288" t="s">
        <v>5421</v>
      </c>
      <c r="H3288" t="str">
        <f t="shared" si="102"/>
        <v>https://videplast.com.br/consulta-imobilizado?id=30003716&amp;nome=ARMARIO%201,96X1,23X0,36%20C/%20CADEADO%20E%20PORTA%20VERMELHA</v>
      </c>
      <c r="I3288" t="e">
        <f t="shared" ca="1" si="103"/>
        <v>#NAME?</v>
      </c>
    </row>
    <row r="3289" spans="1:9" x14ac:dyDescent="0.25">
      <c r="A3289" s="2" t="s">
        <v>5469</v>
      </c>
      <c r="B3289" s="2" t="s">
        <v>10</v>
      </c>
      <c r="C3289" s="3">
        <v>44895</v>
      </c>
      <c r="D3289" t="s">
        <v>5431</v>
      </c>
      <c r="E3289" s="2" t="s">
        <v>5470</v>
      </c>
      <c r="F3289" s="2" t="s">
        <v>12</v>
      </c>
      <c r="G3289" t="s">
        <v>5421</v>
      </c>
      <c r="H3289" t="str">
        <f t="shared" si="102"/>
        <v>https://videplast.com.br/consulta-imobilizado?id=30003717&amp;nome=ARMARIO%201,96X1,23X0,36%20C/%20CADEADO%20E%20PORTA%20VERMELHA</v>
      </c>
      <c r="I3289" t="e">
        <f t="shared" ca="1" si="103"/>
        <v>#NAME?</v>
      </c>
    </row>
    <row r="3290" spans="1:9" x14ac:dyDescent="0.25">
      <c r="A3290" s="2" t="s">
        <v>5471</v>
      </c>
      <c r="B3290" s="2" t="s">
        <v>10</v>
      </c>
      <c r="C3290" s="3">
        <v>45077</v>
      </c>
      <c r="D3290" t="s">
        <v>5426</v>
      </c>
      <c r="E3290" s="2" t="s">
        <v>5472</v>
      </c>
      <c r="F3290" s="2" t="s">
        <v>12</v>
      </c>
      <c r="G3290" t="s">
        <v>5421</v>
      </c>
      <c r="H3290" t="str">
        <f t="shared" si="102"/>
        <v>https://videplast.com.br/consulta-imobilizado?id=30003815&amp;nome=ARMARIO%20DE%20ACO%2016%20PORTAS%20C/%20CADEADO%20CH26</v>
      </c>
      <c r="I3290" t="e">
        <f t="shared" ca="1" si="103"/>
        <v>#NAME?</v>
      </c>
    </row>
    <row r="3291" spans="1:9" x14ac:dyDescent="0.25">
      <c r="A3291" s="2" t="s">
        <v>5473</v>
      </c>
      <c r="B3291" s="2" t="s">
        <v>10</v>
      </c>
      <c r="C3291" s="3">
        <v>45077</v>
      </c>
      <c r="D3291" t="s">
        <v>5426</v>
      </c>
      <c r="E3291" s="2" t="s">
        <v>5474</v>
      </c>
      <c r="F3291" s="2" t="s">
        <v>12</v>
      </c>
      <c r="G3291" t="s">
        <v>5421</v>
      </c>
      <c r="H3291" t="str">
        <f t="shared" si="102"/>
        <v>https://videplast.com.br/consulta-imobilizado?id=30003816&amp;nome=ARMARIO%20DE%20ACO%2016%20PORTAS%20C/%20CADEADO%20CH26</v>
      </c>
      <c r="I3291" t="e">
        <f t="shared" ca="1" si="103"/>
        <v>#NAME?</v>
      </c>
    </row>
    <row r="3292" spans="1:9" x14ac:dyDescent="0.25">
      <c r="A3292" s="2" t="s">
        <v>5475</v>
      </c>
      <c r="B3292" s="2" t="s">
        <v>10</v>
      </c>
      <c r="C3292" s="3">
        <v>45077</v>
      </c>
      <c r="D3292" t="s">
        <v>5426</v>
      </c>
      <c r="E3292" s="2" t="s">
        <v>5476</v>
      </c>
      <c r="F3292" s="2" t="s">
        <v>12</v>
      </c>
      <c r="G3292" t="s">
        <v>5421</v>
      </c>
      <c r="H3292" t="str">
        <f t="shared" si="102"/>
        <v>https://videplast.com.br/consulta-imobilizado?id=30003817&amp;nome=ARMARIO%20DE%20ACO%2016%20PORTAS%20C/%20CADEADO%20CH26</v>
      </c>
      <c r="I3292" t="e">
        <f t="shared" ca="1" si="103"/>
        <v>#NAME?</v>
      </c>
    </row>
    <row r="3293" spans="1:9" x14ac:dyDescent="0.25">
      <c r="A3293" s="2" t="s">
        <v>5477</v>
      </c>
      <c r="B3293" s="2" t="s">
        <v>10</v>
      </c>
      <c r="C3293" s="3">
        <v>45077</v>
      </c>
      <c r="D3293" t="s">
        <v>5426</v>
      </c>
      <c r="E3293" s="2" t="s">
        <v>5478</v>
      </c>
      <c r="F3293" s="2" t="s">
        <v>12</v>
      </c>
      <c r="G3293" t="s">
        <v>5421</v>
      </c>
      <c r="H3293" t="str">
        <f t="shared" si="102"/>
        <v>https://videplast.com.br/consulta-imobilizado?id=30003818&amp;nome=ARMARIO%20DE%20ACO%2016%20PORTAS%20C/%20CADEADO%20CH26</v>
      </c>
      <c r="I3293" t="e">
        <f t="shared" ca="1" si="103"/>
        <v>#NAME?</v>
      </c>
    </row>
    <row r="3294" spans="1:9" x14ac:dyDescent="0.25">
      <c r="A3294" s="2" t="s">
        <v>5479</v>
      </c>
      <c r="B3294" s="2" t="s">
        <v>10</v>
      </c>
      <c r="C3294" s="3">
        <v>45077</v>
      </c>
      <c r="D3294" t="s">
        <v>5426</v>
      </c>
      <c r="E3294" s="2" t="s">
        <v>5480</v>
      </c>
      <c r="F3294" s="2" t="s">
        <v>12</v>
      </c>
      <c r="G3294" t="s">
        <v>5421</v>
      </c>
      <c r="H3294" t="str">
        <f t="shared" si="102"/>
        <v>https://videplast.com.br/consulta-imobilizado?id=30003819&amp;nome=ARMARIO%20DE%20ACO%2016%20PORTAS%20C/%20CADEADO%20CH26</v>
      </c>
      <c r="I3294" t="e">
        <f t="shared" ca="1" si="103"/>
        <v>#NAME?</v>
      </c>
    </row>
    <row r="3295" spans="1:9" x14ac:dyDescent="0.25">
      <c r="A3295" s="2" t="s">
        <v>5481</v>
      </c>
      <c r="B3295" s="2" t="s">
        <v>10</v>
      </c>
      <c r="C3295" s="3">
        <v>45077</v>
      </c>
      <c r="D3295" t="s">
        <v>5426</v>
      </c>
      <c r="E3295" s="2" t="s">
        <v>5482</v>
      </c>
      <c r="F3295" s="2" t="s">
        <v>12</v>
      </c>
      <c r="G3295" t="s">
        <v>5421</v>
      </c>
      <c r="H3295" t="str">
        <f t="shared" si="102"/>
        <v>https://videplast.com.br/consulta-imobilizado?id=30003820&amp;nome=ARMARIO%20DE%20ACO%2016%20PORTAS%20C/%20CADEADO%20CH26</v>
      </c>
      <c r="I3295" t="e">
        <f t="shared" ca="1" si="103"/>
        <v>#NAME?</v>
      </c>
    </row>
    <row r="3296" spans="1:9" x14ac:dyDescent="0.25">
      <c r="A3296" s="2" t="s">
        <v>5483</v>
      </c>
      <c r="B3296" s="2" t="s">
        <v>10</v>
      </c>
      <c r="C3296" s="3">
        <v>45077</v>
      </c>
      <c r="D3296" t="s">
        <v>5426</v>
      </c>
      <c r="E3296" s="2" t="s">
        <v>5484</v>
      </c>
      <c r="F3296" s="2" t="s">
        <v>12</v>
      </c>
      <c r="G3296" t="s">
        <v>5421</v>
      </c>
      <c r="H3296" t="str">
        <f t="shared" si="102"/>
        <v>https://videplast.com.br/consulta-imobilizado?id=30003821&amp;nome=ARMARIO%20DE%20ACO%2016%20PORTAS%20C/%20CADEADO%20CH26</v>
      </c>
      <c r="I3296" t="e">
        <f t="shared" ca="1" si="103"/>
        <v>#NAME?</v>
      </c>
    </row>
    <row r="3297" spans="1:9" x14ac:dyDescent="0.25">
      <c r="A3297" s="2" t="s">
        <v>5485</v>
      </c>
      <c r="B3297" s="2" t="s">
        <v>10</v>
      </c>
      <c r="C3297" s="3">
        <v>45077</v>
      </c>
      <c r="D3297" t="s">
        <v>5426</v>
      </c>
      <c r="E3297" s="2" t="s">
        <v>5486</v>
      </c>
      <c r="F3297" s="2" t="s">
        <v>12</v>
      </c>
      <c r="G3297" t="s">
        <v>5421</v>
      </c>
      <c r="H3297" t="str">
        <f t="shared" si="102"/>
        <v>https://videplast.com.br/consulta-imobilizado?id=30003822&amp;nome=ARMARIO%20DE%20ACO%2016%20PORTAS%20C/%20CADEADO%20CH26</v>
      </c>
      <c r="I3297" t="e">
        <f t="shared" ca="1" si="103"/>
        <v>#NAME?</v>
      </c>
    </row>
    <row r="3298" spans="1:9" x14ac:dyDescent="0.25">
      <c r="A3298" s="2" t="s">
        <v>5487</v>
      </c>
      <c r="B3298" s="2" t="s">
        <v>10</v>
      </c>
      <c r="C3298" s="3">
        <v>40755</v>
      </c>
      <c r="D3298" t="s">
        <v>5488</v>
      </c>
      <c r="E3298" s="2" t="s">
        <v>12</v>
      </c>
      <c r="F3298" s="2" t="s">
        <v>12</v>
      </c>
      <c r="G3298" t="s">
        <v>5489</v>
      </c>
      <c r="H3298" t="str">
        <f t="shared" si="102"/>
        <v>https://videplast.com.br/consulta-imobilizado?id=30000108&amp;nome=ARQUIVO%20DE%20ACO%204%20GALV.%200,70%20CM</v>
      </c>
      <c r="I3298" t="e">
        <f t="shared" ca="1" si="103"/>
        <v>#NAME?</v>
      </c>
    </row>
    <row r="3299" spans="1:9" x14ac:dyDescent="0.25">
      <c r="A3299" s="2" t="s">
        <v>5490</v>
      </c>
      <c r="B3299" s="2" t="s">
        <v>10</v>
      </c>
      <c r="C3299" s="3">
        <v>40968</v>
      </c>
      <c r="D3299" t="s">
        <v>5491</v>
      </c>
      <c r="E3299" s="2" t="s">
        <v>12</v>
      </c>
      <c r="F3299" s="2" t="s">
        <v>12</v>
      </c>
      <c r="G3299" t="s">
        <v>5489</v>
      </c>
      <c r="H3299" t="str">
        <f t="shared" si="102"/>
        <v>https://videplast.com.br/consulta-imobilizado?id=30000117&amp;nome=MESA%20ESTACAO%20DE%20TARABLHO%201,50X1,50%20C/%20GAVETEIRO</v>
      </c>
      <c r="I3299" t="e">
        <f t="shared" ca="1" si="103"/>
        <v>#NAME?</v>
      </c>
    </row>
    <row r="3300" spans="1:9" x14ac:dyDescent="0.25">
      <c r="A3300" s="2" t="s">
        <v>5492</v>
      </c>
      <c r="B3300" s="2" t="s">
        <v>10</v>
      </c>
      <c r="C3300" s="3">
        <v>41698</v>
      </c>
      <c r="D3300" t="s">
        <v>5493</v>
      </c>
      <c r="E3300" s="2" t="s">
        <v>5494</v>
      </c>
      <c r="F3300" s="2" t="s">
        <v>12</v>
      </c>
      <c r="G3300" t="s">
        <v>5489</v>
      </c>
      <c r="H3300" t="str">
        <f t="shared" si="102"/>
        <v>https://videplast.com.br/consulta-imobilizado?id=30000137&amp;nome=AR%20CONDICIONADO%20INT%20SPLIT%20CONSUL%2018000%20BTU</v>
      </c>
      <c r="I3300" t="e">
        <f t="shared" ca="1" si="103"/>
        <v>#NAME?</v>
      </c>
    </row>
    <row r="3301" spans="1:9" x14ac:dyDescent="0.25">
      <c r="A3301" s="2" t="s">
        <v>5492</v>
      </c>
      <c r="B3301" s="2" t="s">
        <v>26</v>
      </c>
      <c r="C3301" s="3">
        <v>41698</v>
      </c>
      <c r="D3301" t="s">
        <v>5495</v>
      </c>
      <c r="E3301" s="2" t="s">
        <v>12</v>
      </c>
      <c r="F3301" s="2" t="s">
        <v>12</v>
      </c>
      <c r="G3301" t="s">
        <v>5489</v>
      </c>
      <c r="H3301" t="str">
        <f t="shared" si="102"/>
        <v>https://videplast.com.br/consulta-imobilizado?id=30000137&amp;nome=AR%20CONDICIONADO%20EXT%20SPLIT%20CONSUL%2018000%20BTU</v>
      </c>
      <c r="I3301" t="e">
        <f t="shared" ca="1" si="103"/>
        <v>#NAME?</v>
      </c>
    </row>
    <row r="3302" spans="1:9" x14ac:dyDescent="0.25">
      <c r="A3302" s="2" t="s">
        <v>5496</v>
      </c>
      <c r="B3302" s="2" t="s">
        <v>10</v>
      </c>
      <c r="C3302" s="3">
        <v>42264</v>
      </c>
      <c r="D3302" t="s">
        <v>5040</v>
      </c>
      <c r="E3302" s="2" t="s">
        <v>5497</v>
      </c>
      <c r="F3302" s="2" t="s">
        <v>12</v>
      </c>
      <c r="G3302" t="s">
        <v>5489</v>
      </c>
      <c r="H3302" t="str">
        <f t="shared" si="102"/>
        <v>https://videplast.com.br/consulta-imobilizado?id=30001265&amp;nome=AR%20CONDICIONADO%20MIDEA%20VIZE%20220V%2012.000%20BTU</v>
      </c>
      <c r="I3302" t="e">
        <f t="shared" ca="1" si="103"/>
        <v>#NAME?</v>
      </c>
    </row>
    <row r="3303" spans="1:9" x14ac:dyDescent="0.25">
      <c r="A3303" s="2" t="s">
        <v>5498</v>
      </c>
      <c r="B3303" s="2" t="s">
        <v>10</v>
      </c>
      <c r="C3303" s="3">
        <v>42277</v>
      </c>
      <c r="D3303" t="s">
        <v>5499</v>
      </c>
      <c r="E3303" s="2" t="s">
        <v>12</v>
      </c>
      <c r="F3303" s="2" t="s">
        <v>12</v>
      </c>
      <c r="G3303" t="s">
        <v>5489</v>
      </c>
      <c r="H3303" t="str">
        <f t="shared" si="102"/>
        <v>https://videplast.com.br/consulta-imobilizado?id=30001283&amp;nome=ROUPEIRO%20DE%20AÇO%20C/%2016%20PORTAS%201,98X1,23X0,42</v>
      </c>
      <c r="I3303" t="e">
        <f t="shared" ca="1" si="103"/>
        <v>#NAME?</v>
      </c>
    </row>
    <row r="3304" spans="1:9" x14ac:dyDescent="0.25">
      <c r="A3304" s="2" t="s">
        <v>5500</v>
      </c>
      <c r="B3304" s="2" t="s">
        <v>10</v>
      </c>
      <c r="C3304" s="3">
        <v>42277</v>
      </c>
      <c r="D3304" t="s">
        <v>5499</v>
      </c>
      <c r="E3304" s="2" t="s">
        <v>12</v>
      </c>
      <c r="F3304" s="2" t="s">
        <v>12</v>
      </c>
      <c r="G3304" t="s">
        <v>5489</v>
      </c>
      <c r="H3304" t="str">
        <f t="shared" si="102"/>
        <v>https://videplast.com.br/consulta-imobilizado?id=30001284&amp;nome=ROUPEIRO%20DE%20AÇO%20C/%2016%20PORTAS%201,98X1,23X0,42</v>
      </c>
      <c r="I3304" t="e">
        <f t="shared" ca="1" si="103"/>
        <v>#NAME?</v>
      </c>
    </row>
    <row r="3305" spans="1:9" x14ac:dyDescent="0.25">
      <c r="A3305" s="2" t="s">
        <v>5501</v>
      </c>
      <c r="B3305" s="2" t="s">
        <v>10</v>
      </c>
      <c r="C3305" s="3">
        <v>42277</v>
      </c>
      <c r="D3305" t="s">
        <v>5499</v>
      </c>
      <c r="E3305" s="2" t="s">
        <v>12</v>
      </c>
      <c r="F3305" s="2" t="s">
        <v>12</v>
      </c>
      <c r="G3305" t="s">
        <v>5489</v>
      </c>
      <c r="H3305" t="str">
        <f t="shared" si="102"/>
        <v>https://videplast.com.br/consulta-imobilizado?id=30001285&amp;nome=ROUPEIRO%20DE%20AÇO%20C/%2016%20PORTAS%201,98X1,23X0,42</v>
      </c>
      <c r="I3305" t="e">
        <f t="shared" ca="1" si="103"/>
        <v>#NAME?</v>
      </c>
    </row>
    <row r="3306" spans="1:9" x14ac:dyDescent="0.25">
      <c r="A3306" s="2" t="s">
        <v>5502</v>
      </c>
      <c r="B3306" s="2" t="s">
        <v>10</v>
      </c>
      <c r="C3306" s="3">
        <v>42277</v>
      </c>
      <c r="D3306" t="s">
        <v>5499</v>
      </c>
      <c r="E3306" s="2" t="s">
        <v>12</v>
      </c>
      <c r="F3306" s="2" t="s">
        <v>12</v>
      </c>
      <c r="G3306" t="s">
        <v>5489</v>
      </c>
      <c r="H3306" t="str">
        <f t="shared" si="102"/>
        <v>https://videplast.com.br/consulta-imobilizado?id=30001286&amp;nome=ROUPEIRO%20DE%20AÇO%20C/%2016%20PORTAS%201,98X1,23X0,42</v>
      </c>
      <c r="I3306" t="e">
        <f t="shared" ca="1" si="103"/>
        <v>#NAME?</v>
      </c>
    </row>
    <row r="3307" spans="1:9" x14ac:dyDescent="0.25">
      <c r="A3307" s="2" t="s">
        <v>5503</v>
      </c>
      <c r="B3307" s="2" t="s">
        <v>10</v>
      </c>
      <c r="C3307" s="3">
        <v>42277</v>
      </c>
      <c r="D3307" t="s">
        <v>5499</v>
      </c>
      <c r="E3307" s="2" t="s">
        <v>12</v>
      </c>
      <c r="F3307" s="2" t="s">
        <v>12</v>
      </c>
      <c r="G3307" t="s">
        <v>5489</v>
      </c>
      <c r="H3307" t="str">
        <f t="shared" si="102"/>
        <v>https://videplast.com.br/consulta-imobilizado?id=30001287&amp;nome=ROUPEIRO%20DE%20AÇO%20C/%2016%20PORTAS%201,98X1,23X0,42</v>
      </c>
      <c r="I3307" t="e">
        <f t="shared" ca="1" si="103"/>
        <v>#NAME?</v>
      </c>
    </row>
    <row r="3308" spans="1:9" x14ac:dyDescent="0.25">
      <c r="A3308" s="2" t="s">
        <v>5504</v>
      </c>
      <c r="B3308" s="2" t="s">
        <v>10</v>
      </c>
      <c r="C3308" s="3">
        <v>42277</v>
      </c>
      <c r="D3308" t="s">
        <v>5499</v>
      </c>
      <c r="E3308" s="2" t="s">
        <v>12</v>
      </c>
      <c r="F3308" s="2" t="s">
        <v>12</v>
      </c>
      <c r="G3308" t="s">
        <v>5489</v>
      </c>
      <c r="H3308" t="str">
        <f t="shared" si="102"/>
        <v>https://videplast.com.br/consulta-imobilizado?id=30001288&amp;nome=ROUPEIRO%20DE%20AÇO%20C/%2016%20PORTAS%201,98X1,23X0,42</v>
      </c>
      <c r="I3308" t="e">
        <f t="shared" ca="1" si="103"/>
        <v>#NAME?</v>
      </c>
    </row>
    <row r="3309" spans="1:9" x14ac:dyDescent="0.25">
      <c r="A3309" s="2" t="s">
        <v>5505</v>
      </c>
      <c r="B3309" s="2" t="s">
        <v>10</v>
      </c>
      <c r="C3309" s="3">
        <v>42277</v>
      </c>
      <c r="D3309" t="s">
        <v>5499</v>
      </c>
      <c r="E3309" s="2" t="s">
        <v>12</v>
      </c>
      <c r="F3309" s="2" t="s">
        <v>12</v>
      </c>
      <c r="G3309" t="s">
        <v>5489</v>
      </c>
      <c r="H3309" t="str">
        <f t="shared" si="102"/>
        <v>https://videplast.com.br/consulta-imobilizado?id=30001289&amp;nome=ROUPEIRO%20DE%20AÇO%20C/%2016%20PORTAS%201,98X1,23X0,42</v>
      </c>
      <c r="I3309" t="e">
        <f t="shared" ca="1" si="103"/>
        <v>#NAME?</v>
      </c>
    </row>
    <row r="3310" spans="1:9" x14ac:dyDescent="0.25">
      <c r="A3310" s="2" t="s">
        <v>5506</v>
      </c>
      <c r="B3310" s="2" t="s">
        <v>10</v>
      </c>
      <c r="C3310" s="3">
        <v>42277</v>
      </c>
      <c r="D3310" t="s">
        <v>5499</v>
      </c>
      <c r="E3310" s="2" t="s">
        <v>12</v>
      </c>
      <c r="F3310" s="2" t="s">
        <v>12</v>
      </c>
      <c r="G3310" t="s">
        <v>5489</v>
      </c>
      <c r="H3310" t="str">
        <f t="shared" si="102"/>
        <v>https://videplast.com.br/consulta-imobilizado?id=30001290&amp;nome=ROUPEIRO%20DE%20AÇO%20C/%2016%20PORTAS%201,98X1,23X0,42</v>
      </c>
      <c r="I3310" t="e">
        <f t="shared" ca="1" si="103"/>
        <v>#NAME?</v>
      </c>
    </row>
    <row r="3311" spans="1:9" x14ac:dyDescent="0.25">
      <c r="A3311" s="2" t="s">
        <v>5507</v>
      </c>
      <c r="B3311" s="2" t="s">
        <v>10</v>
      </c>
      <c r="C3311" s="3">
        <v>42277</v>
      </c>
      <c r="D3311" t="s">
        <v>5499</v>
      </c>
      <c r="E3311" s="2" t="s">
        <v>12</v>
      </c>
      <c r="F3311" s="2" t="s">
        <v>12</v>
      </c>
      <c r="G3311" t="s">
        <v>5489</v>
      </c>
      <c r="H3311" t="str">
        <f t="shared" si="102"/>
        <v>https://videplast.com.br/consulta-imobilizado?id=30001291&amp;nome=ROUPEIRO%20DE%20AÇO%20C/%2016%20PORTAS%201,98X1,23X0,42</v>
      </c>
      <c r="I3311" t="e">
        <f t="shared" ca="1" si="103"/>
        <v>#NAME?</v>
      </c>
    </row>
    <row r="3312" spans="1:9" x14ac:dyDescent="0.25">
      <c r="A3312" s="2" t="s">
        <v>5508</v>
      </c>
      <c r="B3312" s="2" t="s">
        <v>10</v>
      </c>
      <c r="C3312" s="3">
        <v>42277</v>
      </c>
      <c r="D3312" t="s">
        <v>5499</v>
      </c>
      <c r="E3312" s="2" t="s">
        <v>12</v>
      </c>
      <c r="F3312" s="2" t="s">
        <v>12</v>
      </c>
      <c r="G3312" t="s">
        <v>5489</v>
      </c>
      <c r="H3312" t="str">
        <f t="shared" si="102"/>
        <v>https://videplast.com.br/consulta-imobilizado?id=30001292&amp;nome=ROUPEIRO%20DE%20AÇO%20C/%2016%20PORTAS%201,98X1,23X0,42</v>
      </c>
      <c r="I3312" t="e">
        <f t="shared" ca="1" si="103"/>
        <v>#NAME?</v>
      </c>
    </row>
    <row r="3313" spans="1:9" x14ac:dyDescent="0.25">
      <c r="A3313" s="2" t="s">
        <v>5509</v>
      </c>
      <c r="B3313" s="2" t="s">
        <v>10</v>
      </c>
      <c r="C3313" s="3">
        <v>42277</v>
      </c>
      <c r="D3313" t="s">
        <v>5499</v>
      </c>
      <c r="E3313" s="2" t="s">
        <v>12</v>
      </c>
      <c r="F3313" s="2" t="s">
        <v>12</v>
      </c>
      <c r="G3313" t="s">
        <v>5489</v>
      </c>
      <c r="H3313" t="str">
        <f t="shared" si="102"/>
        <v>https://videplast.com.br/consulta-imobilizado?id=30001293&amp;nome=ROUPEIRO%20DE%20AÇO%20C/%2016%20PORTAS%201,98X1,23X0,42</v>
      </c>
      <c r="I3313" t="e">
        <f t="shared" ca="1" si="103"/>
        <v>#NAME?</v>
      </c>
    </row>
    <row r="3314" spans="1:9" x14ac:dyDescent="0.25">
      <c r="A3314" s="2" t="s">
        <v>5510</v>
      </c>
      <c r="B3314" s="2" t="s">
        <v>10</v>
      </c>
      <c r="C3314" s="3">
        <v>42277</v>
      </c>
      <c r="D3314" t="s">
        <v>5499</v>
      </c>
      <c r="E3314" s="2" t="s">
        <v>12</v>
      </c>
      <c r="F3314" s="2" t="s">
        <v>12</v>
      </c>
      <c r="G3314" t="s">
        <v>5489</v>
      </c>
      <c r="H3314" t="str">
        <f t="shared" si="102"/>
        <v>https://videplast.com.br/consulta-imobilizado?id=30001294&amp;nome=ROUPEIRO%20DE%20AÇO%20C/%2016%20PORTAS%201,98X1,23X0,42</v>
      </c>
      <c r="I3314" t="e">
        <f t="shared" ca="1" si="103"/>
        <v>#NAME?</v>
      </c>
    </row>
    <row r="3315" spans="1:9" x14ac:dyDescent="0.25">
      <c r="A3315" s="2" t="s">
        <v>5511</v>
      </c>
      <c r="B3315" s="2" t="s">
        <v>10</v>
      </c>
      <c r="C3315" s="3">
        <v>42277</v>
      </c>
      <c r="D3315" t="s">
        <v>5499</v>
      </c>
      <c r="E3315" s="2" t="s">
        <v>12</v>
      </c>
      <c r="F3315" s="2" t="s">
        <v>12</v>
      </c>
      <c r="G3315" t="s">
        <v>5489</v>
      </c>
      <c r="H3315" t="str">
        <f t="shared" si="102"/>
        <v>https://videplast.com.br/consulta-imobilizado?id=30001295&amp;nome=ROUPEIRO%20DE%20AÇO%20C/%2016%20PORTAS%201,98X1,23X0,42</v>
      </c>
      <c r="I3315" t="e">
        <f t="shared" ca="1" si="103"/>
        <v>#NAME?</v>
      </c>
    </row>
    <row r="3316" spans="1:9" x14ac:dyDescent="0.25">
      <c r="A3316" s="2" t="s">
        <v>5512</v>
      </c>
      <c r="B3316" s="2" t="s">
        <v>10</v>
      </c>
      <c r="C3316" s="3">
        <v>42277</v>
      </c>
      <c r="D3316" t="s">
        <v>5499</v>
      </c>
      <c r="E3316" s="2" t="s">
        <v>12</v>
      </c>
      <c r="F3316" s="2" t="s">
        <v>12</v>
      </c>
      <c r="G3316" t="s">
        <v>5489</v>
      </c>
      <c r="H3316" t="str">
        <f t="shared" si="102"/>
        <v>https://videplast.com.br/consulta-imobilizado?id=30001296&amp;nome=ROUPEIRO%20DE%20AÇO%20C/%2016%20PORTAS%201,98X1,23X0,42</v>
      </c>
      <c r="I3316" t="e">
        <f t="shared" ca="1" si="103"/>
        <v>#NAME?</v>
      </c>
    </row>
    <row r="3317" spans="1:9" x14ac:dyDescent="0.25">
      <c r="A3317" s="2" t="s">
        <v>5513</v>
      </c>
      <c r="B3317" s="2" t="s">
        <v>10</v>
      </c>
      <c r="C3317" s="3">
        <v>42277</v>
      </c>
      <c r="D3317" t="s">
        <v>5499</v>
      </c>
      <c r="E3317" s="2" t="s">
        <v>12</v>
      </c>
      <c r="F3317" s="2" t="s">
        <v>12</v>
      </c>
      <c r="G3317" t="s">
        <v>5489</v>
      </c>
      <c r="H3317" t="str">
        <f t="shared" si="102"/>
        <v>https://videplast.com.br/consulta-imobilizado?id=30001297&amp;nome=ROUPEIRO%20DE%20AÇO%20C/%2016%20PORTAS%201,98X1,23X0,42</v>
      </c>
      <c r="I3317" t="e">
        <f t="shared" ca="1" si="103"/>
        <v>#NAME?</v>
      </c>
    </row>
    <row r="3318" spans="1:9" x14ac:dyDescent="0.25">
      <c r="A3318" s="2" t="s">
        <v>5514</v>
      </c>
      <c r="B3318" s="2" t="s">
        <v>10</v>
      </c>
      <c r="C3318" s="3">
        <v>42277</v>
      </c>
      <c r="D3318" t="s">
        <v>5499</v>
      </c>
      <c r="E3318" s="2" t="s">
        <v>12</v>
      </c>
      <c r="F3318" s="2" t="s">
        <v>12</v>
      </c>
      <c r="G3318" t="s">
        <v>5489</v>
      </c>
      <c r="H3318" t="str">
        <f t="shared" si="102"/>
        <v>https://videplast.com.br/consulta-imobilizado?id=30001298&amp;nome=ROUPEIRO%20DE%20AÇO%20C/%2016%20PORTAS%201,98X1,23X0,42</v>
      </c>
      <c r="I3318" t="e">
        <f t="shared" ca="1" si="103"/>
        <v>#NAME?</v>
      </c>
    </row>
    <row r="3319" spans="1:9" x14ac:dyDescent="0.25">
      <c r="A3319" s="2" t="s">
        <v>5515</v>
      </c>
      <c r="B3319" s="2" t="s">
        <v>10</v>
      </c>
      <c r="C3319" s="3">
        <v>42277</v>
      </c>
      <c r="D3319" t="s">
        <v>5499</v>
      </c>
      <c r="E3319" s="2" t="s">
        <v>12</v>
      </c>
      <c r="F3319" s="2" t="s">
        <v>12</v>
      </c>
      <c r="G3319" t="s">
        <v>5489</v>
      </c>
      <c r="H3319" t="str">
        <f t="shared" si="102"/>
        <v>https://videplast.com.br/consulta-imobilizado?id=30001299&amp;nome=ROUPEIRO%20DE%20AÇO%20C/%2016%20PORTAS%201,98X1,23X0,42</v>
      </c>
      <c r="I3319" t="e">
        <f t="shared" ca="1" si="103"/>
        <v>#NAME?</v>
      </c>
    </row>
    <row r="3320" spans="1:9" x14ac:dyDescent="0.25">
      <c r="A3320" s="2" t="s">
        <v>5516</v>
      </c>
      <c r="B3320" s="2" t="s">
        <v>10</v>
      </c>
      <c r="C3320" s="3">
        <v>42277</v>
      </c>
      <c r="D3320" t="s">
        <v>5499</v>
      </c>
      <c r="E3320" s="2" t="s">
        <v>12</v>
      </c>
      <c r="F3320" s="2" t="s">
        <v>12</v>
      </c>
      <c r="G3320" t="s">
        <v>5489</v>
      </c>
      <c r="H3320" t="str">
        <f t="shared" si="102"/>
        <v>https://videplast.com.br/consulta-imobilizado?id=30001300&amp;nome=ROUPEIRO%20DE%20AÇO%20C/%2016%20PORTAS%201,98X1,23X0,42</v>
      </c>
      <c r="I3320" t="e">
        <f t="shared" ca="1" si="103"/>
        <v>#NAME?</v>
      </c>
    </row>
    <row r="3321" spans="1:9" x14ac:dyDescent="0.25">
      <c r="A3321" s="2" t="s">
        <v>5517</v>
      </c>
      <c r="B3321" s="2" t="s">
        <v>10</v>
      </c>
      <c r="C3321" s="3">
        <v>42277</v>
      </c>
      <c r="D3321" t="s">
        <v>5499</v>
      </c>
      <c r="E3321" s="2" t="s">
        <v>12</v>
      </c>
      <c r="F3321" s="2" t="s">
        <v>12</v>
      </c>
      <c r="G3321" t="s">
        <v>5489</v>
      </c>
      <c r="H3321" t="str">
        <f t="shared" si="102"/>
        <v>https://videplast.com.br/consulta-imobilizado?id=30001301&amp;nome=ROUPEIRO%20DE%20AÇO%20C/%2016%20PORTAS%201,98X1,23X0,42</v>
      </c>
      <c r="I3321" t="e">
        <f t="shared" ca="1" si="103"/>
        <v>#NAME?</v>
      </c>
    </row>
    <row r="3322" spans="1:9" x14ac:dyDescent="0.25">
      <c r="A3322" s="2" t="s">
        <v>5518</v>
      </c>
      <c r="B3322" s="2" t="s">
        <v>10</v>
      </c>
      <c r="C3322" s="3">
        <v>42277</v>
      </c>
      <c r="D3322" t="s">
        <v>5499</v>
      </c>
      <c r="E3322" s="2" t="s">
        <v>12</v>
      </c>
      <c r="F3322" s="2" t="s">
        <v>12</v>
      </c>
      <c r="G3322" t="s">
        <v>5489</v>
      </c>
      <c r="H3322" t="str">
        <f t="shared" si="102"/>
        <v>https://videplast.com.br/consulta-imobilizado?id=30001302&amp;nome=ROUPEIRO%20DE%20AÇO%20C/%2016%20PORTAS%201,98X1,23X0,42</v>
      </c>
      <c r="I3322" t="e">
        <f t="shared" ca="1" si="103"/>
        <v>#NAME?</v>
      </c>
    </row>
    <row r="3323" spans="1:9" x14ac:dyDescent="0.25">
      <c r="A3323" s="2" t="s">
        <v>5519</v>
      </c>
      <c r="B3323" s="2" t="s">
        <v>10</v>
      </c>
      <c r="C3323" s="3">
        <v>42277</v>
      </c>
      <c r="D3323" t="s">
        <v>5499</v>
      </c>
      <c r="E3323" s="2" t="s">
        <v>12</v>
      </c>
      <c r="F3323" s="2" t="s">
        <v>12</v>
      </c>
      <c r="G3323" t="s">
        <v>5489</v>
      </c>
      <c r="H3323" t="str">
        <f t="shared" si="102"/>
        <v>https://videplast.com.br/consulta-imobilizado?id=30001303&amp;nome=ROUPEIRO%20DE%20AÇO%20C/%2016%20PORTAS%201,98X1,23X0,42</v>
      </c>
      <c r="I3323" t="e">
        <f t="shared" ca="1" si="103"/>
        <v>#NAME?</v>
      </c>
    </row>
    <row r="3324" spans="1:9" x14ac:dyDescent="0.25">
      <c r="A3324" s="2" t="s">
        <v>5520</v>
      </c>
      <c r="B3324" s="2" t="s">
        <v>10</v>
      </c>
      <c r="C3324" s="3">
        <v>42277</v>
      </c>
      <c r="D3324" t="s">
        <v>5499</v>
      </c>
      <c r="E3324" s="2" t="s">
        <v>12</v>
      </c>
      <c r="F3324" s="2" t="s">
        <v>12</v>
      </c>
      <c r="G3324" t="s">
        <v>5489</v>
      </c>
      <c r="H3324" t="str">
        <f t="shared" si="102"/>
        <v>https://videplast.com.br/consulta-imobilizado?id=30001304&amp;nome=ROUPEIRO%20DE%20AÇO%20C/%2016%20PORTAS%201,98X1,23X0,42</v>
      </c>
      <c r="I3324" t="e">
        <f t="shared" ca="1" si="103"/>
        <v>#NAME?</v>
      </c>
    </row>
    <row r="3325" spans="1:9" x14ac:dyDescent="0.25">
      <c r="A3325" s="2" t="s">
        <v>5521</v>
      </c>
      <c r="B3325" s="2" t="s">
        <v>10</v>
      </c>
      <c r="C3325" s="3">
        <v>42277</v>
      </c>
      <c r="D3325" t="s">
        <v>5499</v>
      </c>
      <c r="E3325" s="2" t="s">
        <v>12</v>
      </c>
      <c r="F3325" s="2" t="s">
        <v>12</v>
      </c>
      <c r="G3325" t="s">
        <v>5489</v>
      </c>
      <c r="H3325" t="str">
        <f t="shared" si="102"/>
        <v>https://videplast.com.br/consulta-imobilizado?id=30001305&amp;nome=ROUPEIRO%20DE%20AÇO%20C/%2016%20PORTAS%201,98X1,23X0,42</v>
      </c>
      <c r="I3325" t="e">
        <f t="shared" ca="1" si="103"/>
        <v>#NAME?</v>
      </c>
    </row>
    <row r="3326" spans="1:9" x14ac:dyDescent="0.25">
      <c r="A3326" s="2" t="s">
        <v>5522</v>
      </c>
      <c r="B3326" s="2" t="s">
        <v>10</v>
      </c>
      <c r="C3326" s="3">
        <v>42277</v>
      </c>
      <c r="D3326" t="s">
        <v>5499</v>
      </c>
      <c r="E3326" s="2" t="s">
        <v>12</v>
      </c>
      <c r="F3326" s="2" t="s">
        <v>12</v>
      </c>
      <c r="G3326" t="s">
        <v>5489</v>
      </c>
      <c r="H3326" t="str">
        <f t="shared" si="102"/>
        <v>https://videplast.com.br/consulta-imobilizado?id=30001306&amp;nome=ROUPEIRO%20DE%20AÇO%20C/%2016%20PORTAS%201,98X1,23X0,42</v>
      </c>
      <c r="I3326" t="e">
        <f t="shared" ca="1" si="103"/>
        <v>#NAME?</v>
      </c>
    </row>
    <row r="3327" spans="1:9" x14ac:dyDescent="0.25">
      <c r="A3327" s="2" t="s">
        <v>5523</v>
      </c>
      <c r="B3327" s="2" t="s">
        <v>10</v>
      </c>
      <c r="C3327" s="3">
        <v>42277</v>
      </c>
      <c r="D3327" t="s">
        <v>5499</v>
      </c>
      <c r="E3327" s="2" t="s">
        <v>12</v>
      </c>
      <c r="F3327" s="2" t="s">
        <v>12</v>
      </c>
      <c r="G3327" t="s">
        <v>5489</v>
      </c>
      <c r="H3327" t="str">
        <f t="shared" si="102"/>
        <v>https://videplast.com.br/consulta-imobilizado?id=30001307&amp;nome=ROUPEIRO%20DE%20AÇO%20C/%2016%20PORTAS%201,98X1,23X0,42</v>
      </c>
      <c r="I3327" t="e">
        <f t="shared" ca="1" si="103"/>
        <v>#NAME?</v>
      </c>
    </row>
    <row r="3328" spans="1:9" x14ac:dyDescent="0.25">
      <c r="A3328" s="2" t="s">
        <v>5524</v>
      </c>
      <c r="B3328" s="2" t="s">
        <v>10</v>
      </c>
      <c r="C3328" s="3">
        <v>42277</v>
      </c>
      <c r="D3328" t="s">
        <v>5499</v>
      </c>
      <c r="E3328" s="2" t="s">
        <v>12</v>
      </c>
      <c r="F3328" s="2" t="s">
        <v>12</v>
      </c>
      <c r="G3328" t="s">
        <v>5489</v>
      </c>
      <c r="H3328" t="str">
        <f t="shared" si="102"/>
        <v>https://videplast.com.br/consulta-imobilizado?id=30001308&amp;nome=ROUPEIRO%20DE%20AÇO%20C/%2016%20PORTAS%201,98X1,23X0,42</v>
      </c>
      <c r="I3328" t="e">
        <f t="shared" ca="1" si="103"/>
        <v>#NAME?</v>
      </c>
    </row>
    <row r="3329" spans="1:9" x14ac:dyDescent="0.25">
      <c r="A3329" s="2" t="s">
        <v>5525</v>
      </c>
      <c r="B3329" s="2" t="s">
        <v>10</v>
      </c>
      <c r="C3329" s="3">
        <v>42277</v>
      </c>
      <c r="D3329" t="s">
        <v>5499</v>
      </c>
      <c r="E3329" s="2" t="s">
        <v>12</v>
      </c>
      <c r="F3329" s="2" t="s">
        <v>12</v>
      </c>
      <c r="G3329" t="s">
        <v>5489</v>
      </c>
      <c r="H3329" t="str">
        <f t="shared" si="102"/>
        <v>https://videplast.com.br/consulta-imobilizado?id=30001309&amp;nome=ROUPEIRO%20DE%20AÇO%20C/%2016%20PORTAS%201,98X1,23X0,42</v>
      </c>
      <c r="I3329" t="e">
        <f t="shared" ca="1" si="103"/>
        <v>#NAME?</v>
      </c>
    </row>
    <row r="3330" spans="1:9" x14ac:dyDescent="0.25">
      <c r="A3330" s="2" t="s">
        <v>5526</v>
      </c>
      <c r="B3330" s="2" t="s">
        <v>10</v>
      </c>
      <c r="C3330" s="3">
        <v>42277</v>
      </c>
      <c r="D3330" t="s">
        <v>5499</v>
      </c>
      <c r="E3330" s="2" t="s">
        <v>12</v>
      </c>
      <c r="F3330" s="2" t="s">
        <v>12</v>
      </c>
      <c r="G3330" t="s">
        <v>5489</v>
      </c>
      <c r="H3330" t="str">
        <f t="shared" ref="H3330:H3393" si="104" xml:space="preserve"> "https://videplast.com.br/consulta-imobilizado?id=" &amp; A3330 &amp; "&amp;nome=" &amp; SUBSTITUTE(D3330, " ", "%20")</f>
        <v>https://videplast.com.br/consulta-imobilizado?id=30001310&amp;nome=ROUPEIRO%20DE%20AÇO%20C/%2016%20PORTAS%201,98X1,23X0,42</v>
      </c>
      <c r="I3330" t="e">
        <f t="shared" ref="I3330:I3393" ca="1" si="105">_xlfn.IMAGE("https://chart.googleapis.com/chart?chs=150x150&amp;cht=qr&amp;chl=" &amp; H3330)</f>
        <v>#NAME?</v>
      </c>
    </row>
    <row r="3331" spans="1:9" x14ac:dyDescent="0.25">
      <c r="A3331" s="2" t="s">
        <v>5527</v>
      </c>
      <c r="B3331" s="2" t="s">
        <v>10</v>
      </c>
      <c r="C3331" s="3">
        <v>42277</v>
      </c>
      <c r="D3331" t="s">
        <v>5499</v>
      </c>
      <c r="E3331" s="2" t="s">
        <v>12</v>
      </c>
      <c r="F3331" s="2" t="s">
        <v>12</v>
      </c>
      <c r="G3331" t="s">
        <v>5489</v>
      </c>
      <c r="H3331" t="str">
        <f t="shared" si="104"/>
        <v>https://videplast.com.br/consulta-imobilizado?id=30001311&amp;nome=ROUPEIRO%20DE%20AÇO%20C/%2016%20PORTAS%201,98X1,23X0,42</v>
      </c>
      <c r="I3331" t="e">
        <f t="shared" ca="1" si="105"/>
        <v>#NAME?</v>
      </c>
    </row>
    <row r="3332" spans="1:9" x14ac:dyDescent="0.25">
      <c r="A3332" s="2" t="s">
        <v>5528</v>
      </c>
      <c r="B3332" s="2" t="s">
        <v>10</v>
      </c>
      <c r="C3332" s="3">
        <v>42277</v>
      </c>
      <c r="D3332" t="s">
        <v>5499</v>
      </c>
      <c r="E3332" s="2" t="s">
        <v>12</v>
      </c>
      <c r="F3332" s="2" t="s">
        <v>12</v>
      </c>
      <c r="G3332" t="s">
        <v>5489</v>
      </c>
      <c r="H3332" t="str">
        <f t="shared" si="104"/>
        <v>https://videplast.com.br/consulta-imobilizado?id=30001312&amp;nome=ROUPEIRO%20DE%20AÇO%20C/%2016%20PORTAS%201,98X1,23X0,42</v>
      </c>
      <c r="I3332" t="e">
        <f t="shared" ca="1" si="105"/>
        <v>#NAME?</v>
      </c>
    </row>
    <row r="3333" spans="1:9" x14ac:dyDescent="0.25">
      <c r="A3333" s="2" t="s">
        <v>5529</v>
      </c>
      <c r="B3333" s="2" t="s">
        <v>10</v>
      </c>
      <c r="C3333" s="3">
        <v>42277</v>
      </c>
      <c r="D3333" t="s">
        <v>5499</v>
      </c>
      <c r="E3333" s="2" t="s">
        <v>12</v>
      </c>
      <c r="F3333" s="2" t="s">
        <v>12</v>
      </c>
      <c r="G3333" t="s">
        <v>5489</v>
      </c>
      <c r="H3333" t="str">
        <f t="shared" si="104"/>
        <v>https://videplast.com.br/consulta-imobilizado?id=30001313&amp;nome=ROUPEIRO%20DE%20AÇO%20C/%2016%20PORTAS%201,98X1,23X0,42</v>
      </c>
      <c r="I3333" t="e">
        <f t="shared" ca="1" si="105"/>
        <v>#NAME?</v>
      </c>
    </row>
    <row r="3334" spans="1:9" x14ac:dyDescent="0.25">
      <c r="A3334" s="2" t="s">
        <v>5530</v>
      </c>
      <c r="B3334" s="2" t="s">
        <v>10</v>
      </c>
      <c r="C3334" s="3">
        <v>42277</v>
      </c>
      <c r="D3334" t="s">
        <v>5499</v>
      </c>
      <c r="E3334" s="2" t="s">
        <v>12</v>
      </c>
      <c r="F3334" s="2" t="s">
        <v>12</v>
      </c>
      <c r="G3334" t="s">
        <v>5489</v>
      </c>
      <c r="H3334" t="str">
        <f t="shared" si="104"/>
        <v>https://videplast.com.br/consulta-imobilizado?id=30001314&amp;nome=ROUPEIRO%20DE%20AÇO%20C/%2016%20PORTAS%201,98X1,23X0,42</v>
      </c>
      <c r="I3334" t="e">
        <f t="shared" ca="1" si="105"/>
        <v>#NAME?</v>
      </c>
    </row>
    <row r="3335" spans="1:9" x14ac:dyDescent="0.25">
      <c r="A3335" s="2" t="s">
        <v>5531</v>
      </c>
      <c r="B3335" s="2" t="s">
        <v>10</v>
      </c>
      <c r="C3335" s="3">
        <v>42321</v>
      </c>
      <c r="D3335" t="s">
        <v>5532</v>
      </c>
      <c r="E3335" s="2" t="s">
        <v>12</v>
      </c>
      <c r="F3335" s="2" t="s">
        <v>12</v>
      </c>
      <c r="G3335" t="s">
        <v>5489</v>
      </c>
      <c r="H3335" t="str">
        <f t="shared" si="104"/>
        <v>https://videplast.com.br/consulta-imobilizado?id=30001321&amp;nome=MESA%20DE%201,50X0,70%20%2040MM%20COM%202%20GAVETAS</v>
      </c>
      <c r="I3335" t="e">
        <f t="shared" ca="1" si="105"/>
        <v>#NAME?</v>
      </c>
    </row>
    <row r="3336" spans="1:9" x14ac:dyDescent="0.25">
      <c r="A3336" s="2" t="s">
        <v>5533</v>
      </c>
      <c r="B3336" s="2" t="s">
        <v>10</v>
      </c>
      <c r="C3336" s="3">
        <v>42321</v>
      </c>
      <c r="D3336" t="s">
        <v>5534</v>
      </c>
      <c r="E3336" s="2" t="s">
        <v>12</v>
      </c>
      <c r="F3336" s="2" t="s">
        <v>12</v>
      </c>
      <c r="G3336" t="s">
        <v>5489</v>
      </c>
      <c r="H3336" t="str">
        <f t="shared" si="104"/>
        <v>https://videplast.com.br/consulta-imobilizado?id=30001324&amp;nome=ARMARIO%20BAIXO%200,74X0,90X0,40%20C/%202%20PORTAS</v>
      </c>
      <c r="I3336" t="e">
        <f t="shared" ca="1" si="105"/>
        <v>#NAME?</v>
      </c>
    </row>
    <row r="3337" spans="1:9" x14ac:dyDescent="0.25">
      <c r="A3337" s="2" t="s">
        <v>5535</v>
      </c>
      <c r="B3337" s="2" t="s">
        <v>10</v>
      </c>
      <c r="C3337" s="3">
        <v>42321</v>
      </c>
      <c r="D3337" t="s">
        <v>5536</v>
      </c>
      <c r="E3337" s="2" t="s">
        <v>12</v>
      </c>
      <c r="F3337" s="2" t="s">
        <v>12</v>
      </c>
      <c r="G3337" t="s">
        <v>5489</v>
      </c>
      <c r="H3337" t="str">
        <f t="shared" si="104"/>
        <v>https://videplast.com.br/consulta-imobilizado?id=30001327&amp;nome=CADEIRA%20FIXA%204%20PES%20ERGOPLAX%20PT</v>
      </c>
      <c r="I3337" t="e">
        <f t="shared" ca="1" si="105"/>
        <v>#NAME?</v>
      </c>
    </row>
    <row r="3338" spans="1:9" x14ac:dyDescent="0.25">
      <c r="A3338" s="2" t="s">
        <v>5537</v>
      </c>
      <c r="B3338" s="2" t="s">
        <v>10</v>
      </c>
      <c r="C3338" s="3">
        <v>42321</v>
      </c>
      <c r="D3338" t="s">
        <v>5536</v>
      </c>
      <c r="E3338" s="2" t="s">
        <v>12</v>
      </c>
      <c r="F3338" s="2" t="s">
        <v>12</v>
      </c>
      <c r="G3338" t="s">
        <v>5489</v>
      </c>
      <c r="H3338" t="str">
        <f t="shared" si="104"/>
        <v>https://videplast.com.br/consulta-imobilizado?id=30001328&amp;nome=CADEIRA%20FIXA%204%20PES%20ERGOPLAX%20PT</v>
      </c>
      <c r="I3338" t="e">
        <f t="shared" ca="1" si="105"/>
        <v>#NAME?</v>
      </c>
    </row>
    <row r="3339" spans="1:9" x14ac:dyDescent="0.25">
      <c r="A3339" s="2" t="s">
        <v>5538</v>
      </c>
      <c r="B3339" s="2" t="s">
        <v>10</v>
      </c>
      <c r="C3339" s="3">
        <v>42321</v>
      </c>
      <c r="D3339" t="s">
        <v>5539</v>
      </c>
      <c r="E3339" s="2" t="s">
        <v>12</v>
      </c>
      <c r="F3339" s="2" t="s">
        <v>12</v>
      </c>
      <c r="G3339" t="s">
        <v>5489</v>
      </c>
      <c r="H3339" t="str">
        <f t="shared" si="104"/>
        <v>https://videplast.com.br/consulta-imobilizado?id=30001333&amp;nome=LONGARINA%20ERGOPLAX%203%20LUGARES%20BASE%20AÇO</v>
      </c>
      <c r="I3339" t="e">
        <f t="shared" ca="1" si="105"/>
        <v>#NAME?</v>
      </c>
    </row>
    <row r="3340" spans="1:9" x14ac:dyDescent="0.25">
      <c r="A3340" s="2" t="s">
        <v>5540</v>
      </c>
      <c r="B3340" s="2" t="s">
        <v>10</v>
      </c>
      <c r="C3340" s="3">
        <v>42321</v>
      </c>
      <c r="D3340" t="s">
        <v>5541</v>
      </c>
      <c r="E3340" s="2" t="s">
        <v>12</v>
      </c>
      <c r="F3340" s="2" t="s">
        <v>12</v>
      </c>
      <c r="G3340" t="s">
        <v>5489</v>
      </c>
      <c r="H3340" t="str">
        <f t="shared" si="104"/>
        <v>https://videplast.com.br/consulta-imobilizado?id=30001336&amp;nome=POLTRONA%20EXECUTIVA%20GIRAT%20C/%20BRAÇO%20COURO</v>
      </c>
      <c r="I3340" t="e">
        <f t="shared" ca="1" si="105"/>
        <v>#NAME?</v>
      </c>
    </row>
    <row r="3341" spans="1:9" x14ac:dyDescent="0.25">
      <c r="A3341" s="2" t="s">
        <v>5542</v>
      </c>
      <c r="B3341" s="2" t="s">
        <v>10</v>
      </c>
      <c r="C3341" s="3">
        <v>42317</v>
      </c>
      <c r="D3341" t="s">
        <v>5543</v>
      </c>
      <c r="E3341" s="2" t="s">
        <v>12</v>
      </c>
      <c r="F3341" s="2" t="s">
        <v>12</v>
      </c>
      <c r="G3341" t="s">
        <v>5489</v>
      </c>
      <c r="H3341" t="str">
        <f t="shared" si="104"/>
        <v>https://videplast.com.br/consulta-imobilizado?id=30001342&amp;nome=ARMARIO%20ORGANIZADOR%20DE%20CHAVES%20PARA%20254%20CHAVEIROS</v>
      </c>
      <c r="I3341" t="e">
        <f t="shared" ca="1" si="105"/>
        <v>#NAME?</v>
      </c>
    </row>
    <row r="3342" spans="1:9" x14ac:dyDescent="0.25">
      <c r="A3342" s="2" t="s">
        <v>5544</v>
      </c>
      <c r="B3342" s="2" t="s">
        <v>10</v>
      </c>
      <c r="C3342" s="3">
        <v>42317</v>
      </c>
      <c r="D3342" t="s">
        <v>5543</v>
      </c>
      <c r="E3342" s="2" t="s">
        <v>12</v>
      </c>
      <c r="F3342" s="2" t="s">
        <v>12</v>
      </c>
      <c r="G3342" t="s">
        <v>5489</v>
      </c>
      <c r="H3342" t="str">
        <f t="shared" si="104"/>
        <v>https://videplast.com.br/consulta-imobilizado?id=30001343&amp;nome=ARMARIO%20ORGANIZADOR%20DE%20CHAVES%20PARA%20254%20CHAVEIROS</v>
      </c>
      <c r="I3342" t="e">
        <f t="shared" ca="1" si="105"/>
        <v>#NAME?</v>
      </c>
    </row>
    <row r="3343" spans="1:9" x14ac:dyDescent="0.25">
      <c r="A3343" s="2" t="s">
        <v>5545</v>
      </c>
      <c r="B3343" s="2" t="s">
        <v>10</v>
      </c>
      <c r="C3343" s="3">
        <v>42859</v>
      </c>
      <c r="D3343" t="s">
        <v>5546</v>
      </c>
      <c r="E3343" s="2" t="s">
        <v>5547</v>
      </c>
      <c r="F3343" s="2" t="s">
        <v>12</v>
      </c>
      <c r="G3343" t="s">
        <v>5489</v>
      </c>
      <c r="H3343" t="str">
        <f t="shared" si="104"/>
        <v>https://videplast.com.br/consulta-imobilizado?id=30001592&amp;nome=IMPRESSORA%20PARA%20CRACHAS%20CD800%20DUO</v>
      </c>
      <c r="I3343" t="e">
        <f t="shared" ca="1" si="105"/>
        <v>#NAME?</v>
      </c>
    </row>
    <row r="3344" spans="1:9" x14ac:dyDescent="0.25">
      <c r="A3344" s="2" t="s">
        <v>5548</v>
      </c>
      <c r="B3344" s="2" t="s">
        <v>10</v>
      </c>
      <c r="C3344" s="3">
        <v>43227</v>
      </c>
      <c r="D3344" t="s">
        <v>5549</v>
      </c>
      <c r="E3344" s="2" t="s">
        <v>12</v>
      </c>
      <c r="F3344" s="2" t="s">
        <v>12</v>
      </c>
      <c r="G3344" t="s">
        <v>5489</v>
      </c>
      <c r="H3344" t="str">
        <f t="shared" si="104"/>
        <v>https://videplast.com.br/consulta-imobilizado?id=30001701&amp;nome=TELEVISAO%20LG%20TELA%20PLANA%2042%20LED%20FULL%20HD</v>
      </c>
      <c r="I3344" t="e">
        <f t="shared" ca="1" si="105"/>
        <v>#NAME?</v>
      </c>
    </row>
    <row r="3345" spans="1:9" x14ac:dyDescent="0.25">
      <c r="A3345" s="2" t="s">
        <v>5550</v>
      </c>
      <c r="B3345" s="2" t="s">
        <v>10</v>
      </c>
      <c r="C3345" s="3">
        <v>44691</v>
      </c>
      <c r="D3345" t="s">
        <v>5551</v>
      </c>
      <c r="E3345" s="2" t="s">
        <v>5552</v>
      </c>
      <c r="F3345" s="2" t="s">
        <v>12</v>
      </c>
      <c r="G3345" t="s">
        <v>5489</v>
      </c>
      <c r="H3345" t="str">
        <f t="shared" si="104"/>
        <v>https://videplast.com.br/consulta-imobilizado?id=30003616&amp;nome=AR%20CONDICIONADO%20EXT/INT%20FUJITSU%2018000%20BTUS%20220V</v>
      </c>
      <c r="I3345" t="e">
        <f t="shared" ca="1" si="105"/>
        <v>#NAME?</v>
      </c>
    </row>
    <row r="3346" spans="1:9" x14ac:dyDescent="0.25">
      <c r="A3346" s="2" t="s">
        <v>5553</v>
      </c>
      <c r="B3346" s="2" t="s">
        <v>10</v>
      </c>
      <c r="C3346" s="3">
        <v>44733</v>
      </c>
      <c r="D3346" t="s">
        <v>5554</v>
      </c>
      <c r="E3346" s="2" t="s">
        <v>5555</v>
      </c>
      <c r="F3346" s="2" t="s">
        <v>12</v>
      </c>
      <c r="G3346" t="s">
        <v>5489</v>
      </c>
      <c r="H3346" t="str">
        <f t="shared" si="104"/>
        <v>https://videplast.com.br/consulta-imobilizado?id=30003626&amp;nome=MESA%20EM%20MDF%20CINZA%203,70×0,75×1,30%20DIVISÃO%20EM%20VIDRO</v>
      </c>
      <c r="I3346" t="e">
        <f t="shared" ca="1" si="105"/>
        <v>#NAME?</v>
      </c>
    </row>
    <row r="3347" spans="1:9" x14ac:dyDescent="0.25">
      <c r="A3347" s="2" t="s">
        <v>5556</v>
      </c>
      <c r="B3347" s="2" t="s">
        <v>10</v>
      </c>
      <c r="C3347" s="3">
        <v>44733</v>
      </c>
      <c r="D3347" t="s">
        <v>5557</v>
      </c>
      <c r="E3347" s="2" t="s">
        <v>5558</v>
      </c>
      <c r="F3347" s="2" t="s">
        <v>12</v>
      </c>
      <c r="G3347" t="s">
        <v>5489</v>
      </c>
      <c r="H3347" t="str">
        <f t="shared" si="104"/>
        <v>https://videplast.com.br/consulta-imobilizado?id=30003627&amp;nome=GAVETEIRO%20FIXO%202%20GAVETAS%20COM%20CHAVE</v>
      </c>
      <c r="I3347" t="e">
        <f t="shared" ca="1" si="105"/>
        <v>#NAME?</v>
      </c>
    </row>
    <row r="3348" spans="1:9" x14ac:dyDescent="0.25">
      <c r="A3348" s="2" t="s">
        <v>5559</v>
      </c>
      <c r="B3348" s="2" t="s">
        <v>10</v>
      </c>
      <c r="C3348" s="3">
        <v>44733</v>
      </c>
      <c r="D3348" t="s">
        <v>5557</v>
      </c>
      <c r="E3348" s="2" t="s">
        <v>5560</v>
      </c>
      <c r="F3348" s="2" t="s">
        <v>12</v>
      </c>
      <c r="G3348" t="s">
        <v>5489</v>
      </c>
      <c r="H3348" t="str">
        <f t="shared" si="104"/>
        <v>https://videplast.com.br/consulta-imobilizado?id=30003628&amp;nome=GAVETEIRO%20FIXO%202%20GAVETAS%20COM%20CHAVE</v>
      </c>
      <c r="I3348" t="e">
        <f t="shared" ca="1" si="105"/>
        <v>#NAME?</v>
      </c>
    </row>
    <row r="3349" spans="1:9" x14ac:dyDescent="0.25">
      <c r="A3349" s="2" t="s">
        <v>5561</v>
      </c>
      <c r="B3349" s="2" t="s">
        <v>10</v>
      </c>
      <c r="C3349" s="3">
        <v>44733</v>
      </c>
      <c r="D3349" t="s">
        <v>5557</v>
      </c>
      <c r="E3349" s="2" t="s">
        <v>5562</v>
      </c>
      <c r="F3349" s="2" t="s">
        <v>12</v>
      </c>
      <c r="G3349" t="s">
        <v>5489</v>
      </c>
      <c r="H3349" t="str">
        <f t="shared" si="104"/>
        <v>https://videplast.com.br/consulta-imobilizado?id=30003629&amp;nome=GAVETEIRO%20FIXO%202%20GAVETAS%20COM%20CHAVE</v>
      </c>
      <c r="I3349" t="e">
        <f t="shared" ca="1" si="105"/>
        <v>#NAME?</v>
      </c>
    </row>
    <row r="3350" spans="1:9" x14ac:dyDescent="0.25">
      <c r="A3350" s="2" t="s">
        <v>5563</v>
      </c>
      <c r="B3350" s="2" t="s">
        <v>10</v>
      </c>
      <c r="C3350" s="3">
        <v>44733</v>
      </c>
      <c r="D3350" t="s">
        <v>5557</v>
      </c>
      <c r="E3350" s="2" t="s">
        <v>5564</v>
      </c>
      <c r="F3350" s="2" t="s">
        <v>12</v>
      </c>
      <c r="G3350" t="s">
        <v>5489</v>
      </c>
      <c r="H3350" t="str">
        <f t="shared" si="104"/>
        <v>https://videplast.com.br/consulta-imobilizado?id=30003630&amp;nome=GAVETEIRO%20FIXO%202%20GAVETAS%20COM%20CHAVE</v>
      </c>
      <c r="I3350" t="e">
        <f t="shared" ca="1" si="105"/>
        <v>#NAME?</v>
      </c>
    </row>
    <row r="3351" spans="1:9" x14ac:dyDescent="0.25">
      <c r="A3351" s="2" t="s">
        <v>5565</v>
      </c>
      <c r="B3351" s="2" t="s">
        <v>10</v>
      </c>
      <c r="C3351" s="3">
        <v>44733</v>
      </c>
      <c r="D3351" t="s">
        <v>5557</v>
      </c>
      <c r="E3351" s="2" t="s">
        <v>5566</v>
      </c>
      <c r="F3351" s="2" t="s">
        <v>12</v>
      </c>
      <c r="G3351" t="s">
        <v>5489</v>
      </c>
      <c r="H3351" t="str">
        <f t="shared" si="104"/>
        <v>https://videplast.com.br/consulta-imobilizado?id=30003631&amp;nome=GAVETEIRO%20FIXO%202%20GAVETAS%20COM%20CHAVE</v>
      </c>
      <c r="I3351" t="e">
        <f t="shared" ca="1" si="105"/>
        <v>#NAME?</v>
      </c>
    </row>
    <row r="3352" spans="1:9" x14ac:dyDescent="0.25">
      <c r="A3352" s="2" t="s">
        <v>5567</v>
      </c>
      <c r="B3352" s="2" t="s">
        <v>10</v>
      </c>
      <c r="C3352" s="3">
        <v>44733</v>
      </c>
      <c r="D3352" t="s">
        <v>5557</v>
      </c>
      <c r="E3352" s="2" t="s">
        <v>5568</v>
      </c>
      <c r="F3352" s="2" t="s">
        <v>12</v>
      </c>
      <c r="G3352" t="s">
        <v>5489</v>
      </c>
      <c r="H3352" t="str">
        <f t="shared" si="104"/>
        <v>https://videplast.com.br/consulta-imobilizado?id=30003632&amp;nome=GAVETEIRO%20FIXO%202%20GAVETAS%20COM%20CHAVE</v>
      </c>
      <c r="I3352" t="e">
        <f t="shared" ca="1" si="105"/>
        <v>#NAME?</v>
      </c>
    </row>
    <row r="3353" spans="1:9" x14ac:dyDescent="0.25">
      <c r="A3353" s="2" t="s">
        <v>5569</v>
      </c>
      <c r="B3353" s="2" t="s">
        <v>10</v>
      </c>
      <c r="C3353" s="3">
        <v>44887</v>
      </c>
      <c r="D3353" t="s">
        <v>5570</v>
      </c>
      <c r="E3353" s="2" t="s">
        <v>5571</v>
      </c>
      <c r="F3353" s="2" t="s">
        <v>5572</v>
      </c>
      <c r="G3353" t="s">
        <v>5489</v>
      </c>
      <c r="H3353" t="str">
        <f t="shared" si="104"/>
        <v>https://videplast.com.br/consulta-imobilizado?id=30003745&amp;nome=AR%20CONDICIONADO%20INT/EXT%20FRIO%20FUJITSU%209000%20BTUS</v>
      </c>
      <c r="I3353" t="e">
        <f t="shared" ca="1" si="105"/>
        <v>#NAME?</v>
      </c>
    </row>
    <row r="3354" spans="1:9" x14ac:dyDescent="0.25">
      <c r="A3354" s="2" t="s">
        <v>5573</v>
      </c>
      <c r="B3354" s="2" t="s">
        <v>10</v>
      </c>
      <c r="C3354" s="3">
        <v>45516</v>
      </c>
      <c r="D3354" t="s">
        <v>5574</v>
      </c>
      <c r="E3354" s="2" t="s">
        <v>12</v>
      </c>
      <c r="F3354" s="2" t="s">
        <v>12</v>
      </c>
      <c r="G3354" t="s">
        <v>5489</v>
      </c>
      <c r="H3354" t="str">
        <f t="shared" si="104"/>
        <v>https://videplast.com.br/consulta-imobilizado?id=30004289&amp;nome=CADEIRA%20GIRATORIA%20SECRETARIA%20AZUL</v>
      </c>
      <c r="I3354" t="e">
        <f t="shared" ca="1" si="105"/>
        <v>#NAME?</v>
      </c>
    </row>
    <row r="3355" spans="1:9" x14ac:dyDescent="0.25">
      <c r="A3355" s="2" t="s">
        <v>5575</v>
      </c>
      <c r="B3355" s="2" t="s">
        <v>10</v>
      </c>
      <c r="C3355" s="3">
        <v>45653</v>
      </c>
      <c r="D3355" t="s">
        <v>5576</v>
      </c>
      <c r="E3355" s="2" t="s">
        <v>12</v>
      </c>
      <c r="F3355" s="2" t="s">
        <v>5577</v>
      </c>
      <c r="G3355" t="s">
        <v>5489</v>
      </c>
      <c r="H3355" t="str">
        <f t="shared" si="104"/>
        <v>https://videplast.com.br/consulta-imobilizado?id=30004472&amp;nome=CLIMATIZADOR%20ROTOPLAST%20ROTO%2046%20PORTATIL</v>
      </c>
      <c r="I3355" t="e">
        <f t="shared" ca="1" si="105"/>
        <v>#NAME?</v>
      </c>
    </row>
    <row r="3356" spans="1:9" x14ac:dyDescent="0.25">
      <c r="A3356" s="2" t="s">
        <v>5578</v>
      </c>
      <c r="B3356" s="2" t="s">
        <v>10</v>
      </c>
      <c r="C3356" s="3">
        <v>45721</v>
      </c>
      <c r="D3356" t="s">
        <v>5576</v>
      </c>
      <c r="E3356" s="2" t="s">
        <v>12</v>
      </c>
      <c r="F3356" s="2" t="s">
        <v>5577</v>
      </c>
      <c r="G3356" t="s">
        <v>5489</v>
      </c>
      <c r="H3356" t="str">
        <f t="shared" si="104"/>
        <v>https://videplast.com.br/consulta-imobilizado?id=30004493&amp;nome=CLIMATIZADOR%20ROTOPLAST%20ROTO%2046%20PORTATIL</v>
      </c>
      <c r="I3356" t="e">
        <f t="shared" ca="1" si="105"/>
        <v>#NAME?</v>
      </c>
    </row>
    <row r="3357" spans="1:9" x14ac:dyDescent="0.25">
      <c r="A3357" s="2" t="s">
        <v>5579</v>
      </c>
      <c r="B3357" s="2" t="s">
        <v>10</v>
      </c>
      <c r="C3357" s="3">
        <v>42917</v>
      </c>
      <c r="D3357" t="s">
        <v>5291</v>
      </c>
      <c r="E3357" s="2" t="s">
        <v>5580</v>
      </c>
      <c r="F3357" s="2" t="s">
        <v>12</v>
      </c>
      <c r="G3357" t="s">
        <v>5489</v>
      </c>
      <c r="H3357" t="str">
        <f t="shared" si="104"/>
        <v>https://videplast.com.br/consulta-imobilizado?id=32001026&amp;nome=MONITOR%2018,5"%20LED%20LS19C301FSMZD</v>
      </c>
      <c r="I3357" t="e">
        <f t="shared" ca="1" si="105"/>
        <v>#NAME?</v>
      </c>
    </row>
    <row r="3358" spans="1:9" x14ac:dyDescent="0.25">
      <c r="A3358" s="2" t="s">
        <v>5581</v>
      </c>
      <c r="B3358" s="2" t="s">
        <v>10</v>
      </c>
      <c r="C3358" s="3">
        <v>42917</v>
      </c>
      <c r="D3358" t="s">
        <v>5291</v>
      </c>
      <c r="E3358" s="2" t="s">
        <v>5582</v>
      </c>
      <c r="F3358" s="2" t="s">
        <v>12</v>
      </c>
      <c r="G3358" t="s">
        <v>5489</v>
      </c>
      <c r="H3358" t="str">
        <f t="shared" si="104"/>
        <v>https://videplast.com.br/consulta-imobilizado?id=32001027&amp;nome=MONITOR%2018,5"%20LED%20LS19C301FSMZD</v>
      </c>
      <c r="I3358" t="e">
        <f t="shared" ca="1" si="105"/>
        <v>#NAME?</v>
      </c>
    </row>
    <row r="3359" spans="1:9" x14ac:dyDescent="0.25">
      <c r="A3359" s="2" t="s">
        <v>5583</v>
      </c>
      <c r="B3359" s="2" t="s">
        <v>10</v>
      </c>
      <c r="C3359" s="3">
        <v>44496</v>
      </c>
      <c r="D3359" t="s">
        <v>5584</v>
      </c>
      <c r="E3359" s="2" t="s">
        <v>12</v>
      </c>
      <c r="F3359" s="2" t="s">
        <v>5585</v>
      </c>
      <c r="G3359" t="s">
        <v>5489</v>
      </c>
      <c r="H3359" s="5" t="str">
        <f t="shared" si="104"/>
        <v>https://videplast.com.br/consulta-imobilizado?id=32002223&amp;nome=COMPUTADOR%20DELL%20OPTILEX/VOSTRO%20i3%204GB%20HD%20SSD256GB</v>
      </c>
      <c r="I3359" t="e">
        <f t="shared" ca="1" si="105"/>
        <v>#NAME?</v>
      </c>
    </row>
    <row r="3360" spans="1:9" x14ac:dyDescent="0.25">
      <c r="A3360" s="2" t="s">
        <v>5586</v>
      </c>
      <c r="B3360" s="2" t="s">
        <v>10</v>
      </c>
      <c r="C3360" s="3">
        <v>44496</v>
      </c>
      <c r="D3360" t="s">
        <v>4464</v>
      </c>
      <c r="E3360" s="2" t="s">
        <v>12</v>
      </c>
      <c r="F3360" s="2" t="s">
        <v>5587</v>
      </c>
      <c r="G3360" t="s">
        <v>5489</v>
      </c>
      <c r="H3360" t="str">
        <f t="shared" si="104"/>
        <v>https://videplast.com.br/consulta-imobilizado?id=32002225&amp;nome=NOTEBOOK%20DELL%20VOSTRO%2014%20i5%208GB%20HD%20SSD240GB%20W10P</v>
      </c>
      <c r="I3360" t="e">
        <f t="shared" ca="1" si="105"/>
        <v>#NAME?</v>
      </c>
    </row>
    <row r="3361" spans="1:9" x14ac:dyDescent="0.25">
      <c r="A3361" s="2" t="s">
        <v>5588</v>
      </c>
      <c r="B3361" s="2" t="s">
        <v>10</v>
      </c>
      <c r="C3361" s="3">
        <v>44590</v>
      </c>
      <c r="D3361" t="s">
        <v>3640</v>
      </c>
      <c r="E3361" s="2" t="s">
        <v>5589</v>
      </c>
      <c r="F3361" s="2" t="s">
        <v>12</v>
      </c>
      <c r="G3361" t="s">
        <v>5489</v>
      </c>
      <c r="H3361" t="str">
        <f t="shared" si="104"/>
        <v>https://videplast.com.br/consulta-imobilizado?id=32002284&amp;nome=CATRACA%20FIT%204%20TOPDATA%20LEITOR%20DE%20BIOMETRIA%20E%20BARRAS</v>
      </c>
      <c r="I3361" t="e">
        <f t="shared" ca="1" si="105"/>
        <v>#NAME?</v>
      </c>
    </row>
    <row r="3362" spans="1:9" x14ac:dyDescent="0.25">
      <c r="A3362" s="2" t="s">
        <v>5590</v>
      </c>
      <c r="B3362" s="2" t="s">
        <v>10</v>
      </c>
      <c r="C3362" s="3">
        <v>44679</v>
      </c>
      <c r="D3362" t="s">
        <v>5591</v>
      </c>
      <c r="E3362" s="2" t="s">
        <v>5592</v>
      </c>
      <c r="F3362" s="2" t="s">
        <v>12</v>
      </c>
      <c r="G3362" t="s">
        <v>5489</v>
      </c>
      <c r="H3362" t="str">
        <f t="shared" si="104"/>
        <v>https://videplast.com.br/consulta-imobilizado?id=32002403&amp;nome=CATRACA%20FIT%204%20COM%20LEITOR%20BIOMETRIA%20E%20COD.%20BARRAS</v>
      </c>
      <c r="I3362" t="e">
        <f t="shared" ca="1" si="105"/>
        <v>#NAME?</v>
      </c>
    </row>
    <row r="3363" spans="1:9" x14ac:dyDescent="0.25">
      <c r="A3363" s="2" t="s">
        <v>5593</v>
      </c>
      <c r="B3363" s="2" t="s">
        <v>10</v>
      </c>
      <c r="C3363" s="3">
        <v>45050</v>
      </c>
      <c r="D3363" t="s">
        <v>3003</v>
      </c>
      <c r="E3363" s="2" t="s">
        <v>12</v>
      </c>
      <c r="F3363" s="2" t="s">
        <v>5594</v>
      </c>
      <c r="G3363" t="s">
        <v>5489</v>
      </c>
      <c r="H3363" t="str">
        <f t="shared" si="104"/>
        <v>https://videplast.com.br/consulta-imobilizado?id=32002671&amp;nome=MONITOR%20DELL%20LED%2020"%20E2222HS</v>
      </c>
      <c r="I3363" t="e">
        <f t="shared" ca="1" si="105"/>
        <v>#NAME?</v>
      </c>
    </row>
    <row r="3364" spans="1:9" x14ac:dyDescent="0.25">
      <c r="A3364" s="2" t="s">
        <v>5595</v>
      </c>
      <c r="B3364" s="2" t="s">
        <v>10</v>
      </c>
      <c r="C3364" s="3">
        <v>45177</v>
      </c>
      <c r="D3364" t="s">
        <v>5596</v>
      </c>
      <c r="E3364" s="2" t="s">
        <v>12</v>
      </c>
      <c r="F3364" s="2" t="s">
        <v>5597</v>
      </c>
      <c r="G3364" t="s">
        <v>5489</v>
      </c>
      <c r="H3364" t="str">
        <f t="shared" si="104"/>
        <v>https://videplast.com.br/consulta-imobilizado?id=32002755&amp;nome=TERMINAL%20DE%20AUTO%20ATENDIMENTO%20GT%20PRO%20AÇO%2018,5"</v>
      </c>
      <c r="I3364" t="e">
        <f t="shared" ca="1" si="105"/>
        <v>#NAME?</v>
      </c>
    </row>
    <row r="3365" spans="1:9" x14ac:dyDescent="0.25">
      <c r="A3365" s="2" t="s">
        <v>5598</v>
      </c>
      <c r="B3365" s="2" t="s">
        <v>10</v>
      </c>
      <c r="C3365" s="3">
        <v>45435</v>
      </c>
      <c r="D3365" t="s">
        <v>4457</v>
      </c>
      <c r="E3365" s="2" t="s">
        <v>12</v>
      </c>
      <c r="F3365" s="2" t="s">
        <v>5599</v>
      </c>
      <c r="G3365" t="s">
        <v>5489</v>
      </c>
      <c r="H3365" t="str">
        <f t="shared" si="104"/>
        <v>https://videplast.com.br/consulta-imobilizado?id=32002980&amp;nome=MONITOR%20LED%2024"%20DELL%20ULTRASHARP%20U2415</v>
      </c>
      <c r="I3365" t="e">
        <f t="shared" ca="1" si="105"/>
        <v>#NAME?</v>
      </c>
    </row>
    <row r="3366" spans="1:9" x14ac:dyDescent="0.25">
      <c r="A3366" s="2" t="s">
        <v>5600</v>
      </c>
      <c r="B3366" s="2" t="s">
        <v>10</v>
      </c>
      <c r="C3366" s="3">
        <v>45435</v>
      </c>
      <c r="D3366" t="s">
        <v>4457</v>
      </c>
      <c r="E3366" s="2" t="s">
        <v>12</v>
      </c>
      <c r="F3366" s="2" t="s">
        <v>5601</v>
      </c>
      <c r="G3366" t="s">
        <v>5489</v>
      </c>
      <c r="H3366" t="str">
        <f t="shared" si="104"/>
        <v>https://videplast.com.br/consulta-imobilizado?id=32002981&amp;nome=MONITOR%20LED%2024"%20DELL%20ULTRASHARP%20U2415</v>
      </c>
      <c r="I3366" t="e">
        <f t="shared" ca="1" si="105"/>
        <v>#NAME?</v>
      </c>
    </row>
    <row r="3367" spans="1:9" x14ac:dyDescent="0.25">
      <c r="A3367" s="2" t="s">
        <v>5602</v>
      </c>
      <c r="B3367" s="2" t="s">
        <v>10</v>
      </c>
      <c r="C3367" s="3">
        <v>42726</v>
      </c>
      <c r="D3367" t="s">
        <v>5603</v>
      </c>
      <c r="E3367" s="2" t="s">
        <v>12</v>
      </c>
      <c r="F3367" s="2" t="s">
        <v>12</v>
      </c>
      <c r="G3367" t="s">
        <v>5604</v>
      </c>
      <c r="H3367" t="str">
        <f t="shared" si="104"/>
        <v>https://videplast.com.br/consulta-imobilizado?id=11000139&amp;nome=EDIFICAÇÃO%20RH%20,%20SALA%20DE%20ESPERA%20,BANHEIROS</v>
      </c>
      <c r="I3367" t="e">
        <f t="shared" ca="1" si="105"/>
        <v>#NAME?</v>
      </c>
    </row>
    <row r="3368" spans="1:9" x14ac:dyDescent="0.25">
      <c r="A3368" s="2" t="s">
        <v>5605</v>
      </c>
      <c r="B3368" s="2" t="s">
        <v>10</v>
      </c>
      <c r="C3368" s="3">
        <v>41029</v>
      </c>
      <c r="D3368" t="s">
        <v>5606</v>
      </c>
      <c r="E3368" s="2" t="s">
        <v>12</v>
      </c>
      <c r="F3368" s="2" t="s">
        <v>5607</v>
      </c>
      <c r="G3368" t="s">
        <v>5608</v>
      </c>
      <c r="H3368" t="str">
        <f t="shared" si="104"/>
        <v>https://videplast.com.br/consulta-imobilizado?id=21000321&amp;nome=BALANCA%20DE%20BANCADA%2050KGX5G%20400X400M%20CARBONO</v>
      </c>
      <c r="I3368" t="e">
        <f t="shared" ca="1" si="105"/>
        <v>#NAME?</v>
      </c>
    </row>
    <row r="3369" spans="1:9" x14ac:dyDescent="0.25">
      <c r="A3369" s="2" t="s">
        <v>5609</v>
      </c>
      <c r="B3369" s="2" t="s">
        <v>10</v>
      </c>
      <c r="C3369" s="3">
        <v>39758</v>
      </c>
      <c r="D3369" t="s">
        <v>5610</v>
      </c>
      <c r="E3369" s="2" t="s">
        <v>12</v>
      </c>
      <c r="F3369" s="2" t="s">
        <v>12</v>
      </c>
      <c r="G3369" t="s">
        <v>5608</v>
      </c>
      <c r="H3369" t="str">
        <f t="shared" si="104"/>
        <v>https://videplast.com.br/consulta-imobilizado?id=21000323&amp;nome=DENSITOMETRO%20DE%20TRANSMISSAO%20X-RITE%20PORTATIL%20341</v>
      </c>
      <c r="I3369" t="e">
        <f t="shared" ca="1" si="105"/>
        <v>#NAME?</v>
      </c>
    </row>
    <row r="3370" spans="1:9" x14ac:dyDescent="0.25">
      <c r="A3370" s="2" t="s">
        <v>5611</v>
      </c>
      <c r="B3370" s="2" t="s">
        <v>10</v>
      </c>
      <c r="C3370" s="3">
        <v>41090</v>
      </c>
      <c r="D3370" t="s">
        <v>5612</v>
      </c>
      <c r="E3370" s="2" t="s">
        <v>12</v>
      </c>
      <c r="F3370" s="2" t="s">
        <v>12</v>
      </c>
      <c r="G3370" t="s">
        <v>5608</v>
      </c>
      <c r="H3370" t="str">
        <f t="shared" si="104"/>
        <v>https://videplast.com.br/consulta-imobilizado?id=21000326&amp;nome=MOTOR%20PNEUMATICO%20MOD.%20MA%20300</v>
      </c>
      <c r="I3370" t="e">
        <f t="shared" ca="1" si="105"/>
        <v>#NAME?</v>
      </c>
    </row>
    <row r="3371" spans="1:9" x14ac:dyDescent="0.25">
      <c r="A3371" s="2" t="s">
        <v>5611</v>
      </c>
      <c r="B3371" s="2" t="s">
        <v>26</v>
      </c>
      <c r="C3371" s="3">
        <v>41090</v>
      </c>
      <c r="D3371" t="s">
        <v>5613</v>
      </c>
      <c r="E3371" s="2" t="s">
        <v>12</v>
      </c>
      <c r="F3371" s="2" t="s">
        <v>12</v>
      </c>
      <c r="G3371" t="s">
        <v>5608</v>
      </c>
      <c r="H3371" t="str">
        <f t="shared" si="104"/>
        <v>https://videplast.com.br/consulta-imobilizado?id=21000326&amp;nome=SILENCIADOR%2012%20NPT</v>
      </c>
      <c r="I3371" t="e">
        <f t="shared" ca="1" si="105"/>
        <v>#NAME?</v>
      </c>
    </row>
    <row r="3372" spans="1:9" x14ac:dyDescent="0.25">
      <c r="A3372" s="2" t="s">
        <v>5611</v>
      </c>
      <c r="B3372" s="2" t="s">
        <v>21</v>
      </c>
      <c r="C3372" s="3">
        <v>41213</v>
      </c>
      <c r="D3372" t="s">
        <v>5614</v>
      </c>
      <c r="E3372" s="2" t="s">
        <v>12</v>
      </c>
      <c r="F3372" s="2" t="s">
        <v>12</v>
      </c>
      <c r="G3372" t="s">
        <v>5608</v>
      </c>
      <c r="H3372" t="str">
        <f t="shared" si="104"/>
        <v>https://videplast.com.br/consulta-imobilizado?id=21000326&amp;nome=LUVA%20HASTE%20MISTURADORA%2034%20X%20900%20MM%20INOX</v>
      </c>
      <c r="I3372" t="e">
        <f t="shared" ca="1" si="105"/>
        <v>#NAME?</v>
      </c>
    </row>
    <row r="3373" spans="1:9" x14ac:dyDescent="0.25">
      <c r="A3373" s="2" t="s">
        <v>5611</v>
      </c>
      <c r="B3373" s="2" t="s">
        <v>29</v>
      </c>
      <c r="C3373" s="3">
        <v>41213</v>
      </c>
      <c r="D3373" t="s">
        <v>5615</v>
      </c>
      <c r="E3373" s="2" t="s">
        <v>12</v>
      </c>
      <c r="F3373" s="2" t="s">
        <v>12</v>
      </c>
      <c r="G3373" t="s">
        <v>5608</v>
      </c>
      <c r="H3373" t="str">
        <f t="shared" si="104"/>
        <v>https://videplast.com.br/consulta-imobilizado?id=21000326&amp;nome=HELICE%20INTERMEDIARIA%20DO%20EIXO%20190MM%20INOX</v>
      </c>
      <c r="I3373" t="e">
        <f t="shared" ca="1" si="105"/>
        <v>#NAME?</v>
      </c>
    </row>
    <row r="3374" spans="1:9" x14ac:dyDescent="0.25">
      <c r="A3374" s="2" t="s">
        <v>5611</v>
      </c>
      <c r="B3374" s="2" t="s">
        <v>31</v>
      </c>
      <c r="C3374" s="3">
        <v>41213</v>
      </c>
      <c r="D3374" t="s">
        <v>5616</v>
      </c>
      <c r="E3374" s="2" t="s">
        <v>12</v>
      </c>
      <c r="F3374" s="2" t="s">
        <v>12</v>
      </c>
      <c r="G3374" t="s">
        <v>5608</v>
      </c>
      <c r="H3374" t="str">
        <f t="shared" si="104"/>
        <v>https://videplast.com.br/consulta-imobilizado?id=21000326&amp;nome=HELICE%20FUNDO%20DO%20EIXO%20195%20CUBO%2031</v>
      </c>
      <c r="I3374" t="e">
        <f t="shared" ca="1" si="105"/>
        <v>#NAME?</v>
      </c>
    </row>
    <row r="3375" spans="1:9" x14ac:dyDescent="0.25">
      <c r="A3375" s="2" t="s">
        <v>5617</v>
      </c>
      <c r="B3375" s="2" t="s">
        <v>10</v>
      </c>
      <c r="C3375" s="3">
        <v>41305</v>
      </c>
      <c r="D3375" t="s">
        <v>5618</v>
      </c>
      <c r="E3375" s="2" t="s">
        <v>12</v>
      </c>
      <c r="F3375" s="2" t="s">
        <v>12</v>
      </c>
      <c r="G3375" t="s">
        <v>5608</v>
      </c>
      <c r="H3375" t="str">
        <f t="shared" si="104"/>
        <v>https://videplast.com.br/consulta-imobilizado?id=21000343&amp;nome=AGITADOR%20MECANICO%20C/SUP%20MODELO%20713</v>
      </c>
      <c r="I3375" t="e">
        <f t="shared" ca="1" si="105"/>
        <v>#NAME?</v>
      </c>
    </row>
    <row r="3376" spans="1:9" x14ac:dyDescent="0.25">
      <c r="A3376" s="2" t="s">
        <v>5619</v>
      </c>
      <c r="B3376" s="2" t="s">
        <v>10</v>
      </c>
      <c r="C3376" s="3">
        <v>39366</v>
      </c>
      <c r="D3376" t="s">
        <v>5620</v>
      </c>
      <c r="E3376" s="2" t="s">
        <v>12</v>
      </c>
      <c r="F3376" s="2" t="s">
        <v>12</v>
      </c>
      <c r="G3376" t="s">
        <v>5608</v>
      </c>
      <c r="H3376" t="str">
        <f t="shared" si="104"/>
        <v>https://videplast.com.br/consulta-imobilizado?id=21000495&amp;nome=DENSITOMETRO%20DE%20TRANSMISSAO%20PORTATIL</v>
      </c>
      <c r="I3376" t="e">
        <f t="shared" ca="1" si="105"/>
        <v>#NAME?</v>
      </c>
    </row>
    <row r="3377" spans="1:9" x14ac:dyDescent="0.25">
      <c r="A3377" s="2" t="s">
        <v>5621</v>
      </c>
      <c r="B3377" s="2" t="s">
        <v>10</v>
      </c>
      <c r="C3377" s="3">
        <v>45120</v>
      </c>
      <c r="D3377" t="s">
        <v>5622</v>
      </c>
      <c r="E3377" s="2" t="s">
        <v>12</v>
      </c>
      <c r="F3377" s="2" t="s">
        <v>5623</v>
      </c>
      <c r="G3377" t="s">
        <v>5608</v>
      </c>
      <c r="H3377" t="str">
        <f t="shared" si="104"/>
        <v>https://videplast.com.br/consulta-imobilizado?id=21006321&amp;nome=MEDIDOR%20DE%20ESPESSURA%20FILMES%20PLASTICOS%200%20A%201000MM</v>
      </c>
      <c r="I3377" t="e">
        <f t="shared" ca="1" si="105"/>
        <v>#NAME?</v>
      </c>
    </row>
    <row r="3378" spans="1:9" x14ac:dyDescent="0.25">
      <c r="A3378" s="2" t="s">
        <v>5624</v>
      </c>
      <c r="B3378" s="2" t="s">
        <v>10</v>
      </c>
      <c r="C3378" s="3">
        <v>45086</v>
      </c>
      <c r="D3378" t="s">
        <v>5625</v>
      </c>
      <c r="E3378" s="2" t="s">
        <v>12</v>
      </c>
      <c r="F3378" s="2" t="s">
        <v>5626</v>
      </c>
      <c r="G3378" t="s">
        <v>5608</v>
      </c>
      <c r="H3378" t="str">
        <f t="shared" si="104"/>
        <v>https://videplast.com.br/consulta-imobilizado?id=21006337&amp;nome=ESTUFA%20SECAGEM%20MICROPROCESSADA%20Q317M-32%2081L%20200ºC</v>
      </c>
      <c r="I3378" t="e">
        <f t="shared" ca="1" si="105"/>
        <v>#NAME?</v>
      </c>
    </row>
    <row r="3379" spans="1:9" x14ac:dyDescent="0.25">
      <c r="A3379" s="2" t="s">
        <v>5627</v>
      </c>
      <c r="B3379" s="2" t="s">
        <v>10</v>
      </c>
      <c r="C3379" s="3">
        <v>45142</v>
      </c>
      <c r="D3379" t="s">
        <v>5628</v>
      </c>
      <c r="E3379" s="2" t="s">
        <v>12</v>
      </c>
      <c r="F3379" s="2" t="s">
        <v>5629</v>
      </c>
      <c r="G3379" t="s">
        <v>5608</v>
      </c>
      <c r="H3379" t="str">
        <f t="shared" si="104"/>
        <v>https://videplast.com.br/consulta-imobilizado?id=21006346&amp;nome=MEDIDOR%20DE%20ESTATICA%20FMX%20003%20CALIBRACAO%20RASTREADA</v>
      </c>
      <c r="I3379" t="e">
        <f t="shared" ca="1" si="105"/>
        <v>#NAME?</v>
      </c>
    </row>
    <row r="3380" spans="1:9" x14ac:dyDescent="0.25">
      <c r="A3380" s="2" t="s">
        <v>5630</v>
      </c>
      <c r="B3380" s="2" t="s">
        <v>10</v>
      </c>
      <c r="C3380" s="3">
        <v>40999</v>
      </c>
      <c r="D3380" t="s">
        <v>5631</v>
      </c>
      <c r="E3380" s="2" t="s">
        <v>12</v>
      </c>
      <c r="F3380" s="2" t="s">
        <v>12</v>
      </c>
      <c r="G3380" t="s">
        <v>5608</v>
      </c>
      <c r="H3380" t="str">
        <f t="shared" si="104"/>
        <v>https://videplast.com.br/consulta-imobilizado?id=30000118&amp;nome=ARMARIO%20DE%20ACO%204%20GALVANIZADO%200,70CM%20P%20LABORATORIO</v>
      </c>
      <c r="I3380" t="e">
        <f t="shared" ca="1" si="105"/>
        <v>#NAME?</v>
      </c>
    </row>
    <row r="3381" spans="1:9" x14ac:dyDescent="0.25">
      <c r="A3381" s="2" t="s">
        <v>5632</v>
      </c>
      <c r="B3381" s="2" t="s">
        <v>10</v>
      </c>
      <c r="C3381" s="3">
        <v>39202</v>
      </c>
      <c r="D3381" t="s">
        <v>5633</v>
      </c>
      <c r="E3381" s="2" t="s">
        <v>12</v>
      </c>
      <c r="F3381" s="2" t="s">
        <v>12</v>
      </c>
      <c r="G3381" t="s">
        <v>5608</v>
      </c>
      <c r="H3381" t="str">
        <f t="shared" si="104"/>
        <v>https://videplast.com.br/consulta-imobilizado?id=30000212&amp;nome=CADEIRA%20ALTA%20PARA%20CAIXA</v>
      </c>
      <c r="I3381" t="e">
        <f t="shared" ca="1" si="105"/>
        <v>#NAME?</v>
      </c>
    </row>
    <row r="3382" spans="1:9" x14ac:dyDescent="0.25">
      <c r="A3382" s="2" t="s">
        <v>5634</v>
      </c>
      <c r="B3382" s="2" t="s">
        <v>10</v>
      </c>
      <c r="C3382" s="3">
        <v>39447</v>
      </c>
      <c r="D3382" t="s">
        <v>4980</v>
      </c>
      <c r="E3382" s="2" t="s">
        <v>12</v>
      </c>
      <c r="F3382" s="2" t="s">
        <v>12</v>
      </c>
      <c r="G3382" t="s">
        <v>5608</v>
      </c>
      <c r="H3382" t="str">
        <f t="shared" si="104"/>
        <v>https://videplast.com.br/consulta-imobilizado?id=30000219&amp;nome=ARQUIVO%20COM%204%20GAVETAS</v>
      </c>
      <c r="I3382" t="e">
        <f t="shared" ca="1" si="105"/>
        <v>#NAME?</v>
      </c>
    </row>
    <row r="3383" spans="1:9" x14ac:dyDescent="0.25">
      <c r="A3383" s="2" t="s">
        <v>5635</v>
      </c>
      <c r="B3383" s="2" t="s">
        <v>10</v>
      </c>
      <c r="C3383" s="3">
        <v>39507</v>
      </c>
      <c r="D3383" t="s">
        <v>5636</v>
      </c>
      <c r="E3383" s="2" t="s">
        <v>12</v>
      </c>
      <c r="F3383" s="2" t="s">
        <v>12</v>
      </c>
      <c r="G3383" t="s">
        <v>5608</v>
      </c>
      <c r="H3383" t="str">
        <f t="shared" si="104"/>
        <v>https://videplast.com.br/consulta-imobilizado?id=30000221&amp;nome=MESA%20DE%20FORMICA</v>
      </c>
      <c r="I3383" t="e">
        <f t="shared" ca="1" si="105"/>
        <v>#NAME?</v>
      </c>
    </row>
    <row r="3384" spans="1:9" x14ac:dyDescent="0.25">
      <c r="A3384" s="2" t="s">
        <v>2126</v>
      </c>
      <c r="B3384" s="2" t="s">
        <v>26</v>
      </c>
      <c r="C3384" s="3">
        <v>42063</v>
      </c>
      <c r="D3384" t="s">
        <v>5034</v>
      </c>
      <c r="E3384" s="2" t="s">
        <v>5637</v>
      </c>
      <c r="F3384" s="2" t="s">
        <v>12</v>
      </c>
      <c r="G3384" t="s">
        <v>5608</v>
      </c>
      <c r="H3384" t="str">
        <f t="shared" si="104"/>
        <v>https://videplast.com.br/consulta-imobilizado?id=30000244&amp;nome=AR%20CONDICIONADO%20SPLIT%20HW%20CONSUL%20220V%2018000%20BTU</v>
      </c>
      <c r="I3384" t="e">
        <f t="shared" ca="1" si="105"/>
        <v>#NAME?</v>
      </c>
    </row>
    <row r="3385" spans="1:9" x14ac:dyDescent="0.25">
      <c r="A3385" s="2" t="s">
        <v>5638</v>
      </c>
      <c r="B3385" s="2" t="s">
        <v>10</v>
      </c>
      <c r="C3385" s="3">
        <v>42460</v>
      </c>
      <c r="D3385" t="s">
        <v>5639</v>
      </c>
      <c r="E3385" s="2" t="s">
        <v>12</v>
      </c>
      <c r="F3385" s="2" t="s">
        <v>12</v>
      </c>
      <c r="G3385" t="s">
        <v>5608</v>
      </c>
      <c r="H3385" t="str">
        <f t="shared" si="104"/>
        <v>https://videplast.com.br/consulta-imobilizado?id=30001404&amp;nome=AGITADOR%20PNEUMATICO%20MOTOREX%20MOD%20SLR%20200A2</v>
      </c>
      <c r="I3385" t="e">
        <f t="shared" ca="1" si="105"/>
        <v>#NAME?</v>
      </c>
    </row>
    <row r="3386" spans="1:9" x14ac:dyDescent="0.25">
      <c r="A3386" s="2" t="s">
        <v>5640</v>
      </c>
      <c r="B3386" s="2" t="s">
        <v>10</v>
      </c>
      <c r="C3386" s="3">
        <v>43395</v>
      </c>
      <c r="D3386" t="s">
        <v>5641</v>
      </c>
      <c r="E3386" s="2" t="s">
        <v>12</v>
      </c>
      <c r="F3386" s="2" t="s">
        <v>12</v>
      </c>
      <c r="G3386" t="s">
        <v>5608</v>
      </c>
      <c r="H3386" t="str">
        <f t="shared" si="104"/>
        <v>https://videplast.com.br/consulta-imobilizado?id=30001753&amp;nome=MICROMETRO%20BANCADA%20MAINARD%20M-73000</v>
      </c>
      <c r="I3386" t="e">
        <f t="shared" ca="1" si="105"/>
        <v>#NAME?</v>
      </c>
    </row>
    <row r="3387" spans="1:9" x14ac:dyDescent="0.25">
      <c r="A3387" s="2" t="s">
        <v>5642</v>
      </c>
      <c r="B3387" s="2" t="s">
        <v>10</v>
      </c>
      <c r="C3387" s="3">
        <v>45516</v>
      </c>
      <c r="D3387" t="s">
        <v>5636</v>
      </c>
      <c r="E3387" s="2" t="s">
        <v>12</v>
      </c>
      <c r="F3387" s="2" t="s">
        <v>12</v>
      </c>
      <c r="G3387" t="s">
        <v>5608</v>
      </c>
      <c r="H3387" t="str">
        <f t="shared" si="104"/>
        <v>https://videplast.com.br/consulta-imobilizado?id=30004290&amp;nome=MESA%20DE%20FORMICA</v>
      </c>
      <c r="I3387" t="e">
        <f t="shared" ca="1" si="105"/>
        <v>#NAME?</v>
      </c>
    </row>
    <row r="3388" spans="1:9" x14ac:dyDescent="0.25">
      <c r="A3388" s="2" t="s">
        <v>5643</v>
      </c>
      <c r="B3388" s="2" t="s">
        <v>10</v>
      </c>
      <c r="C3388" s="3">
        <v>45516</v>
      </c>
      <c r="D3388" t="s">
        <v>5636</v>
      </c>
      <c r="E3388" s="2" t="s">
        <v>12</v>
      </c>
      <c r="F3388" s="2" t="s">
        <v>12</v>
      </c>
      <c r="G3388" t="s">
        <v>5608</v>
      </c>
      <c r="H3388" t="str">
        <f t="shared" si="104"/>
        <v>https://videplast.com.br/consulta-imobilizado?id=30004291&amp;nome=MESA%20DE%20FORMICA</v>
      </c>
      <c r="I3388" t="e">
        <f t="shared" ca="1" si="105"/>
        <v>#NAME?</v>
      </c>
    </row>
    <row r="3389" spans="1:9" x14ac:dyDescent="0.25">
      <c r="A3389" s="2" t="s">
        <v>5644</v>
      </c>
      <c r="B3389" s="2" t="s">
        <v>10</v>
      </c>
      <c r="C3389" s="3">
        <v>45516</v>
      </c>
      <c r="D3389" t="s">
        <v>5636</v>
      </c>
      <c r="E3389" s="2" t="s">
        <v>12</v>
      </c>
      <c r="F3389" s="2" t="s">
        <v>12</v>
      </c>
      <c r="G3389" t="s">
        <v>5608</v>
      </c>
      <c r="H3389" t="str">
        <f t="shared" si="104"/>
        <v>https://videplast.com.br/consulta-imobilizado?id=30004292&amp;nome=MESA%20DE%20FORMICA</v>
      </c>
      <c r="I3389" t="e">
        <f t="shared" ca="1" si="105"/>
        <v>#NAME?</v>
      </c>
    </row>
    <row r="3390" spans="1:9" x14ac:dyDescent="0.25">
      <c r="A3390" s="2" t="s">
        <v>5645</v>
      </c>
      <c r="B3390" s="2" t="s">
        <v>10</v>
      </c>
      <c r="C3390" s="3">
        <v>45516</v>
      </c>
      <c r="D3390" t="s">
        <v>5636</v>
      </c>
      <c r="E3390" s="2" t="s">
        <v>12</v>
      </c>
      <c r="F3390" s="2" t="s">
        <v>12</v>
      </c>
      <c r="G3390" t="s">
        <v>5608</v>
      </c>
      <c r="H3390" t="str">
        <f t="shared" si="104"/>
        <v>https://videplast.com.br/consulta-imobilizado?id=30004293&amp;nome=MESA%20DE%20FORMICA</v>
      </c>
      <c r="I3390" t="e">
        <f t="shared" ca="1" si="105"/>
        <v>#NAME?</v>
      </c>
    </row>
    <row r="3391" spans="1:9" x14ac:dyDescent="0.25">
      <c r="A3391" s="2" t="s">
        <v>5646</v>
      </c>
      <c r="B3391" s="2" t="s">
        <v>10</v>
      </c>
      <c r="C3391" s="3">
        <v>39192</v>
      </c>
      <c r="D3391" t="s">
        <v>5647</v>
      </c>
      <c r="E3391" s="2" t="s">
        <v>12</v>
      </c>
      <c r="F3391" s="2" t="s">
        <v>12</v>
      </c>
      <c r="G3391" t="s">
        <v>5608</v>
      </c>
      <c r="H3391" t="str">
        <f t="shared" si="104"/>
        <v>https://videplast.com.br/consulta-imobilizado?id=32000171&amp;nome=RACK%2007UX450</v>
      </c>
      <c r="I3391" t="e">
        <f t="shared" ca="1" si="105"/>
        <v>#NAME?</v>
      </c>
    </row>
    <row r="3392" spans="1:9" x14ac:dyDescent="0.25">
      <c r="A3392" s="2" t="s">
        <v>5648</v>
      </c>
      <c r="B3392" s="2" t="s">
        <v>10</v>
      </c>
      <c r="C3392" s="3">
        <v>44700</v>
      </c>
      <c r="D3392" t="s">
        <v>535</v>
      </c>
      <c r="E3392" s="2" t="s">
        <v>5649</v>
      </c>
      <c r="F3392" s="2" t="s">
        <v>5650</v>
      </c>
      <c r="G3392" t="s">
        <v>5608</v>
      </c>
      <c r="H3392" s="5" t="str">
        <f t="shared" si="104"/>
        <v>https://videplast.com.br/consulta-imobilizado?id=32002379&amp;nome=COMPUTADOR%20DELL%20OPTIPLEX/VASTRO%20I3%204GB%20SSD256%20W10P</v>
      </c>
      <c r="I3392" t="e">
        <f t="shared" ca="1" si="105"/>
        <v>#NAME?</v>
      </c>
    </row>
    <row r="3393" spans="1:9" x14ac:dyDescent="0.25">
      <c r="A3393" s="2" t="s">
        <v>5651</v>
      </c>
      <c r="B3393" s="2" t="s">
        <v>10</v>
      </c>
      <c r="C3393" s="3">
        <v>45106</v>
      </c>
      <c r="D3393" t="s">
        <v>3775</v>
      </c>
      <c r="E3393" s="2" t="s">
        <v>5652</v>
      </c>
      <c r="F3393" s="2" t="s">
        <v>12</v>
      </c>
      <c r="G3393" t="s">
        <v>5653</v>
      </c>
      <c r="H3393" t="str">
        <f t="shared" si="104"/>
        <v>https://videplast.com.br/consulta-imobilizado?id=30003883&amp;nome=VARREDEIRA%20KALA%2040L%20COM%203%20ESCOVAS%20MANUAL</v>
      </c>
      <c r="I3393" t="e">
        <f t="shared" ca="1" si="105"/>
        <v>#NAME?</v>
      </c>
    </row>
    <row r="3394" spans="1:9" x14ac:dyDescent="0.25">
      <c r="A3394" s="2" t="s">
        <v>5651</v>
      </c>
      <c r="B3394" s="2" t="s">
        <v>26</v>
      </c>
      <c r="C3394" s="3">
        <v>45097</v>
      </c>
      <c r="D3394" t="s">
        <v>5654</v>
      </c>
      <c r="E3394" s="2" t="s">
        <v>12</v>
      </c>
      <c r="F3394" s="2" t="s">
        <v>12</v>
      </c>
      <c r="G3394" t="s">
        <v>5653</v>
      </c>
      <c r="H3394" t="str">
        <f t="shared" ref="H3394:H3457" si="106" xml:space="preserve"> "https://videplast.com.br/consulta-imobilizado?id=" &amp; A3394 &amp; "&amp;nome=" &amp; SUBSTITUTE(D3394, " ", "%20")</f>
        <v>https://videplast.com.br/consulta-imobilizado?id=30003883&amp;nome=FRETE%20VARREDEIRA%20KALA</v>
      </c>
      <c r="I3394" t="e">
        <f t="shared" ref="I3394:I3457" ca="1" si="107">_xlfn.IMAGE("https://chart.googleapis.com/chart?chs=150x150&amp;cht=qr&amp;chl=" &amp; H3394)</f>
        <v>#NAME?</v>
      </c>
    </row>
    <row r="3395" spans="1:9" x14ac:dyDescent="0.25">
      <c r="A3395" s="2" t="s">
        <v>5655</v>
      </c>
      <c r="B3395" s="2" t="s">
        <v>10</v>
      </c>
      <c r="C3395" s="3">
        <v>42923</v>
      </c>
      <c r="D3395" t="s">
        <v>2868</v>
      </c>
      <c r="E3395" s="2" t="s">
        <v>12</v>
      </c>
      <c r="F3395" s="2" t="s">
        <v>12</v>
      </c>
      <c r="G3395" t="s">
        <v>5656</v>
      </c>
      <c r="H3395" t="str">
        <f t="shared" si="106"/>
        <v>https://videplast.com.br/consulta-imobilizado?id=30001620&amp;nome=AR%20CONDICIONADO%20SPLIT%20INT/EXT%20FUJITSU%2012000BTU</v>
      </c>
      <c r="I3395" t="e">
        <f t="shared" ca="1" si="107"/>
        <v>#NAME?</v>
      </c>
    </row>
    <row r="3396" spans="1:9" x14ac:dyDescent="0.25">
      <c r="A3396" s="2" t="s">
        <v>5657</v>
      </c>
      <c r="B3396" s="2" t="s">
        <v>10</v>
      </c>
      <c r="C3396" s="3">
        <v>44590</v>
      </c>
      <c r="D3396" t="s">
        <v>5658</v>
      </c>
      <c r="E3396" s="2" t="s">
        <v>5659</v>
      </c>
      <c r="F3396" s="2" t="s">
        <v>5660</v>
      </c>
      <c r="G3396" t="s">
        <v>5656</v>
      </c>
      <c r="H3396" t="str">
        <f t="shared" si="106"/>
        <v>https://videplast.com.br/consulta-imobilizado?id=32002268&amp;nome=NOTEBOOK%20DELL%2014%20CORE%20i3%204GB%20HD%20SSD256GB%20W10P%20HDMI</v>
      </c>
      <c r="I3396" t="e">
        <f t="shared" ca="1" si="107"/>
        <v>#NAME?</v>
      </c>
    </row>
    <row r="3397" spans="1:9" x14ac:dyDescent="0.25">
      <c r="A3397" s="2" t="s">
        <v>5661</v>
      </c>
      <c r="B3397" s="2" t="s">
        <v>10</v>
      </c>
      <c r="C3397" s="3">
        <v>45530</v>
      </c>
      <c r="D3397" t="s">
        <v>550</v>
      </c>
      <c r="E3397" s="2" t="s">
        <v>12</v>
      </c>
      <c r="F3397" s="2" t="s">
        <v>5662</v>
      </c>
      <c r="G3397" t="s">
        <v>5656</v>
      </c>
      <c r="H3397" t="str">
        <f t="shared" si="106"/>
        <v>https://videplast.com.br/consulta-imobilizado?id=32003054&amp;nome=MONITOR%20DELL%2021.5"%20P2219H</v>
      </c>
      <c r="I3397" t="e">
        <f t="shared" ca="1" si="107"/>
        <v>#NAME?</v>
      </c>
    </row>
    <row r="3398" spans="1:9" x14ac:dyDescent="0.25">
      <c r="A3398" s="2" t="s">
        <v>5663</v>
      </c>
      <c r="B3398" s="2" t="s">
        <v>10</v>
      </c>
      <c r="C3398" s="3">
        <v>45530</v>
      </c>
      <c r="D3398" t="s">
        <v>550</v>
      </c>
      <c r="E3398" s="2" t="s">
        <v>12</v>
      </c>
      <c r="F3398" s="2" t="s">
        <v>5664</v>
      </c>
      <c r="G3398" t="s">
        <v>5656</v>
      </c>
      <c r="H3398" t="str">
        <f t="shared" si="106"/>
        <v>https://videplast.com.br/consulta-imobilizado?id=32003055&amp;nome=MONITOR%20DELL%2021.5"%20P2219H</v>
      </c>
      <c r="I3398" t="e">
        <f t="shared" ca="1" si="107"/>
        <v>#NAME?</v>
      </c>
    </row>
    <row r="3399" spans="1:9" x14ac:dyDescent="0.25">
      <c r="A3399" s="2" t="s">
        <v>5665</v>
      </c>
      <c r="B3399" s="2" t="s">
        <v>10</v>
      </c>
      <c r="C3399" s="3">
        <v>45530</v>
      </c>
      <c r="D3399" t="s">
        <v>550</v>
      </c>
      <c r="E3399" s="2" t="s">
        <v>12</v>
      </c>
      <c r="F3399" s="2" t="s">
        <v>3036</v>
      </c>
      <c r="G3399" t="s">
        <v>5656</v>
      </c>
      <c r="H3399" t="str">
        <f t="shared" si="106"/>
        <v>https://videplast.com.br/consulta-imobilizado?id=32003112&amp;nome=MONITOR%20DELL%2021.5"%20P2219H</v>
      </c>
      <c r="I3399" t="e">
        <f t="shared" ca="1" si="107"/>
        <v>#NAME?</v>
      </c>
    </row>
    <row r="3400" spans="1:9" x14ac:dyDescent="0.25">
      <c r="A3400" s="2" t="s">
        <v>5666</v>
      </c>
      <c r="B3400" s="2" t="s">
        <v>10</v>
      </c>
      <c r="C3400" s="3">
        <v>39386</v>
      </c>
      <c r="D3400" t="s">
        <v>5667</v>
      </c>
      <c r="E3400" s="2" t="s">
        <v>12</v>
      </c>
      <c r="F3400" s="2" t="s">
        <v>12</v>
      </c>
      <c r="G3400" t="s">
        <v>5668</v>
      </c>
      <c r="H3400" t="str">
        <f t="shared" si="106"/>
        <v>https://videplast.com.br/consulta-imobilizado?id=30000217&amp;nome=MESA%20COM%20TAMPA%20DE%20VIDRO</v>
      </c>
      <c r="I3400" t="e">
        <f t="shared" ca="1" si="107"/>
        <v>#NAME?</v>
      </c>
    </row>
    <row r="3401" spans="1:9" x14ac:dyDescent="0.25">
      <c r="A3401" s="2" t="s">
        <v>5669</v>
      </c>
      <c r="B3401" s="2" t="s">
        <v>10</v>
      </c>
      <c r="C3401" s="3">
        <v>44462</v>
      </c>
      <c r="D3401" t="s">
        <v>5670</v>
      </c>
      <c r="E3401" s="2" t="s">
        <v>12</v>
      </c>
      <c r="F3401" s="2" t="s">
        <v>12</v>
      </c>
      <c r="G3401" t="s">
        <v>5668</v>
      </c>
      <c r="H3401" t="str">
        <f t="shared" si="106"/>
        <v>https://videplast.com.br/consulta-imobilizado?id=30003510&amp;nome=AR%20CONDICIONADO%20FRIO%20FUJITSU%2024000BTU%20CONDENSADORA</v>
      </c>
      <c r="I3401" t="e">
        <f t="shared" ca="1" si="107"/>
        <v>#NAME?</v>
      </c>
    </row>
    <row r="3402" spans="1:9" x14ac:dyDescent="0.25">
      <c r="A3402" s="2" t="s">
        <v>5671</v>
      </c>
      <c r="B3402" s="2" t="s">
        <v>10</v>
      </c>
      <c r="C3402" s="3">
        <v>44952</v>
      </c>
      <c r="D3402" t="s">
        <v>5672</v>
      </c>
      <c r="E3402" s="2" t="s">
        <v>5673</v>
      </c>
      <c r="F3402" s="2" t="s">
        <v>5674</v>
      </c>
      <c r="G3402" t="s">
        <v>5668</v>
      </c>
      <c r="H3402" t="str">
        <f t="shared" si="106"/>
        <v>https://videplast.com.br/consulta-imobilizado?id=30003795&amp;nome=AR%20CONDICIONADO%20FRIO%20FUJITSU%2024000%20BTUS</v>
      </c>
      <c r="I3402" t="e">
        <f t="shared" ca="1" si="107"/>
        <v>#NAME?</v>
      </c>
    </row>
    <row r="3403" spans="1:9" x14ac:dyDescent="0.25">
      <c r="A3403" s="2" t="s">
        <v>5675</v>
      </c>
      <c r="B3403" s="2" t="s">
        <v>10</v>
      </c>
      <c r="C3403" s="3">
        <v>39192</v>
      </c>
      <c r="D3403" t="s">
        <v>5676</v>
      </c>
      <c r="E3403" s="2" t="s">
        <v>12</v>
      </c>
      <c r="F3403" s="2" t="s">
        <v>12</v>
      </c>
      <c r="G3403" t="s">
        <v>5668</v>
      </c>
      <c r="H3403" t="str">
        <f t="shared" si="106"/>
        <v>https://videplast.com.br/consulta-imobilizado?id=32000172&amp;nome=SCANER%20HP%20SCANJET%202400</v>
      </c>
      <c r="I3403" t="e">
        <f t="shared" ca="1" si="107"/>
        <v>#NAME?</v>
      </c>
    </row>
    <row r="3404" spans="1:9" x14ac:dyDescent="0.25">
      <c r="A3404" s="2" t="s">
        <v>5677</v>
      </c>
      <c r="B3404" s="2" t="s">
        <v>10</v>
      </c>
      <c r="C3404" s="3">
        <v>39501</v>
      </c>
      <c r="D3404" t="s">
        <v>5678</v>
      </c>
      <c r="E3404" s="2" t="s">
        <v>12</v>
      </c>
      <c r="F3404" s="2" t="s">
        <v>12</v>
      </c>
      <c r="G3404" t="s">
        <v>5668</v>
      </c>
      <c r="H3404" t="str">
        <f t="shared" si="106"/>
        <v>https://videplast.com.br/consulta-imobilizado?id=32000176&amp;nome=IMPRESSORA%20HP%20LASERJET%202600%20N%20COLOR</v>
      </c>
      <c r="I3404" t="e">
        <f t="shared" ca="1" si="107"/>
        <v>#NAME?</v>
      </c>
    </row>
    <row r="3405" spans="1:9" x14ac:dyDescent="0.25">
      <c r="A3405" s="2" t="s">
        <v>5679</v>
      </c>
      <c r="B3405" s="2" t="s">
        <v>10</v>
      </c>
      <c r="C3405" s="3">
        <v>40512</v>
      </c>
      <c r="D3405" t="s">
        <v>5680</v>
      </c>
      <c r="E3405" s="2" t="s">
        <v>12</v>
      </c>
      <c r="F3405" s="2" t="s">
        <v>12</v>
      </c>
      <c r="G3405" t="s">
        <v>5668</v>
      </c>
      <c r="H3405" s="5" t="str">
        <f t="shared" si="106"/>
        <v>https://videplast.com.br/consulta-imobilizado?id=32000209&amp;nome=COMPUTADOR%20INTEL%20I5%20750%202.66%20GHZ%202.66GHZ/8MB%20S1156</v>
      </c>
      <c r="I3405" t="e">
        <f t="shared" ca="1" si="107"/>
        <v>#NAME?</v>
      </c>
    </row>
    <row r="3406" spans="1:9" x14ac:dyDescent="0.25">
      <c r="A3406" s="2" t="s">
        <v>5681</v>
      </c>
      <c r="B3406" s="2" t="s">
        <v>10</v>
      </c>
      <c r="C3406" s="3">
        <v>42668</v>
      </c>
      <c r="D3406" t="s">
        <v>5682</v>
      </c>
      <c r="E3406" s="2" t="s">
        <v>12</v>
      </c>
      <c r="F3406" s="2" t="s">
        <v>12</v>
      </c>
      <c r="G3406" t="s">
        <v>5668</v>
      </c>
      <c r="H3406" t="str">
        <f t="shared" si="106"/>
        <v>https://videplast.com.br/consulta-imobilizado?id=32000976&amp;nome=EYE-ONE%20PUBLISH%20PRO</v>
      </c>
      <c r="I3406" t="e">
        <f t="shared" ca="1" si="107"/>
        <v>#NAME?</v>
      </c>
    </row>
    <row r="3407" spans="1:9" x14ac:dyDescent="0.25">
      <c r="A3407" s="2" t="s">
        <v>5683</v>
      </c>
      <c r="B3407" s="2" t="s">
        <v>10</v>
      </c>
      <c r="C3407" s="3">
        <v>43850</v>
      </c>
      <c r="D3407" t="s">
        <v>5684</v>
      </c>
      <c r="E3407" s="2" t="s">
        <v>12</v>
      </c>
      <c r="F3407" s="2" t="s">
        <v>5685</v>
      </c>
      <c r="G3407" t="s">
        <v>5668</v>
      </c>
      <c r="H3407" s="5" t="str">
        <f t="shared" si="106"/>
        <v>https://videplast.com.br/consulta-imobilizado?id=32001652&amp;nome=COMPUTADOR%20DELL%20XPS%208930%20INTEL%20CORE%20I7-9700</v>
      </c>
      <c r="I3407" t="e">
        <f t="shared" ca="1" si="107"/>
        <v>#NAME?</v>
      </c>
    </row>
    <row r="3408" spans="1:9" x14ac:dyDescent="0.25">
      <c r="A3408" s="2" t="s">
        <v>5686</v>
      </c>
      <c r="B3408" s="2" t="s">
        <v>10</v>
      </c>
      <c r="C3408" s="3">
        <v>43850</v>
      </c>
      <c r="D3408" t="s">
        <v>5687</v>
      </c>
      <c r="E3408" s="2" t="s">
        <v>12</v>
      </c>
      <c r="F3408" s="2" t="s">
        <v>12</v>
      </c>
      <c r="G3408" t="s">
        <v>5668</v>
      </c>
      <c r="H3408" t="str">
        <f t="shared" si="106"/>
        <v>https://videplast.com.br/consulta-imobilizado?id=32001653&amp;nome=MONITOR%20LED%2024"%20LED%20DELL%20ULTRASHARP%20%20U2415</v>
      </c>
      <c r="I3408" t="e">
        <f t="shared" ca="1" si="107"/>
        <v>#NAME?</v>
      </c>
    </row>
    <row r="3409" spans="1:9" x14ac:dyDescent="0.25">
      <c r="A3409" s="2" t="s">
        <v>5688</v>
      </c>
      <c r="B3409" s="2" t="s">
        <v>10</v>
      </c>
      <c r="C3409" s="3">
        <v>44685</v>
      </c>
      <c r="D3409" t="s">
        <v>5689</v>
      </c>
      <c r="E3409" s="2" t="s">
        <v>5690</v>
      </c>
      <c r="F3409" s="2" t="s">
        <v>12</v>
      </c>
      <c r="G3409" t="s">
        <v>5668</v>
      </c>
      <c r="H3409" s="5" t="str">
        <f t="shared" si="106"/>
        <v>https://videplast.com.br/consulta-imobilizado?id=32002397&amp;nome=COMPUTADOR%20DELL%20XPS%20I7%2016GBHD1TB%20WINDOWS%2010%20PRO</v>
      </c>
      <c r="I3409" t="e">
        <f t="shared" ca="1" si="107"/>
        <v>#NAME?</v>
      </c>
    </row>
    <row r="3410" spans="1:9" x14ac:dyDescent="0.25">
      <c r="A3410" s="2" t="s">
        <v>5691</v>
      </c>
      <c r="B3410" s="2" t="s">
        <v>10</v>
      </c>
      <c r="C3410" s="3">
        <v>44715</v>
      </c>
      <c r="D3410" t="s">
        <v>5692</v>
      </c>
      <c r="E3410" s="2" t="s">
        <v>5693</v>
      </c>
      <c r="F3410" s="2" t="s">
        <v>12</v>
      </c>
      <c r="G3410" t="s">
        <v>5668</v>
      </c>
      <c r="H3410" t="str">
        <f t="shared" si="106"/>
        <v>https://videplast.com.br/consulta-imobilizado?id=32002398&amp;nome=MONITOR%20DELL%2027"%20P2722H%20FULL%20HD%20LED%20IPS%2075%20PRETO</v>
      </c>
      <c r="I3410" t="e">
        <f t="shared" ca="1" si="107"/>
        <v>#NAME?</v>
      </c>
    </row>
    <row r="3411" spans="1:9" x14ac:dyDescent="0.25">
      <c r="A3411" s="2" t="s">
        <v>5694</v>
      </c>
      <c r="B3411" s="2" t="s">
        <v>10</v>
      </c>
      <c r="C3411" s="3">
        <v>45275</v>
      </c>
      <c r="D3411" t="s">
        <v>5695</v>
      </c>
      <c r="E3411" s="2" t="s">
        <v>12</v>
      </c>
      <c r="F3411" s="2" t="s">
        <v>5696</v>
      </c>
      <c r="G3411" t="s">
        <v>5668</v>
      </c>
      <c r="H3411" t="str">
        <f t="shared" si="106"/>
        <v>https://videplast.com.br/consulta-imobilizado?id=32002876&amp;nome=IMPRESSORA%20MULTIFUNCIONAL%20EPSON%20ECOTANK%20L%204260</v>
      </c>
      <c r="I3411" t="e">
        <f t="shared" ca="1" si="107"/>
        <v>#NAME?</v>
      </c>
    </row>
    <row r="3412" spans="1:9" x14ac:dyDescent="0.25">
      <c r="A3412" s="2" t="s">
        <v>5697</v>
      </c>
      <c r="B3412" s="2" t="s">
        <v>10</v>
      </c>
      <c r="C3412" s="3">
        <v>45356</v>
      </c>
      <c r="D3412" t="s">
        <v>5698</v>
      </c>
      <c r="E3412" s="2" t="s">
        <v>12</v>
      </c>
      <c r="F3412" s="2" t="s">
        <v>5699</v>
      </c>
      <c r="G3412" t="s">
        <v>5668</v>
      </c>
      <c r="H3412" s="5" t="str">
        <f t="shared" si="106"/>
        <v>https://videplast.com.br/consulta-imobilizado?id=32002910&amp;nome=COMPUTADOR%20DELL%20XPS%208950%20I7%2016GB%20SSD512GB</v>
      </c>
      <c r="I3412" t="e">
        <f t="shared" ca="1" si="107"/>
        <v>#NAME?</v>
      </c>
    </row>
    <row r="3413" spans="1:9" x14ac:dyDescent="0.25">
      <c r="A3413" s="2" t="s">
        <v>5700</v>
      </c>
      <c r="B3413" s="2" t="s">
        <v>10</v>
      </c>
      <c r="C3413" s="3">
        <v>45356</v>
      </c>
      <c r="D3413" t="s">
        <v>5698</v>
      </c>
      <c r="E3413" s="2" t="s">
        <v>12</v>
      </c>
      <c r="F3413" s="2" t="s">
        <v>5701</v>
      </c>
      <c r="G3413" t="s">
        <v>5668</v>
      </c>
      <c r="H3413" s="5" t="str">
        <f t="shared" si="106"/>
        <v>https://videplast.com.br/consulta-imobilizado?id=32002911&amp;nome=COMPUTADOR%20DELL%20XPS%208950%20I7%2016GB%20SSD512GB</v>
      </c>
      <c r="I3413" t="e">
        <f t="shared" ca="1" si="107"/>
        <v>#NAME?</v>
      </c>
    </row>
    <row r="3414" spans="1:9" x14ac:dyDescent="0.25">
      <c r="A3414" s="2" t="s">
        <v>5702</v>
      </c>
      <c r="B3414" s="2" t="s">
        <v>10</v>
      </c>
      <c r="C3414" s="3">
        <v>45356</v>
      </c>
      <c r="D3414" t="s">
        <v>5703</v>
      </c>
      <c r="E3414" s="2" t="s">
        <v>12</v>
      </c>
      <c r="F3414" s="2" t="s">
        <v>5704</v>
      </c>
      <c r="G3414" t="s">
        <v>5668</v>
      </c>
      <c r="H3414" t="str">
        <f t="shared" si="106"/>
        <v>https://videplast.com.br/consulta-imobilizado?id=32002912&amp;nome=MONITOR%20DELL%2027"%20P2722H%20VGA</v>
      </c>
      <c r="I3414" t="e">
        <f t="shared" ca="1" si="107"/>
        <v>#NAME?</v>
      </c>
    </row>
    <row r="3415" spans="1:9" x14ac:dyDescent="0.25">
      <c r="A3415" s="2" t="s">
        <v>5705</v>
      </c>
      <c r="B3415" s="2" t="s">
        <v>10</v>
      </c>
      <c r="C3415" s="3">
        <v>45356</v>
      </c>
      <c r="D3415" t="s">
        <v>5703</v>
      </c>
      <c r="E3415" s="2" t="s">
        <v>12</v>
      </c>
      <c r="F3415" s="2" t="s">
        <v>5706</v>
      </c>
      <c r="G3415" t="s">
        <v>5668</v>
      </c>
      <c r="H3415" t="str">
        <f t="shared" si="106"/>
        <v>https://videplast.com.br/consulta-imobilizado?id=32002913&amp;nome=MONITOR%20DELL%2027"%20P2722H%20VGA</v>
      </c>
      <c r="I3415" t="e">
        <f t="shared" ca="1" si="107"/>
        <v>#NAME?</v>
      </c>
    </row>
    <row r="3416" spans="1:9" x14ac:dyDescent="0.25">
      <c r="A3416" s="2" t="s">
        <v>5707</v>
      </c>
      <c r="B3416" s="2" t="s">
        <v>10</v>
      </c>
      <c r="C3416" s="3">
        <v>45737</v>
      </c>
      <c r="D3416" t="s">
        <v>5703</v>
      </c>
      <c r="E3416" s="2" t="s">
        <v>12</v>
      </c>
      <c r="F3416" s="2" t="s">
        <v>5708</v>
      </c>
      <c r="G3416" t="s">
        <v>5668</v>
      </c>
      <c r="H3416" t="str">
        <f t="shared" si="106"/>
        <v>https://videplast.com.br/consulta-imobilizado?id=32003205&amp;nome=MONITOR%20DELL%2027"%20P2722H%20VGA</v>
      </c>
      <c r="I3416" t="e">
        <f t="shared" ca="1" si="107"/>
        <v>#NAME?</v>
      </c>
    </row>
    <row r="3417" spans="1:9" x14ac:dyDescent="0.25">
      <c r="A3417" s="2" t="s">
        <v>5709</v>
      </c>
      <c r="B3417" s="2" t="s">
        <v>10</v>
      </c>
      <c r="C3417" s="3">
        <v>40755</v>
      </c>
      <c r="D3417" t="s">
        <v>5710</v>
      </c>
      <c r="E3417" s="2" t="s">
        <v>12</v>
      </c>
      <c r="F3417" s="2" t="s">
        <v>12</v>
      </c>
      <c r="G3417" t="s">
        <v>5711</v>
      </c>
      <c r="H3417" t="str">
        <f t="shared" si="106"/>
        <v>https://videplast.com.br/consulta-imobilizado?id=21000306&amp;nome=CAPELA%20DE%20EXAUSTAO%20DE%20GASES%20PEQUENA</v>
      </c>
      <c r="I3417" t="e">
        <f t="shared" ca="1" si="107"/>
        <v>#NAME?</v>
      </c>
    </row>
    <row r="3418" spans="1:9" x14ac:dyDescent="0.25">
      <c r="A3418" s="2" t="s">
        <v>5712</v>
      </c>
      <c r="B3418" s="2" t="s">
        <v>10</v>
      </c>
      <c r="C3418" s="3">
        <v>39055</v>
      </c>
      <c r="D3418" t="s">
        <v>5713</v>
      </c>
      <c r="E3418" s="2" t="s">
        <v>5714</v>
      </c>
      <c r="F3418" s="2" t="s">
        <v>12</v>
      </c>
      <c r="G3418" t="s">
        <v>5711</v>
      </c>
      <c r="H3418" t="str">
        <f t="shared" si="106"/>
        <v>https://videplast.com.br/consulta-imobilizado?id=21000460&amp;nome=BALANCA%20ANALITICA%20MOD%20AG200</v>
      </c>
      <c r="I3418" t="e">
        <f t="shared" ca="1" si="107"/>
        <v>#NAME?</v>
      </c>
    </row>
    <row r="3419" spans="1:9" x14ac:dyDescent="0.25">
      <c r="A3419" s="2" t="s">
        <v>5715</v>
      </c>
      <c r="B3419" s="2" t="s">
        <v>10</v>
      </c>
      <c r="C3419" s="3">
        <v>39120</v>
      </c>
      <c r="D3419" t="s">
        <v>5716</v>
      </c>
      <c r="E3419" s="2" t="s">
        <v>12</v>
      </c>
      <c r="F3419" s="2" t="s">
        <v>12</v>
      </c>
      <c r="G3419" t="s">
        <v>5711</v>
      </c>
      <c r="H3419" t="str">
        <f t="shared" si="106"/>
        <v>https://videplast.com.br/consulta-imobilizado?id=21000463&amp;nome=TAMPO%20DE%20GRANITO%20CINZA%20CORUMBA%2026%20METROS</v>
      </c>
      <c r="I3419" t="e">
        <f t="shared" ca="1" si="107"/>
        <v>#NAME?</v>
      </c>
    </row>
    <row r="3420" spans="1:9" x14ac:dyDescent="0.25">
      <c r="A3420" s="2" t="s">
        <v>5717</v>
      </c>
      <c r="B3420" s="2" t="s">
        <v>10</v>
      </c>
      <c r="C3420" s="3">
        <v>39120</v>
      </c>
      <c r="D3420" t="s">
        <v>5718</v>
      </c>
      <c r="E3420" s="2" t="s">
        <v>12</v>
      </c>
      <c r="F3420" s="2" t="s">
        <v>12</v>
      </c>
      <c r="G3420" t="s">
        <v>5711</v>
      </c>
      <c r="H3420" t="str">
        <f t="shared" si="106"/>
        <v>https://videplast.com.br/consulta-imobilizado?id=21000660&amp;nome=CHUVEIRO%20COMBAS%20COM%20LAVA-OLHOS</v>
      </c>
      <c r="I3420" t="e">
        <f t="shared" ca="1" si="107"/>
        <v>#NAME?</v>
      </c>
    </row>
    <row r="3421" spans="1:9" x14ac:dyDescent="0.25">
      <c r="A3421" s="2" t="s">
        <v>5717</v>
      </c>
      <c r="B3421" s="2" t="s">
        <v>26</v>
      </c>
      <c r="C3421" s="3">
        <v>39120</v>
      </c>
      <c r="D3421" t="s">
        <v>5719</v>
      </c>
      <c r="E3421" s="2" t="s">
        <v>12</v>
      </c>
      <c r="F3421" s="2" t="s">
        <v>12</v>
      </c>
      <c r="G3421" t="s">
        <v>5711</v>
      </c>
      <c r="H3421" t="str">
        <f t="shared" si="106"/>
        <v>https://videplast.com.br/consulta-imobilizado?id=21000660&amp;nome=BANCADA%20DESMEMBRADA%20COM%20TOMADAS</v>
      </c>
      <c r="I3421" t="e">
        <f t="shared" ca="1" si="107"/>
        <v>#NAME?</v>
      </c>
    </row>
    <row r="3422" spans="1:9" x14ac:dyDescent="0.25">
      <c r="A3422" s="2" t="s">
        <v>5720</v>
      </c>
      <c r="B3422" s="2" t="s">
        <v>10</v>
      </c>
      <c r="C3422" s="3">
        <v>40755</v>
      </c>
      <c r="D3422" t="s">
        <v>5721</v>
      </c>
      <c r="E3422" s="2" t="s">
        <v>12</v>
      </c>
      <c r="F3422" s="2" t="s">
        <v>12</v>
      </c>
      <c r="G3422" t="s">
        <v>5711</v>
      </c>
      <c r="H3422" t="str">
        <f t="shared" si="106"/>
        <v>https://videplast.com.br/consulta-imobilizado?id=30000107&amp;nome=ARQUIVO%20DE%20ACO%204%20GAVETAS%200,70CM%20AIOF4E%20CZ%20VEGEL</v>
      </c>
      <c r="I3422" t="e">
        <f t="shared" ca="1" si="107"/>
        <v>#NAME?</v>
      </c>
    </row>
    <row r="3423" spans="1:9" x14ac:dyDescent="0.25">
      <c r="A3423" s="2" t="s">
        <v>5722</v>
      </c>
      <c r="B3423" s="2" t="s">
        <v>10</v>
      </c>
      <c r="C3423" s="3">
        <v>39141</v>
      </c>
      <c r="D3423" t="s">
        <v>5723</v>
      </c>
      <c r="E3423" s="2" t="s">
        <v>12</v>
      </c>
      <c r="F3423" s="2" t="s">
        <v>12</v>
      </c>
      <c r="G3423" t="s">
        <v>5711</v>
      </c>
      <c r="H3423" t="str">
        <f t="shared" si="106"/>
        <v>https://videplast.com.br/consulta-imobilizado?id=30000207&amp;nome=AR%20CONDICIONADO%20FUJITSU%206102%20220V%2030000%20BTU</v>
      </c>
      <c r="I3423" t="e">
        <f t="shared" ca="1" si="107"/>
        <v>#NAME?</v>
      </c>
    </row>
    <row r="3424" spans="1:9" x14ac:dyDescent="0.25">
      <c r="A3424" s="2" t="s">
        <v>5724</v>
      </c>
      <c r="B3424" s="2" t="s">
        <v>10</v>
      </c>
      <c r="C3424" s="3">
        <v>39233</v>
      </c>
      <c r="D3424" t="s">
        <v>5725</v>
      </c>
      <c r="E3424" s="2" t="s">
        <v>12</v>
      </c>
      <c r="F3424" s="2" t="s">
        <v>12</v>
      </c>
      <c r="G3424" t="s">
        <v>5711</v>
      </c>
      <c r="H3424" t="str">
        <f t="shared" si="106"/>
        <v>https://videplast.com.br/consulta-imobilizado?id=30000214&amp;nome=AR%20CONDICIONADO%20HIWALL%20CARRIER%20SPLIT%2018000%20BTU</v>
      </c>
      <c r="I3424" t="e">
        <f t="shared" ca="1" si="107"/>
        <v>#NAME?</v>
      </c>
    </row>
    <row r="3425" spans="1:9" x14ac:dyDescent="0.25">
      <c r="A3425" s="2" t="s">
        <v>5726</v>
      </c>
      <c r="B3425" s="2" t="s">
        <v>10</v>
      </c>
      <c r="C3425" s="3">
        <v>39233</v>
      </c>
      <c r="D3425" t="s">
        <v>5727</v>
      </c>
      <c r="E3425" s="2" t="s">
        <v>12</v>
      </c>
      <c r="F3425" s="2" t="s">
        <v>12</v>
      </c>
      <c r="G3425" t="s">
        <v>5711</v>
      </c>
      <c r="H3425" t="str">
        <f t="shared" si="106"/>
        <v>https://videplast.com.br/consulta-imobilizado?id=30000215&amp;nome=MAO%20DE%20OBRA%20P/INSTALACAO%20DE%20ARCONDICIONADO</v>
      </c>
      <c r="I3425" t="e">
        <f t="shared" ca="1" si="107"/>
        <v>#NAME?</v>
      </c>
    </row>
    <row r="3426" spans="1:9" x14ac:dyDescent="0.25">
      <c r="A3426" s="2" t="s">
        <v>5728</v>
      </c>
      <c r="B3426" s="2" t="s">
        <v>10</v>
      </c>
      <c r="C3426" s="3">
        <v>40451</v>
      </c>
      <c r="D3426" t="s">
        <v>5729</v>
      </c>
      <c r="E3426" s="2" t="s">
        <v>12</v>
      </c>
      <c r="F3426" s="2" t="s">
        <v>12</v>
      </c>
      <c r="G3426" t="s">
        <v>5711</v>
      </c>
      <c r="H3426" t="str">
        <f t="shared" si="106"/>
        <v>https://videplast.com.br/consulta-imobilizado?id=30000236&amp;nome=ARQUIVO%20DE%20ACO%204G%201.33AX47LX71P%20CINZA%20RCH</v>
      </c>
      <c r="I3426" t="e">
        <f t="shared" ca="1" si="107"/>
        <v>#NAME?</v>
      </c>
    </row>
    <row r="3427" spans="1:9" x14ac:dyDescent="0.25">
      <c r="A3427" s="2" t="s">
        <v>5730</v>
      </c>
      <c r="B3427" s="2" t="s">
        <v>10</v>
      </c>
      <c r="C3427" s="3">
        <v>42458</v>
      </c>
      <c r="D3427" t="s">
        <v>3760</v>
      </c>
      <c r="E3427" s="2" t="s">
        <v>5731</v>
      </c>
      <c r="F3427" s="2" t="s">
        <v>12</v>
      </c>
      <c r="G3427" t="s">
        <v>5711</v>
      </c>
      <c r="H3427" t="str">
        <f t="shared" si="106"/>
        <v>https://videplast.com.br/consulta-imobilizado?id=30001411&amp;nome=CADEIRA%20GIRATORIA%20SECRETARIA</v>
      </c>
      <c r="I3427" t="e">
        <f t="shared" ca="1" si="107"/>
        <v>#NAME?</v>
      </c>
    </row>
    <row r="3428" spans="1:9" x14ac:dyDescent="0.25">
      <c r="A3428" s="2" t="s">
        <v>5732</v>
      </c>
      <c r="B3428" s="2" t="s">
        <v>10</v>
      </c>
      <c r="C3428" s="3">
        <v>42458</v>
      </c>
      <c r="D3428" t="s">
        <v>3760</v>
      </c>
      <c r="E3428" s="2" t="s">
        <v>5733</v>
      </c>
      <c r="F3428" s="2" t="s">
        <v>12</v>
      </c>
      <c r="G3428" t="s">
        <v>5711</v>
      </c>
      <c r="H3428" t="str">
        <f t="shared" si="106"/>
        <v>https://videplast.com.br/consulta-imobilizado?id=30001412&amp;nome=CADEIRA%20GIRATORIA%20SECRETARIA</v>
      </c>
      <c r="I3428" t="e">
        <f t="shared" ca="1" si="107"/>
        <v>#NAME?</v>
      </c>
    </row>
    <row r="3429" spans="1:9" x14ac:dyDescent="0.25">
      <c r="A3429" s="2" t="s">
        <v>5734</v>
      </c>
      <c r="B3429" s="2" t="s">
        <v>10</v>
      </c>
      <c r="C3429" s="3">
        <v>42612</v>
      </c>
      <c r="D3429" t="s">
        <v>5735</v>
      </c>
      <c r="E3429" s="2" t="s">
        <v>12</v>
      </c>
      <c r="F3429" s="2" t="s">
        <v>12</v>
      </c>
      <c r="G3429" t="s">
        <v>5711</v>
      </c>
      <c r="H3429" t="str">
        <f t="shared" si="106"/>
        <v>https://videplast.com.br/consulta-imobilizado?id=30001459&amp;nome=MEDIDOR%20DE%20ESPESSURA%20MAINARD%20MILESIMAL%20M-73011</v>
      </c>
      <c r="I3429" t="e">
        <f t="shared" ca="1" si="107"/>
        <v>#NAME?</v>
      </c>
    </row>
    <row r="3430" spans="1:9" x14ac:dyDescent="0.25">
      <c r="A3430" s="2" t="s">
        <v>5736</v>
      </c>
      <c r="B3430" s="2" t="s">
        <v>10</v>
      </c>
      <c r="C3430" s="3">
        <v>42612</v>
      </c>
      <c r="D3430" t="s">
        <v>5735</v>
      </c>
      <c r="E3430" s="2" t="s">
        <v>12</v>
      </c>
      <c r="F3430" s="2" t="s">
        <v>12</v>
      </c>
      <c r="G3430" t="s">
        <v>5711</v>
      </c>
      <c r="H3430" t="str">
        <f t="shared" si="106"/>
        <v>https://videplast.com.br/consulta-imobilizado?id=30001460&amp;nome=MEDIDOR%20DE%20ESPESSURA%20MAINARD%20MILESIMAL%20M-73011</v>
      </c>
      <c r="I3430" t="e">
        <f t="shared" ca="1" si="107"/>
        <v>#NAME?</v>
      </c>
    </row>
    <row r="3431" spans="1:9" x14ac:dyDescent="0.25">
      <c r="A3431" s="2" t="s">
        <v>5737</v>
      </c>
      <c r="B3431" s="2" t="s">
        <v>10</v>
      </c>
      <c r="C3431" s="3">
        <v>42612</v>
      </c>
      <c r="D3431" t="s">
        <v>5735</v>
      </c>
      <c r="E3431" s="2" t="s">
        <v>12</v>
      </c>
      <c r="F3431" s="2" t="s">
        <v>12</v>
      </c>
      <c r="G3431" t="s">
        <v>5711</v>
      </c>
      <c r="H3431" t="str">
        <f t="shared" si="106"/>
        <v>https://videplast.com.br/consulta-imobilizado?id=30001461&amp;nome=MEDIDOR%20DE%20ESPESSURA%20MAINARD%20MILESIMAL%20M-73011</v>
      </c>
      <c r="I3431" t="e">
        <f t="shared" ca="1" si="107"/>
        <v>#NAME?</v>
      </c>
    </row>
    <row r="3432" spans="1:9" x14ac:dyDescent="0.25">
      <c r="A3432" s="2" t="s">
        <v>5738</v>
      </c>
      <c r="B3432" s="2" t="s">
        <v>10</v>
      </c>
      <c r="C3432" s="3">
        <v>42612</v>
      </c>
      <c r="D3432" t="s">
        <v>5735</v>
      </c>
      <c r="E3432" s="2" t="s">
        <v>12</v>
      </c>
      <c r="F3432" s="2" t="s">
        <v>12</v>
      </c>
      <c r="G3432" t="s">
        <v>5711</v>
      </c>
      <c r="H3432" t="str">
        <f t="shared" si="106"/>
        <v>https://videplast.com.br/consulta-imobilizado?id=30001462&amp;nome=MEDIDOR%20DE%20ESPESSURA%20MAINARD%20MILESIMAL%20M-73011</v>
      </c>
      <c r="I3432" t="e">
        <f t="shared" ca="1" si="107"/>
        <v>#NAME?</v>
      </c>
    </row>
    <row r="3433" spans="1:9" x14ac:dyDescent="0.25">
      <c r="A3433" s="2" t="s">
        <v>5739</v>
      </c>
      <c r="B3433" s="2" t="s">
        <v>10</v>
      </c>
      <c r="C3433" s="3">
        <v>42612</v>
      </c>
      <c r="D3433" t="s">
        <v>5735</v>
      </c>
      <c r="E3433" s="2" t="s">
        <v>12</v>
      </c>
      <c r="F3433" s="2" t="s">
        <v>12</v>
      </c>
      <c r="G3433" t="s">
        <v>5711</v>
      </c>
      <c r="H3433" t="str">
        <f t="shared" si="106"/>
        <v>https://videplast.com.br/consulta-imobilizado?id=30001463&amp;nome=MEDIDOR%20DE%20ESPESSURA%20MAINARD%20MILESIMAL%20M-73011</v>
      </c>
      <c r="I3433" t="e">
        <f t="shared" ca="1" si="107"/>
        <v>#NAME?</v>
      </c>
    </row>
    <row r="3434" spans="1:9" x14ac:dyDescent="0.25">
      <c r="A3434" s="2" t="s">
        <v>5740</v>
      </c>
      <c r="B3434" s="2" t="s">
        <v>10</v>
      </c>
      <c r="C3434" s="3">
        <v>43003</v>
      </c>
      <c r="D3434" t="s">
        <v>428</v>
      </c>
      <c r="E3434" s="2" t="s">
        <v>12</v>
      </c>
      <c r="F3434" s="2" t="s">
        <v>12</v>
      </c>
      <c r="G3434" t="s">
        <v>5711</v>
      </c>
      <c r="H3434" t="str">
        <f t="shared" si="106"/>
        <v>https://videplast.com.br/consulta-imobilizado?id=30001651&amp;nome=CADEIRA%20SECRETARIA%20GIRATORIA%20SEM%20BRAÇOS%20REVESTIDA</v>
      </c>
      <c r="I3434" t="e">
        <f t="shared" ca="1" si="107"/>
        <v>#NAME?</v>
      </c>
    </row>
    <row r="3435" spans="1:9" x14ac:dyDescent="0.25">
      <c r="A3435" s="2" t="s">
        <v>5741</v>
      </c>
      <c r="B3435" s="2" t="s">
        <v>10</v>
      </c>
      <c r="C3435" s="3">
        <v>43003</v>
      </c>
      <c r="D3435" t="s">
        <v>428</v>
      </c>
      <c r="E3435" s="2" t="s">
        <v>12</v>
      </c>
      <c r="F3435" s="2" t="s">
        <v>12</v>
      </c>
      <c r="G3435" t="s">
        <v>5711</v>
      </c>
      <c r="H3435" t="str">
        <f t="shared" si="106"/>
        <v>https://videplast.com.br/consulta-imobilizado?id=30001652&amp;nome=CADEIRA%20SECRETARIA%20GIRATORIA%20SEM%20BRAÇOS%20REVESTIDA</v>
      </c>
      <c r="I3435" t="e">
        <f t="shared" ca="1" si="107"/>
        <v>#NAME?</v>
      </c>
    </row>
    <row r="3436" spans="1:9" x14ac:dyDescent="0.25">
      <c r="A3436" s="2" t="s">
        <v>5742</v>
      </c>
      <c r="B3436" s="2" t="s">
        <v>10</v>
      </c>
      <c r="C3436" s="3">
        <v>43557</v>
      </c>
      <c r="D3436" t="s">
        <v>5743</v>
      </c>
      <c r="E3436" s="2" t="s">
        <v>12</v>
      </c>
      <c r="F3436" s="2" t="s">
        <v>12</v>
      </c>
      <c r="G3436" t="s">
        <v>5711</v>
      </c>
      <c r="H3436" t="str">
        <f t="shared" si="106"/>
        <v>https://videplast.com.br/consulta-imobilizado?id=30001767&amp;nome=BALCAO%20EM%20MDF</v>
      </c>
      <c r="I3436" t="e">
        <f t="shared" ca="1" si="107"/>
        <v>#NAME?</v>
      </c>
    </row>
    <row r="3437" spans="1:9" x14ac:dyDescent="0.25">
      <c r="A3437" s="2" t="s">
        <v>5744</v>
      </c>
      <c r="B3437" s="2" t="s">
        <v>10</v>
      </c>
      <c r="C3437" s="3">
        <v>43517</v>
      </c>
      <c r="D3437" t="s">
        <v>5745</v>
      </c>
      <c r="E3437" s="2" t="s">
        <v>12</v>
      </c>
      <c r="F3437" s="2" t="s">
        <v>5746</v>
      </c>
      <c r="G3437" t="s">
        <v>5711</v>
      </c>
      <c r="H3437" t="str">
        <f t="shared" si="106"/>
        <v>https://videplast.com.br/consulta-imobilizado?id=30001833&amp;nome=AR%20CONDICIONADO%20Q/F%20INVERTER%20HW%20FUJITSU%2012000%20BTU</v>
      </c>
      <c r="I3437" t="e">
        <f t="shared" ca="1" si="107"/>
        <v>#NAME?</v>
      </c>
    </row>
    <row r="3438" spans="1:9" x14ac:dyDescent="0.25">
      <c r="A3438" s="2" t="s">
        <v>5747</v>
      </c>
      <c r="B3438" s="2" t="s">
        <v>10</v>
      </c>
      <c r="C3438" s="3">
        <v>43861</v>
      </c>
      <c r="D3438" t="s">
        <v>438</v>
      </c>
      <c r="E3438" s="2" t="s">
        <v>12</v>
      </c>
      <c r="F3438" s="2" t="s">
        <v>5748</v>
      </c>
      <c r="G3438" t="s">
        <v>5711</v>
      </c>
      <c r="H3438" t="str">
        <f t="shared" si="106"/>
        <v>https://videplast.com.br/consulta-imobilizado?id=30002376&amp;nome=AR%20CONDICIONADO%20FUJITSU%20SPLIT%20HW%2018000%20BTU</v>
      </c>
      <c r="I3438" t="e">
        <f t="shared" ca="1" si="107"/>
        <v>#NAME?</v>
      </c>
    </row>
    <row r="3439" spans="1:9" x14ac:dyDescent="0.25">
      <c r="A3439" s="2" t="s">
        <v>5749</v>
      </c>
      <c r="B3439" s="2" t="s">
        <v>10</v>
      </c>
      <c r="C3439" s="3">
        <v>44112</v>
      </c>
      <c r="D3439" t="s">
        <v>5750</v>
      </c>
      <c r="E3439" s="2" t="s">
        <v>12</v>
      </c>
      <c r="F3439" s="2" t="s">
        <v>12</v>
      </c>
      <c r="G3439" t="s">
        <v>5711</v>
      </c>
      <c r="H3439" t="str">
        <f t="shared" si="106"/>
        <v>https://videplast.com.br/consulta-imobilizado?id=30003351&amp;nome=GAVETEIRO%203%20GAVETAS</v>
      </c>
      <c r="I3439" t="e">
        <f t="shared" ca="1" si="107"/>
        <v>#NAME?</v>
      </c>
    </row>
    <row r="3440" spans="1:9" x14ac:dyDescent="0.25">
      <c r="A3440" s="2" t="s">
        <v>5751</v>
      </c>
      <c r="B3440" s="2" t="s">
        <v>10</v>
      </c>
      <c r="C3440" s="3">
        <v>44112</v>
      </c>
      <c r="D3440" t="s">
        <v>5752</v>
      </c>
      <c r="E3440" s="2" t="s">
        <v>12</v>
      </c>
      <c r="F3440" s="2" t="s">
        <v>12</v>
      </c>
      <c r="G3440" t="s">
        <v>5711</v>
      </c>
      <c r="H3440" t="str">
        <f t="shared" si="106"/>
        <v>https://videplast.com.br/consulta-imobilizado?id=30003352&amp;nome=ARMARIO%20MDF%20ALTURA%201800MM%20LARGURA%20800MM</v>
      </c>
      <c r="I3440" t="e">
        <f t="shared" ca="1" si="107"/>
        <v>#NAME?</v>
      </c>
    </row>
    <row r="3441" spans="1:9" x14ac:dyDescent="0.25">
      <c r="A3441" s="2" t="s">
        <v>5753</v>
      </c>
      <c r="B3441" s="2" t="s">
        <v>10</v>
      </c>
      <c r="C3441" s="3">
        <v>44711</v>
      </c>
      <c r="D3441" t="s">
        <v>5754</v>
      </c>
      <c r="E3441" s="2" t="s">
        <v>5755</v>
      </c>
      <c r="F3441" s="2" t="s">
        <v>5756</v>
      </c>
      <c r="G3441" t="s">
        <v>5711</v>
      </c>
      <c r="H3441" t="str">
        <f t="shared" si="106"/>
        <v>https://videplast.com.br/consulta-imobilizado?id=30003641&amp;nome=AR%20CONDICIONADO%20INT/EXT%20FRIO%20FUJITSU%2018000%20BTUS</v>
      </c>
      <c r="I3441" t="e">
        <f t="shared" ca="1" si="107"/>
        <v>#NAME?</v>
      </c>
    </row>
    <row r="3442" spans="1:9" x14ac:dyDescent="0.25">
      <c r="A3442" s="2" t="s">
        <v>5757</v>
      </c>
      <c r="B3442" s="2" t="s">
        <v>10</v>
      </c>
      <c r="C3442" s="3">
        <v>44802</v>
      </c>
      <c r="D3442" t="s">
        <v>5758</v>
      </c>
      <c r="E3442" s="2" t="s">
        <v>5759</v>
      </c>
      <c r="F3442" s="2" t="s">
        <v>12</v>
      </c>
      <c r="G3442" t="s">
        <v>5711</v>
      </c>
      <c r="H3442" t="str">
        <f t="shared" si="106"/>
        <v>https://videplast.com.br/consulta-imobilizado?id=30003669&amp;nome=MESA%20DE%20ESCRITORIO%20COM%206%20GAVETEIROS%20FIXOS</v>
      </c>
      <c r="I3442" t="e">
        <f t="shared" ca="1" si="107"/>
        <v>#NAME?</v>
      </c>
    </row>
    <row r="3443" spans="1:9" x14ac:dyDescent="0.25">
      <c r="A3443" s="2" t="s">
        <v>5760</v>
      </c>
      <c r="B3443" s="2" t="s">
        <v>10</v>
      </c>
      <c r="C3443" s="3">
        <v>45516</v>
      </c>
      <c r="D3443" t="s">
        <v>5721</v>
      </c>
      <c r="E3443" s="2" t="s">
        <v>12</v>
      </c>
      <c r="F3443" s="2" t="s">
        <v>12</v>
      </c>
      <c r="G3443" t="s">
        <v>5711</v>
      </c>
      <c r="H3443" t="str">
        <f t="shared" si="106"/>
        <v>https://videplast.com.br/consulta-imobilizado?id=30004294&amp;nome=ARQUIVO%20DE%20ACO%204%20GAVETAS%200,70CM%20AIOF4E%20CZ%20VEGEL</v>
      </c>
      <c r="I3443" t="e">
        <f t="shared" ca="1" si="107"/>
        <v>#NAME?</v>
      </c>
    </row>
    <row r="3444" spans="1:9" x14ac:dyDescent="0.25">
      <c r="A3444" s="2" t="s">
        <v>5761</v>
      </c>
      <c r="B3444" s="2" t="s">
        <v>10</v>
      </c>
      <c r="C3444" s="3">
        <v>40085</v>
      </c>
      <c r="D3444" t="s">
        <v>5762</v>
      </c>
      <c r="E3444" s="2" t="s">
        <v>12</v>
      </c>
      <c r="F3444" s="2" t="s">
        <v>12</v>
      </c>
      <c r="G3444" t="s">
        <v>5711</v>
      </c>
      <c r="H3444" s="5" t="str">
        <f t="shared" si="106"/>
        <v>https://videplast.com.br/consulta-imobilizado?id=32000198&amp;nome=MICRO%20COMPUTADOR%20SUPREME%20DUAL%20COR%2025%202%20GB</v>
      </c>
      <c r="I3444" t="e">
        <f t="shared" ca="1" si="107"/>
        <v>#NAME?</v>
      </c>
    </row>
    <row r="3445" spans="1:9" x14ac:dyDescent="0.25">
      <c r="A3445" s="2" t="s">
        <v>5763</v>
      </c>
      <c r="B3445" s="2" t="s">
        <v>10</v>
      </c>
      <c r="C3445" s="3">
        <v>40390</v>
      </c>
      <c r="D3445" t="s">
        <v>5764</v>
      </c>
      <c r="E3445" s="2" t="s">
        <v>12</v>
      </c>
      <c r="F3445" s="2" t="s">
        <v>12</v>
      </c>
      <c r="G3445" t="s">
        <v>5711</v>
      </c>
      <c r="H3445" t="str">
        <f t="shared" si="106"/>
        <v>https://videplast.com.br/consulta-imobilizado?id=32000206&amp;nome=MONITOR%20SAMSUNG%2015,6"%20B1630N%20WIDE%20PRETO</v>
      </c>
      <c r="I3445" t="e">
        <f t="shared" ca="1" si="107"/>
        <v>#NAME?</v>
      </c>
    </row>
    <row r="3446" spans="1:9" x14ac:dyDescent="0.25">
      <c r="A3446" s="2" t="s">
        <v>5765</v>
      </c>
      <c r="B3446" s="2" t="s">
        <v>10</v>
      </c>
      <c r="C3446" s="3">
        <v>40543</v>
      </c>
      <c r="D3446" t="s">
        <v>5766</v>
      </c>
      <c r="E3446" s="2" t="s">
        <v>12</v>
      </c>
      <c r="F3446" s="2" t="s">
        <v>12</v>
      </c>
      <c r="G3446" t="s">
        <v>5711</v>
      </c>
      <c r="H3446" t="str">
        <f t="shared" si="106"/>
        <v>https://videplast.com.br/consulta-imobilizado?id=32000211&amp;nome=SISTEMA%20COF-SCI%20PARA%20PORTA%20PARALELA</v>
      </c>
      <c r="I3446" t="e">
        <f t="shared" ca="1" si="107"/>
        <v>#NAME?</v>
      </c>
    </row>
    <row r="3447" spans="1:9" x14ac:dyDescent="0.25">
      <c r="A3447" s="2" t="s">
        <v>5767</v>
      </c>
      <c r="B3447" s="2" t="s">
        <v>10</v>
      </c>
      <c r="C3447" s="3">
        <v>43463</v>
      </c>
      <c r="D3447" t="s">
        <v>512</v>
      </c>
      <c r="E3447" s="2" t="s">
        <v>12</v>
      </c>
      <c r="F3447" s="2" t="s">
        <v>5768</v>
      </c>
      <c r="G3447" t="s">
        <v>5711</v>
      </c>
      <c r="H3447" s="5" t="str">
        <f t="shared" si="106"/>
        <v>https://videplast.com.br/consulta-imobilizado?id=32001208&amp;nome=COMPUTADOR%20DELL%20VOSTRO%20I3%208100%204C%203.6GHZ%204GB%20RAM</v>
      </c>
      <c r="I3447" t="e">
        <f t="shared" ca="1" si="107"/>
        <v>#NAME?</v>
      </c>
    </row>
    <row r="3448" spans="1:9" x14ac:dyDescent="0.25">
      <c r="A3448" s="2" t="s">
        <v>5769</v>
      </c>
      <c r="B3448" s="2" t="s">
        <v>10</v>
      </c>
      <c r="C3448" s="3">
        <v>43463</v>
      </c>
      <c r="D3448" t="s">
        <v>515</v>
      </c>
      <c r="E3448" s="2" t="s">
        <v>12</v>
      </c>
      <c r="F3448" s="2" t="s">
        <v>5770</v>
      </c>
      <c r="G3448" t="s">
        <v>5711</v>
      </c>
      <c r="H3448" t="str">
        <f t="shared" si="106"/>
        <v>https://videplast.com.br/consulta-imobilizado?id=32001212&amp;nome=MONITOR%20LED%2018,5"%20DELL%20E1916H</v>
      </c>
      <c r="I3448" t="e">
        <f t="shared" ca="1" si="107"/>
        <v>#NAME?</v>
      </c>
    </row>
    <row r="3449" spans="1:9" x14ac:dyDescent="0.25">
      <c r="A3449" s="2" t="s">
        <v>5771</v>
      </c>
      <c r="B3449" s="2" t="s">
        <v>10</v>
      </c>
      <c r="C3449" s="3">
        <v>43763</v>
      </c>
      <c r="D3449" t="s">
        <v>2294</v>
      </c>
      <c r="E3449" s="2" t="s">
        <v>12</v>
      </c>
      <c r="F3449" s="2" t="s">
        <v>5772</v>
      </c>
      <c r="G3449" t="s">
        <v>5711</v>
      </c>
      <c r="H3449" s="5" t="str">
        <f t="shared" si="106"/>
        <v>https://videplast.com.br/consulta-imobilizado?id=32001620&amp;nome=COMPUTADOR%20DELL%20VOSTRO%20I3%204GB%20HD%201TB%20W10P</v>
      </c>
      <c r="I3449" t="e">
        <f t="shared" ca="1" si="107"/>
        <v>#NAME?</v>
      </c>
    </row>
    <row r="3450" spans="1:9" x14ac:dyDescent="0.25">
      <c r="A3450" s="2" t="s">
        <v>5773</v>
      </c>
      <c r="B3450" s="2" t="s">
        <v>10</v>
      </c>
      <c r="C3450" s="3">
        <v>43763</v>
      </c>
      <c r="D3450" t="s">
        <v>2297</v>
      </c>
      <c r="E3450" s="2" t="s">
        <v>12</v>
      </c>
      <c r="F3450" s="2" t="s">
        <v>5774</v>
      </c>
      <c r="G3450" t="s">
        <v>5711</v>
      </c>
      <c r="H3450" t="str">
        <f t="shared" si="106"/>
        <v>https://videplast.com.br/consulta-imobilizado?id=32001623&amp;nome=MONITOR%20LED%2018,5"%20DELL</v>
      </c>
      <c r="I3450" t="e">
        <f t="shared" ca="1" si="107"/>
        <v>#NAME?</v>
      </c>
    </row>
    <row r="3451" spans="1:9" x14ac:dyDescent="0.25">
      <c r="A3451" s="2" t="s">
        <v>5775</v>
      </c>
      <c r="B3451" s="2" t="s">
        <v>10</v>
      </c>
      <c r="C3451" s="3">
        <v>44117</v>
      </c>
      <c r="D3451" t="s">
        <v>2958</v>
      </c>
      <c r="E3451" s="2" t="s">
        <v>12</v>
      </c>
      <c r="F3451" s="2" t="s">
        <v>5776</v>
      </c>
      <c r="G3451" t="s">
        <v>5711</v>
      </c>
      <c r="H3451" t="str">
        <f t="shared" si="106"/>
        <v>https://videplast.com.br/consulta-imobilizado?id=32001989&amp;nome=THINPC%20SUPERA%20SPMJ18TPSSD%20WINDOWS%2010%20IOT</v>
      </c>
      <c r="I3451" t="e">
        <f t="shared" ca="1" si="107"/>
        <v>#NAME?</v>
      </c>
    </row>
    <row r="3452" spans="1:9" x14ac:dyDescent="0.25">
      <c r="A3452" s="2" t="s">
        <v>4883</v>
      </c>
      <c r="B3452" s="2" t="s">
        <v>10</v>
      </c>
      <c r="C3452" s="3">
        <v>44700</v>
      </c>
      <c r="D3452" t="s">
        <v>535</v>
      </c>
      <c r="E3452" s="2" t="s">
        <v>5777</v>
      </c>
      <c r="F3452" s="2" t="s">
        <v>5778</v>
      </c>
      <c r="G3452" t="s">
        <v>5711</v>
      </c>
      <c r="H3452" s="5" t="str">
        <f t="shared" si="106"/>
        <v>https://videplast.com.br/consulta-imobilizado?id=32002370&amp;nome=COMPUTADOR%20DELL%20OPTIPLEX/VASTRO%20I3%204GB%20SSD256%20W10P</v>
      </c>
      <c r="I3452" t="e">
        <f t="shared" ca="1" si="107"/>
        <v>#NAME?</v>
      </c>
    </row>
    <row r="3453" spans="1:9" x14ac:dyDescent="0.25">
      <c r="A3453" s="2" t="s">
        <v>5779</v>
      </c>
      <c r="B3453" s="2" t="s">
        <v>10</v>
      </c>
      <c r="C3453" s="3">
        <v>45050</v>
      </c>
      <c r="D3453" t="s">
        <v>3003</v>
      </c>
      <c r="E3453" s="2" t="s">
        <v>12</v>
      </c>
      <c r="F3453" s="2" t="s">
        <v>12</v>
      </c>
      <c r="G3453" t="s">
        <v>5711</v>
      </c>
      <c r="H3453" t="str">
        <f t="shared" si="106"/>
        <v>https://videplast.com.br/consulta-imobilizado?id=32002670&amp;nome=MONITOR%20DELL%20LED%2020"%20E2222HS</v>
      </c>
      <c r="I3453" t="e">
        <f t="shared" ca="1" si="107"/>
        <v>#NAME?</v>
      </c>
    </row>
    <row r="3454" spans="1:9" x14ac:dyDescent="0.25">
      <c r="A3454" s="2" t="s">
        <v>5780</v>
      </c>
      <c r="B3454" s="2" t="s">
        <v>10</v>
      </c>
      <c r="C3454" s="3">
        <v>45163</v>
      </c>
      <c r="D3454" t="s">
        <v>577</v>
      </c>
      <c r="E3454" s="2" t="s">
        <v>12</v>
      </c>
      <c r="F3454" s="2" t="s">
        <v>5781</v>
      </c>
      <c r="G3454" t="s">
        <v>5711</v>
      </c>
      <c r="H3454" t="str">
        <f t="shared" si="106"/>
        <v>https://videplast.com.br/consulta-imobilizado?id=32002765&amp;nome=NOTEBOOK%20DELL%2014%20i3%204GB%20HD%20SSD256GB%20WINDOWS%2010%20PRO</v>
      </c>
      <c r="I3454" t="e">
        <f t="shared" ca="1" si="107"/>
        <v>#NAME?</v>
      </c>
    </row>
    <row r="3455" spans="1:9" x14ac:dyDescent="0.25">
      <c r="A3455" s="2" t="s">
        <v>5782</v>
      </c>
      <c r="B3455" s="2" t="s">
        <v>10</v>
      </c>
      <c r="C3455" s="3">
        <v>45623</v>
      </c>
      <c r="D3455" t="s">
        <v>550</v>
      </c>
      <c r="E3455" s="2" t="s">
        <v>12</v>
      </c>
      <c r="F3455" s="2" t="s">
        <v>5783</v>
      </c>
      <c r="G3455" t="s">
        <v>5711</v>
      </c>
      <c r="H3455" t="str">
        <f t="shared" si="106"/>
        <v>https://videplast.com.br/consulta-imobilizado?id=32003141&amp;nome=MONITOR%20DELL%2021.5"%20P2219H</v>
      </c>
      <c r="I3455" t="e">
        <f t="shared" ca="1" si="107"/>
        <v>#NAME?</v>
      </c>
    </row>
    <row r="3456" spans="1:9" x14ac:dyDescent="0.25">
      <c r="A3456" s="2" t="s">
        <v>5784</v>
      </c>
      <c r="B3456" s="2" t="s">
        <v>10</v>
      </c>
      <c r="C3456" s="3">
        <v>39933</v>
      </c>
      <c r="D3456" t="s">
        <v>5785</v>
      </c>
      <c r="E3456" s="2" t="s">
        <v>12</v>
      </c>
      <c r="F3456" s="2" t="s">
        <v>12</v>
      </c>
      <c r="G3456" t="s">
        <v>5786</v>
      </c>
      <c r="H3456" t="str">
        <f t="shared" si="106"/>
        <v>https://videplast.com.br/consulta-imobilizado?id=11000084&amp;nome=CONDULETE,%20CANAL,%20TOMADA,%20ADAPTADOR,%20LUVA,%20TOMADA</v>
      </c>
      <c r="I3456" t="e">
        <f t="shared" ca="1" si="107"/>
        <v>#NAME?</v>
      </c>
    </row>
    <row r="3457" spans="1:9" x14ac:dyDescent="0.25">
      <c r="A3457" s="2" t="s">
        <v>5787</v>
      </c>
      <c r="B3457" s="2" t="s">
        <v>10</v>
      </c>
      <c r="C3457" s="3">
        <v>40724</v>
      </c>
      <c r="D3457" t="s">
        <v>5788</v>
      </c>
      <c r="E3457" s="2" t="s">
        <v>12</v>
      </c>
      <c r="F3457" s="2" t="s">
        <v>12</v>
      </c>
      <c r="G3457" t="s">
        <v>5786</v>
      </c>
      <c r="H3457" t="str">
        <f t="shared" si="106"/>
        <v>https://videplast.com.br/consulta-imobilizado?id=30000105&amp;nome=TV%20SANSUNG%20LCD%2040%20POLEGADAS</v>
      </c>
      <c r="I3457" t="e">
        <f t="shared" ca="1" si="107"/>
        <v>#NAME?</v>
      </c>
    </row>
    <row r="3458" spans="1:9" x14ac:dyDescent="0.25">
      <c r="A3458" s="2" t="s">
        <v>5789</v>
      </c>
      <c r="B3458" s="2" t="s">
        <v>10</v>
      </c>
      <c r="C3458" s="3">
        <v>40968</v>
      </c>
      <c r="D3458" t="s">
        <v>5790</v>
      </c>
      <c r="E3458" s="2" t="s">
        <v>12</v>
      </c>
      <c r="F3458" s="2" t="s">
        <v>12</v>
      </c>
      <c r="G3458" t="s">
        <v>5786</v>
      </c>
      <c r="H3458" t="str">
        <f t="shared" ref="H3458:H3520" si="108" xml:space="preserve"> "https://videplast.com.br/consulta-imobilizado?id=" &amp; A3458 &amp; "&amp;nome=" &amp; SUBSTITUTE(D3458, " ", "%20")</f>
        <v>https://videplast.com.br/consulta-imobilizado?id=30000116&amp;nome=ARQUIVO%20DE%20ACO%204%20GAVETAS%200,70%20CM%20AIOF4E%20OV%20VEGEL</v>
      </c>
      <c r="I3458" t="e">
        <f t="shared" ref="I3458:I3520" ca="1" si="109">_xlfn.IMAGE("https://chart.googleapis.com/chart?chs=150x150&amp;cht=qr&amp;chl=" &amp; H3458)</f>
        <v>#NAME?</v>
      </c>
    </row>
    <row r="3459" spans="1:9" x14ac:dyDescent="0.25">
      <c r="A3459" s="2" t="s">
        <v>5791</v>
      </c>
      <c r="B3459" s="2" t="s">
        <v>10</v>
      </c>
      <c r="C3459" s="3">
        <v>41274</v>
      </c>
      <c r="D3459" t="s">
        <v>5792</v>
      </c>
      <c r="E3459" s="2" t="s">
        <v>12</v>
      </c>
      <c r="F3459" s="2" t="s">
        <v>12</v>
      </c>
      <c r="G3459" t="s">
        <v>5786</v>
      </c>
      <c r="H3459" t="str">
        <f t="shared" si="108"/>
        <v>https://videplast.com.br/consulta-imobilizado?id=30000127&amp;nome=PURIFICADOR%20BELLIERE%20INOX</v>
      </c>
      <c r="I3459" t="e">
        <f t="shared" ca="1" si="109"/>
        <v>#NAME?</v>
      </c>
    </row>
    <row r="3460" spans="1:9" x14ac:dyDescent="0.25">
      <c r="A3460" s="2" t="s">
        <v>5793</v>
      </c>
      <c r="B3460" s="2" t="s">
        <v>10</v>
      </c>
      <c r="C3460" s="3">
        <v>41305</v>
      </c>
      <c r="D3460" t="s">
        <v>5794</v>
      </c>
      <c r="E3460" s="2" t="s">
        <v>12</v>
      </c>
      <c r="F3460" s="2" t="s">
        <v>12</v>
      </c>
      <c r="G3460" t="s">
        <v>5786</v>
      </c>
      <c r="H3460" t="str">
        <f t="shared" si="108"/>
        <v>https://videplast.com.br/consulta-imobilizado?id=30000129&amp;nome=AR%20CONDICONADO%20INT%20SPLIT%20CONSUL%20BEM%20ESTAR%2022000BTU</v>
      </c>
      <c r="I3460" t="e">
        <f t="shared" ca="1" si="109"/>
        <v>#NAME?</v>
      </c>
    </row>
    <row r="3461" spans="1:9" x14ac:dyDescent="0.25">
      <c r="A3461" s="2" t="s">
        <v>5793</v>
      </c>
      <c r="B3461" s="2" t="s">
        <v>26</v>
      </c>
      <c r="C3461" s="3">
        <v>41305</v>
      </c>
      <c r="D3461" t="s">
        <v>5795</v>
      </c>
      <c r="E3461" s="2" t="s">
        <v>12</v>
      </c>
      <c r="F3461" s="2" t="s">
        <v>12</v>
      </c>
      <c r="G3461" t="s">
        <v>5786</v>
      </c>
      <c r="H3461" t="str">
        <f t="shared" si="108"/>
        <v>https://videplast.com.br/consulta-imobilizado?id=30000129&amp;nome=AR%20CONDICONADO%20EXT%20SPLIT%20CONSUL%20BEM%20ESTAR%2022000BTU</v>
      </c>
      <c r="I3461" t="e">
        <f t="shared" ca="1" si="109"/>
        <v>#NAME?</v>
      </c>
    </row>
    <row r="3462" spans="1:9" x14ac:dyDescent="0.25">
      <c r="A3462" s="2" t="s">
        <v>5796</v>
      </c>
      <c r="B3462" s="2" t="s">
        <v>10</v>
      </c>
      <c r="C3462" s="3">
        <v>39964</v>
      </c>
      <c r="D3462" t="s">
        <v>5797</v>
      </c>
      <c r="E3462" s="2" t="s">
        <v>12</v>
      </c>
      <c r="F3462" s="2" t="s">
        <v>12</v>
      </c>
      <c r="G3462" t="s">
        <v>5786</v>
      </c>
      <c r="H3462" t="str">
        <f t="shared" si="108"/>
        <v>https://videplast.com.br/consulta-imobilizado?id=30000229&amp;nome=CADEIRA%20GIRATORIA</v>
      </c>
      <c r="I3462" t="e">
        <f t="shared" ca="1" si="109"/>
        <v>#NAME?</v>
      </c>
    </row>
    <row r="3463" spans="1:9" x14ac:dyDescent="0.25">
      <c r="A3463" s="2" t="s">
        <v>5798</v>
      </c>
      <c r="B3463" s="2" t="s">
        <v>10</v>
      </c>
      <c r="C3463" s="3">
        <v>44869</v>
      </c>
      <c r="D3463" t="s">
        <v>5758</v>
      </c>
      <c r="E3463" s="2" t="s">
        <v>5799</v>
      </c>
      <c r="F3463" s="2" t="s">
        <v>12</v>
      </c>
      <c r="G3463" t="s">
        <v>5786</v>
      </c>
      <c r="H3463" t="str">
        <f t="shared" si="108"/>
        <v>https://videplast.com.br/consulta-imobilizado?id=30003686&amp;nome=MESA%20DE%20ESCRITORIO%20COM%206%20GAVETEIROS%20FIXOS</v>
      </c>
      <c r="I3463" t="e">
        <f t="shared" ca="1" si="109"/>
        <v>#NAME?</v>
      </c>
    </row>
    <row r="3464" spans="1:9" x14ac:dyDescent="0.25">
      <c r="A3464" s="2" t="s">
        <v>5800</v>
      </c>
      <c r="B3464" s="2" t="s">
        <v>10</v>
      </c>
      <c r="C3464" s="3">
        <v>45007</v>
      </c>
      <c r="D3464" t="s">
        <v>5801</v>
      </c>
      <c r="E3464" s="2" t="s">
        <v>5802</v>
      </c>
      <c r="F3464" s="2" t="s">
        <v>12</v>
      </c>
      <c r="G3464" t="s">
        <v>5786</v>
      </c>
      <c r="H3464" t="str">
        <f t="shared" si="108"/>
        <v>https://videplast.com.br/consulta-imobilizado?id=30003785&amp;nome=CADEIRA%20SEC%20TECIDO%20BACK%20SISTEN%20C/%20BRACO</v>
      </c>
      <c r="I3464" t="e">
        <f t="shared" ca="1" si="109"/>
        <v>#NAME?</v>
      </c>
    </row>
    <row r="3465" spans="1:9" x14ac:dyDescent="0.25">
      <c r="A3465" s="2" t="s">
        <v>5803</v>
      </c>
      <c r="B3465" s="2" t="s">
        <v>10</v>
      </c>
      <c r="C3465" s="3">
        <v>45007</v>
      </c>
      <c r="D3465" t="s">
        <v>5801</v>
      </c>
      <c r="E3465" s="2" t="s">
        <v>5804</v>
      </c>
      <c r="F3465" s="2" t="s">
        <v>12</v>
      </c>
      <c r="G3465" t="s">
        <v>5786</v>
      </c>
      <c r="H3465" t="str">
        <f t="shared" si="108"/>
        <v>https://videplast.com.br/consulta-imobilizado?id=30003786&amp;nome=CADEIRA%20SEC%20TECIDO%20BACK%20SISTEN%20C/%20BRACO</v>
      </c>
      <c r="I3465" t="e">
        <f t="shared" ca="1" si="109"/>
        <v>#NAME?</v>
      </c>
    </row>
    <row r="3466" spans="1:9" x14ac:dyDescent="0.25">
      <c r="A3466" s="2" t="s">
        <v>5805</v>
      </c>
      <c r="B3466" s="2" t="s">
        <v>10</v>
      </c>
      <c r="C3466" s="3">
        <v>45007</v>
      </c>
      <c r="D3466" t="s">
        <v>5801</v>
      </c>
      <c r="E3466" s="2" t="s">
        <v>5806</v>
      </c>
      <c r="F3466" s="2" t="s">
        <v>12</v>
      </c>
      <c r="G3466" t="s">
        <v>5786</v>
      </c>
      <c r="H3466" t="str">
        <f t="shared" si="108"/>
        <v>https://videplast.com.br/consulta-imobilizado?id=30003787&amp;nome=CADEIRA%20SEC%20TECIDO%20BACK%20SISTEN%20C/%20BRACO</v>
      </c>
      <c r="I3466" t="e">
        <f t="shared" ca="1" si="109"/>
        <v>#NAME?</v>
      </c>
    </row>
    <row r="3467" spans="1:9" x14ac:dyDescent="0.25">
      <c r="A3467" s="2" t="s">
        <v>5807</v>
      </c>
      <c r="B3467" s="2" t="s">
        <v>10</v>
      </c>
      <c r="C3467" s="3">
        <v>45007</v>
      </c>
      <c r="D3467" t="s">
        <v>5801</v>
      </c>
      <c r="E3467" s="2" t="s">
        <v>5808</v>
      </c>
      <c r="F3467" s="2" t="s">
        <v>12</v>
      </c>
      <c r="G3467" t="s">
        <v>5786</v>
      </c>
      <c r="H3467" t="str">
        <f t="shared" si="108"/>
        <v>https://videplast.com.br/consulta-imobilizado?id=30003788&amp;nome=CADEIRA%20SEC%20TECIDO%20BACK%20SISTEN%20C/%20BRACO</v>
      </c>
      <c r="I3467" t="e">
        <f t="shared" ca="1" si="109"/>
        <v>#NAME?</v>
      </c>
    </row>
    <row r="3468" spans="1:9" x14ac:dyDescent="0.25">
      <c r="A3468" s="2" t="s">
        <v>5809</v>
      </c>
      <c r="B3468" s="2" t="s">
        <v>10</v>
      </c>
      <c r="C3468" s="3">
        <v>45007</v>
      </c>
      <c r="D3468" t="s">
        <v>5801</v>
      </c>
      <c r="E3468" s="2" t="s">
        <v>5810</v>
      </c>
      <c r="F3468" s="2" t="s">
        <v>12</v>
      </c>
      <c r="G3468" t="s">
        <v>5786</v>
      </c>
      <c r="H3468" t="str">
        <f t="shared" si="108"/>
        <v>https://videplast.com.br/consulta-imobilizado?id=30003789&amp;nome=CADEIRA%20SEC%20TECIDO%20BACK%20SISTEN%20C/%20BRACO</v>
      </c>
      <c r="I3468" t="e">
        <f t="shared" ca="1" si="109"/>
        <v>#NAME?</v>
      </c>
    </row>
    <row r="3469" spans="1:9" x14ac:dyDescent="0.25">
      <c r="A3469" s="2" t="s">
        <v>5811</v>
      </c>
      <c r="B3469" s="2" t="s">
        <v>10</v>
      </c>
      <c r="C3469" s="3">
        <v>45007</v>
      </c>
      <c r="D3469" t="s">
        <v>5801</v>
      </c>
      <c r="E3469" s="2" t="s">
        <v>5812</v>
      </c>
      <c r="F3469" s="2" t="s">
        <v>12</v>
      </c>
      <c r="G3469" t="s">
        <v>5786</v>
      </c>
      <c r="H3469" t="str">
        <f t="shared" si="108"/>
        <v>https://videplast.com.br/consulta-imobilizado?id=30003790&amp;nome=CADEIRA%20SEC%20TECIDO%20BACK%20SISTEN%20C/%20BRACO</v>
      </c>
      <c r="I3469" t="e">
        <f t="shared" ca="1" si="109"/>
        <v>#NAME?</v>
      </c>
    </row>
    <row r="3470" spans="1:9" x14ac:dyDescent="0.25">
      <c r="A3470" s="2" t="s">
        <v>5813</v>
      </c>
      <c r="B3470" s="2" t="s">
        <v>10</v>
      </c>
      <c r="C3470" s="3">
        <v>45121</v>
      </c>
      <c r="D3470" t="s">
        <v>5814</v>
      </c>
      <c r="E3470" s="2" t="s">
        <v>12</v>
      </c>
      <c r="F3470" s="2" t="s">
        <v>12</v>
      </c>
      <c r="G3470" t="s">
        <v>5786</v>
      </c>
      <c r="H3470" t="str">
        <f t="shared" si="108"/>
        <v>https://videplast.com.br/consulta-imobilizado?id=30003921&amp;nome=AR%20CONDICONADO%20SPLIT%20CONSUL%20BEM%20ESTAR%2022000%20BTU</v>
      </c>
      <c r="I3470" t="e">
        <f t="shared" ca="1" si="109"/>
        <v>#NAME?</v>
      </c>
    </row>
    <row r="3471" spans="1:9" x14ac:dyDescent="0.25">
      <c r="A3471" s="2" t="s">
        <v>5815</v>
      </c>
      <c r="B3471" s="2" t="s">
        <v>10</v>
      </c>
      <c r="C3471" s="3">
        <v>45121</v>
      </c>
      <c r="D3471" t="s">
        <v>5814</v>
      </c>
      <c r="E3471" s="2" t="s">
        <v>12</v>
      </c>
      <c r="F3471" s="2" t="s">
        <v>12</v>
      </c>
      <c r="G3471" t="s">
        <v>5786</v>
      </c>
      <c r="H3471" t="str">
        <f t="shared" si="108"/>
        <v>https://videplast.com.br/consulta-imobilizado?id=30003922&amp;nome=AR%20CONDICONADO%20SPLIT%20CONSUL%20BEM%20ESTAR%2022000%20BTU</v>
      </c>
      <c r="I3471" t="e">
        <f t="shared" ca="1" si="109"/>
        <v>#NAME?</v>
      </c>
    </row>
    <row r="3472" spans="1:9" x14ac:dyDescent="0.25">
      <c r="A3472" s="2" t="s">
        <v>5816</v>
      </c>
      <c r="B3472" s="2" t="s">
        <v>10</v>
      </c>
      <c r="C3472" s="3">
        <v>45516</v>
      </c>
      <c r="D3472" t="s">
        <v>5797</v>
      </c>
      <c r="E3472" s="2" t="s">
        <v>12</v>
      </c>
      <c r="F3472" s="2" t="s">
        <v>12</v>
      </c>
      <c r="G3472" t="s">
        <v>5786</v>
      </c>
      <c r="H3472" t="str">
        <f t="shared" si="108"/>
        <v>https://videplast.com.br/consulta-imobilizado?id=30004295&amp;nome=CADEIRA%20GIRATORIA</v>
      </c>
      <c r="I3472" t="e">
        <f t="shared" ca="1" si="109"/>
        <v>#NAME?</v>
      </c>
    </row>
    <row r="3473" spans="1:9" x14ac:dyDescent="0.25">
      <c r="A3473" s="2" t="s">
        <v>5817</v>
      </c>
      <c r="B3473" s="2" t="s">
        <v>10</v>
      </c>
      <c r="C3473" s="3">
        <v>45516</v>
      </c>
      <c r="D3473" t="s">
        <v>5797</v>
      </c>
      <c r="E3473" s="2" t="s">
        <v>12</v>
      </c>
      <c r="F3473" s="2" t="s">
        <v>12</v>
      </c>
      <c r="G3473" t="s">
        <v>5786</v>
      </c>
      <c r="H3473" t="str">
        <f t="shared" si="108"/>
        <v>https://videplast.com.br/consulta-imobilizado?id=30004296&amp;nome=CADEIRA%20GIRATORIA</v>
      </c>
      <c r="I3473" t="e">
        <f t="shared" ca="1" si="109"/>
        <v>#NAME?</v>
      </c>
    </row>
    <row r="3474" spans="1:9" x14ac:dyDescent="0.25">
      <c r="A3474" s="2" t="s">
        <v>5818</v>
      </c>
      <c r="B3474" s="2" t="s">
        <v>10</v>
      </c>
      <c r="C3474" s="3">
        <v>45516</v>
      </c>
      <c r="D3474" t="s">
        <v>5797</v>
      </c>
      <c r="E3474" s="2" t="s">
        <v>12</v>
      </c>
      <c r="F3474" s="2" t="s">
        <v>12</v>
      </c>
      <c r="G3474" t="s">
        <v>5786</v>
      </c>
      <c r="H3474" t="str">
        <f t="shared" si="108"/>
        <v>https://videplast.com.br/consulta-imobilizado?id=30004297&amp;nome=CADEIRA%20GIRATORIA</v>
      </c>
      <c r="I3474" t="e">
        <f t="shared" ca="1" si="109"/>
        <v>#NAME?</v>
      </c>
    </row>
    <row r="3475" spans="1:9" x14ac:dyDescent="0.25">
      <c r="A3475" s="2" t="s">
        <v>5819</v>
      </c>
      <c r="B3475" s="2" t="s">
        <v>10</v>
      </c>
      <c r="C3475" s="3">
        <v>45516</v>
      </c>
      <c r="D3475" t="s">
        <v>5797</v>
      </c>
      <c r="E3475" s="2" t="s">
        <v>12</v>
      </c>
      <c r="F3475" s="2" t="s">
        <v>12</v>
      </c>
      <c r="G3475" t="s">
        <v>5786</v>
      </c>
      <c r="H3475" t="str">
        <f t="shared" si="108"/>
        <v>https://videplast.com.br/consulta-imobilizado?id=30004298&amp;nome=CADEIRA%20GIRATORIA</v>
      </c>
      <c r="I3475" t="e">
        <f t="shared" ca="1" si="109"/>
        <v>#NAME?</v>
      </c>
    </row>
    <row r="3476" spans="1:9" x14ac:dyDescent="0.25">
      <c r="A3476" s="2" t="s">
        <v>5820</v>
      </c>
      <c r="B3476" s="2" t="s">
        <v>10</v>
      </c>
      <c r="C3476" s="3">
        <v>45516</v>
      </c>
      <c r="D3476" t="s">
        <v>5797</v>
      </c>
      <c r="E3476" s="2" t="s">
        <v>12</v>
      </c>
      <c r="F3476" s="2" t="s">
        <v>12</v>
      </c>
      <c r="G3476" t="s">
        <v>5786</v>
      </c>
      <c r="H3476" t="str">
        <f t="shared" si="108"/>
        <v>https://videplast.com.br/consulta-imobilizado?id=30004299&amp;nome=CADEIRA%20GIRATORIA</v>
      </c>
      <c r="I3476" t="e">
        <f t="shared" ca="1" si="109"/>
        <v>#NAME?</v>
      </c>
    </row>
    <row r="3477" spans="1:9" x14ac:dyDescent="0.25">
      <c r="A3477" s="2" t="s">
        <v>5821</v>
      </c>
      <c r="B3477" s="2" t="s">
        <v>10</v>
      </c>
      <c r="C3477" s="3">
        <v>45726</v>
      </c>
      <c r="D3477" t="s">
        <v>2234</v>
      </c>
      <c r="E3477" s="2" t="s">
        <v>12</v>
      </c>
      <c r="F3477" s="2" t="s">
        <v>12</v>
      </c>
      <c r="G3477" t="s">
        <v>5786</v>
      </c>
      <c r="H3477" t="str">
        <f t="shared" si="108"/>
        <v>https://videplast.com.br/consulta-imobilizado?id=30004490&amp;nome=AR%20CONDICIONADO%20FRIO%20FUJITSU%20220V%2012000%20BTU</v>
      </c>
      <c r="I3477" t="e">
        <f t="shared" ca="1" si="109"/>
        <v>#NAME?</v>
      </c>
    </row>
    <row r="3478" spans="1:9" x14ac:dyDescent="0.25">
      <c r="A3478" s="2" t="s">
        <v>5822</v>
      </c>
      <c r="B3478" s="2" t="s">
        <v>10</v>
      </c>
      <c r="C3478" s="3">
        <v>39207</v>
      </c>
      <c r="D3478" t="s">
        <v>5823</v>
      </c>
      <c r="E3478" s="2" t="s">
        <v>12</v>
      </c>
      <c r="F3478" s="2" t="s">
        <v>12</v>
      </c>
      <c r="G3478" t="s">
        <v>5786</v>
      </c>
      <c r="H3478" s="5" t="str">
        <f t="shared" si="108"/>
        <v>https://videplast.com.br/consulta-imobilizado?id=32000174&amp;nome=COMPUTADOR%20COMPLETO%20PARA%20O%20SETOR%20DE%20PCP</v>
      </c>
      <c r="I3478" t="e">
        <f t="shared" ca="1" si="109"/>
        <v>#NAME?</v>
      </c>
    </row>
    <row r="3479" spans="1:9" x14ac:dyDescent="0.25">
      <c r="A3479" s="2" t="s">
        <v>5824</v>
      </c>
      <c r="B3479" s="2" t="s">
        <v>21</v>
      </c>
      <c r="C3479" s="3">
        <v>42004</v>
      </c>
      <c r="D3479" t="s">
        <v>5291</v>
      </c>
      <c r="E3479" s="2" t="s">
        <v>5825</v>
      </c>
      <c r="F3479" s="2" t="s">
        <v>12</v>
      </c>
      <c r="G3479" t="s">
        <v>5786</v>
      </c>
      <c r="H3479" t="str">
        <f t="shared" si="108"/>
        <v>https://videplast.com.br/consulta-imobilizado?id=32000219&amp;nome=MONITOR%2018,5"%20LED%20LS19C301FSMZD</v>
      </c>
      <c r="I3479" t="e">
        <f t="shared" ca="1" si="109"/>
        <v>#NAME?</v>
      </c>
    </row>
    <row r="3480" spans="1:9" x14ac:dyDescent="0.25">
      <c r="A3480" s="2" t="s">
        <v>5824</v>
      </c>
      <c r="B3480" s="2" t="s">
        <v>29</v>
      </c>
      <c r="C3480" s="3">
        <v>42004</v>
      </c>
      <c r="D3480" t="s">
        <v>5291</v>
      </c>
      <c r="E3480" s="2" t="s">
        <v>5826</v>
      </c>
      <c r="F3480" s="2" t="s">
        <v>12</v>
      </c>
      <c r="G3480" t="s">
        <v>5786</v>
      </c>
      <c r="H3480" t="str">
        <f t="shared" si="108"/>
        <v>https://videplast.com.br/consulta-imobilizado?id=32000219&amp;nome=MONITOR%2018,5"%20LED%20LS19C301FSMZD</v>
      </c>
      <c r="I3480" t="e">
        <f t="shared" ca="1" si="109"/>
        <v>#NAME?</v>
      </c>
    </row>
    <row r="3481" spans="1:9" x14ac:dyDescent="0.25">
      <c r="A3481" s="2" t="s">
        <v>5827</v>
      </c>
      <c r="B3481" s="2" t="s">
        <v>10</v>
      </c>
      <c r="C3481" s="3">
        <v>42917</v>
      </c>
      <c r="D3481" t="s">
        <v>5828</v>
      </c>
      <c r="E3481" s="2" t="s">
        <v>12</v>
      </c>
      <c r="F3481" s="2" t="s">
        <v>12</v>
      </c>
      <c r="G3481" t="s">
        <v>5786</v>
      </c>
      <c r="H3481" s="5" t="str">
        <f t="shared" si="108"/>
        <v>https://videplast.com.br/consulta-imobilizado?id=32001028&amp;nome=COMPUTADOR%20ASUS%20I3%203240%203,4%20GHZ%20MB</v>
      </c>
      <c r="I3481" t="e">
        <f t="shared" ca="1" si="109"/>
        <v>#NAME?</v>
      </c>
    </row>
    <row r="3482" spans="1:9" x14ac:dyDescent="0.25">
      <c r="A3482" s="2" t="s">
        <v>5829</v>
      </c>
      <c r="B3482" s="2" t="s">
        <v>10</v>
      </c>
      <c r="C3482" s="3">
        <v>43138</v>
      </c>
      <c r="D3482" t="s">
        <v>3680</v>
      </c>
      <c r="E3482" s="2" t="s">
        <v>12</v>
      </c>
      <c r="F3482" s="2" t="s">
        <v>5830</v>
      </c>
      <c r="G3482" t="s">
        <v>5786</v>
      </c>
      <c r="H3482" s="5" t="str">
        <f t="shared" si="108"/>
        <v>https://videplast.com.br/consulta-imobilizado?id=32001072&amp;nome=COMPUTADOR%20DELL%20VOSTRO%203268%20MEMORIA%20DDR3%208GB%20HD</v>
      </c>
      <c r="I3482" t="e">
        <f t="shared" ca="1" si="109"/>
        <v>#NAME?</v>
      </c>
    </row>
    <row r="3483" spans="1:9" x14ac:dyDescent="0.25">
      <c r="A3483" s="2" t="s">
        <v>5831</v>
      </c>
      <c r="B3483" s="2" t="s">
        <v>10</v>
      </c>
      <c r="C3483" s="3">
        <v>43264</v>
      </c>
      <c r="D3483" t="s">
        <v>4728</v>
      </c>
      <c r="E3483" s="2" t="s">
        <v>12</v>
      </c>
      <c r="F3483" s="2" t="s">
        <v>5832</v>
      </c>
      <c r="G3483" t="s">
        <v>5786</v>
      </c>
      <c r="H3483" s="5" t="str">
        <f t="shared" si="108"/>
        <v>https://videplast.com.br/consulta-imobilizado?id=32001101&amp;nome=COMPUTADOR%20DELL%20OPTIPLEX%203020</v>
      </c>
      <c r="I3483" t="e">
        <f t="shared" ca="1" si="109"/>
        <v>#NAME?</v>
      </c>
    </row>
    <row r="3484" spans="1:9" x14ac:dyDescent="0.25">
      <c r="A3484" s="2" t="s">
        <v>5833</v>
      </c>
      <c r="B3484" s="2" t="s">
        <v>10</v>
      </c>
      <c r="C3484" s="3">
        <v>43264</v>
      </c>
      <c r="D3484" t="s">
        <v>5834</v>
      </c>
      <c r="E3484" s="2" t="s">
        <v>12</v>
      </c>
      <c r="F3484" s="2" t="s">
        <v>2949</v>
      </c>
      <c r="G3484" t="s">
        <v>5786</v>
      </c>
      <c r="H3484" t="str">
        <f t="shared" si="108"/>
        <v>https://videplast.com.br/consulta-imobilizado?id=32001102&amp;nome=MONITOR%20DELL%20PROFESSIONAL%2018,5"%201916H</v>
      </c>
      <c r="I3484" t="e">
        <f t="shared" ca="1" si="109"/>
        <v>#NAME?</v>
      </c>
    </row>
    <row r="3485" spans="1:9" x14ac:dyDescent="0.25">
      <c r="A3485" s="2" t="s">
        <v>5835</v>
      </c>
      <c r="B3485" s="2" t="s">
        <v>10</v>
      </c>
      <c r="C3485" s="3">
        <v>43404</v>
      </c>
      <c r="D3485" t="s">
        <v>2931</v>
      </c>
      <c r="E3485" s="2" t="s">
        <v>12</v>
      </c>
      <c r="F3485" s="2" t="s">
        <v>5836</v>
      </c>
      <c r="G3485" t="s">
        <v>5786</v>
      </c>
      <c r="H3485" s="5" t="str">
        <f t="shared" si="108"/>
        <v>https://videplast.com.br/consulta-imobilizado?id=32001128&amp;nome=COMPUTADOR%20DELL%20VOSTRO%20I3%208100%204C%203.6GHZ,%204G%20RAM</v>
      </c>
      <c r="I3485" t="e">
        <f t="shared" ca="1" si="109"/>
        <v>#NAME?</v>
      </c>
    </row>
    <row r="3486" spans="1:9" x14ac:dyDescent="0.25">
      <c r="A3486" s="2" t="s">
        <v>5837</v>
      </c>
      <c r="B3486" s="2" t="s">
        <v>10</v>
      </c>
      <c r="C3486" s="3">
        <v>43404</v>
      </c>
      <c r="D3486" t="s">
        <v>2931</v>
      </c>
      <c r="E3486" s="2" t="s">
        <v>12</v>
      </c>
      <c r="F3486" s="2" t="s">
        <v>5838</v>
      </c>
      <c r="G3486" t="s">
        <v>5786</v>
      </c>
      <c r="H3486" s="5" t="str">
        <f t="shared" si="108"/>
        <v>https://videplast.com.br/consulta-imobilizado?id=32001129&amp;nome=COMPUTADOR%20DELL%20VOSTRO%20I3%208100%204C%203.6GHZ,%204G%20RAM</v>
      </c>
      <c r="I3486" t="e">
        <f t="shared" ca="1" si="109"/>
        <v>#NAME?</v>
      </c>
    </row>
    <row r="3487" spans="1:9" x14ac:dyDescent="0.25">
      <c r="A3487" s="2" t="s">
        <v>5839</v>
      </c>
      <c r="B3487" s="2" t="s">
        <v>10</v>
      </c>
      <c r="C3487" s="3">
        <v>43404</v>
      </c>
      <c r="D3487" t="s">
        <v>2936</v>
      </c>
      <c r="E3487" s="2" t="s">
        <v>12</v>
      </c>
      <c r="F3487" s="2" t="s">
        <v>5840</v>
      </c>
      <c r="G3487" t="s">
        <v>5786</v>
      </c>
      <c r="H3487" t="str">
        <f t="shared" si="108"/>
        <v>https://videplast.com.br/consulta-imobilizado?id=32001130&amp;nome=MONITOR%20DELL%20E1916H%2019"</v>
      </c>
      <c r="I3487" t="e">
        <f t="shared" ca="1" si="109"/>
        <v>#NAME?</v>
      </c>
    </row>
    <row r="3488" spans="1:9" x14ac:dyDescent="0.25">
      <c r="A3488" s="2" t="s">
        <v>5841</v>
      </c>
      <c r="B3488" s="2" t="s">
        <v>10</v>
      </c>
      <c r="C3488" s="3">
        <v>43404</v>
      </c>
      <c r="D3488" t="s">
        <v>2936</v>
      </c>
      <c r="E3488" s="2" t="s">
        <v>12</v>
      </c>
      <c r="F3488" s="2" t="s">
        <v>5842</v>
      </c>
      <c r="G3488" t="s">
        <v>5786</v>
      </c>
      <c r="H3488" t="str">
        <f t="shared" si="108"/>
        <v>https://videplast.com.br/consulta-imobilizado?id=32001131&amp;nome=MONITOR%20DELL%20E1916H%2019"</v>
      </c>
      <c r="I3488" t="e">
        <f t="shared" ca="1" si="109"/>
        <v>#NAME?</v>
      </c>
    </row>
    <row r="3489" spans="1:9" x14ac:dyDescent="0.25">
      <c r="A3489" s="2" t="s">
        <v>5843</v>
      </c>
      <c r="B3489" s="2" t="s">
        <v>10</v>
      </c>
      <c r="C3489" s="3">
        <v>43494</v>
      </c>
      <c r="D3489" t="s">
        <v>512</v>
      </c>
      <c r="E3489" s="2" t="s">
        <v>12</v>
      </c>
      <c r="F3489" s="2" t="s">
        <v>5844</v>
      </c>
      <c r="G3489" t="s">
        <v>5786</v>
      </c>
      <c r="H3489" s="5" t="str">
        <f t="shared" si="108"/>
        <v>https://videplast.com.br/consulta-imobilizado?id=32001228&amp;nome=COMPUTADOR%20DELL%20VOSTRO%20I3%208100%204C%203.6GHZ%204GB%20RAM</v>
      </c>
      <c r="I3489" t="e">
        <f t="shared" ca="1" si="109"/>
        <v>#NAME?</v>
      </c>
    </row>
    <row r="3490" spans="1:9" x14ac:dyDescent="0.25">
      <c r="A3490" s="2" t="s">
        <v>5845</v>
      </c>
      <c r="B3490" s="2" t="s">
        <v>10</v>
      </c>
      <c r="C3490" s="3">
        <v>43494</v>
      </c>
      <c r="D3490" t="s">
        <v>515</v>
      </c>
      <c r="E3490" s="2" t="s">
        <v>12</v>
      </c>
      <c r="F3490" s="2" t="s">
        <v>5846</v>
      </c>
      <c r="G3490" t="s">
        <v>5786</v>
      </c>
      <c r="H3490" t="str">
        <f t="shared" si="108"/>
        <v>https://videplast.com.br/consulta-imobilizado?id=32001231&amp;nome=MONITOR%20LED%2018,5"%20DELL%20E1916H</v>
      </c>
      <c r="I3490" t="e">
        <f t="shared" ca="1" si="109"/>
        <v>#NAME?</v>
      </c>
    </row>
    <row r="3491" spans="1:9" x14ac:dyDescent="0.25">
      <c r="A3491" s="2" t="s">
        <v>5847</v>
      </c>
      <c r="B3491" s="2" t="s">
        <v>10</v>
      </c>
      <c r="C3491" s="3">
        <v>43763</v>
      </c>
      <c r="D3491" t="s">
        <v>2294</v>
      </c>
      <c r="E3491" s="2" t="s">
        <v>12</v>
      </c>
      <c r="F3491" s="2" t="s">
        <v>5848</v>
      </c>
      <c r="G3491" t="s">
        <v>5786</v>
      </c>
      <c r="H3491" s="5" t="str">
        <f t="shared" si="108"/>
        <v>https://videplast.com.br/consulta-imobilizado?id=32001598&amp;nome=COMPUTADOR%20DELL%20VOSTRO%20I3%204GB%20HD%201TB%20W10P</v>
      </c>
      <c r="I3491" t="e">
        <f t="shared" ca="1" si="109"/>
        <v>#NAME?</v>
      </c>
    </row>
    <row r="3492" spans="1:9" x14ac:dyDescent="0.25">
      <c r="A3492" s="2" t="s">
        <v>5849</v>
      </c>
      <c r="B3492" s="2" t="s">
        <v>10</v>
      </c>
      <c r="C3492" s="3">
        <v>43763</v>
      </c>
      <c r="D3492" t="s">
        <v>2297</v>
      </c>
      <c r="E3492" s="2" t="s">
        <v>12</v>
      </c>
      <c r="F3492" s="2" t="s">
        <v>5850</v>
      </c>
      <c r="G3492" t="s">
        <v>5786</v>
      </c>
      <c r="H3492" t="str">
        <f t="shared" si="108"/>
        <v>https://videplast.com.br/consulta-imobilizado?id=32001599&amp;nome=MONITOR%20LED%2018,5"%20DELL</v>
      </c>
      <c r="I3492" t="e">
        <f t="shared" ca="1" si="109"/>
        <v>#NAME?</v>
      </c>
    </row>
    <row r="3493" spans="1:9" x14ac:dyDescent="0.25">
      <c r="A3493" s="2" t="s">
        <v>2126</v>
      </c>
      <c r="B3493" s="2" t="s">
        <v>33</v>
      </c>
      <c r="C3493" s="3">
        <v>42063</v>
      </c>
      <c r="D3493" t="s">
        <v>5851</v>
      </c>
      <c r="E3493" s="2" t="s">
        <v>5852</v>
      </c>
      <c r="F3493" s="2" t="s">
        <v>12</v>
      </c>
      <c r="G3493" t="s">
        <v>5853</v>
      </c>
      <c r="H3493" t="str">
        <f t="shared" si="108"/>
        <v>https://videplast.com.br/consulta-imobilizado?id=30000244&amp;nome=AR%20CONDICONADO%20SPLIT%20HW%20FRIO%20CONSUL%2012000%20BTU</v>
      </c>
      <c r="I3493" t="e">
        <f t="shared" ca="1" si="109"/>
        <v>#NAME?</v>
      </c>
    </row>
    <row r="3494" spans="1:9" x14ac:dyDescent="0.25">
      <c r="A3494" s="2" t="s">
        <v>5854</v>
      </c>
      <c r="B3494" s="2" t="s">
        <v>10</v>
      </c>
      <c r="C3494" s="3">
        <v>42458</v>
      </c>
      <c r="D3494" t="s">
        <v>3760</v>
      </c>
      <c r="E3494" s="2" t="s">
        <v>5855</v>
      </c>
      <c r="F3494" s="2" t="s">
        <v>12</v>
      </c>
      <c r="G3494" t="s">
        <v>5853</v>
      </c>
      <c r="H3494" t="str">
        <f t="shared" si="108"/>
        <v>https://videplast.com.br/consulta-imobilizado?id=30001415&amp;nome=CADEIRA%20GIRATORIA%20SECRETARIA</v>
      </c>
      <c r="I3494" t="e">
        <f t="shared" ca="1" si="109"/>
        <v>#NAME?</v>
      </c>
    </row>
    <row r="3495" spans="1:9" x14ac:dyDescent="0.25">
      <c r="A3495" s="2" t="s">
        <v>5856</v>
      </c>
      <c r="B3495" s="2" t="s">
        <v>10</v>
      </c>
      <c r="C3495" s="3">
        <v>40053</v>
      </c>
      <c r="D3495" t="s">
        <v>5857</v>
      </c>
      <c r="E3495" s="2" t="s">
        <v>12</v>
      </c>
      <c r="F3495" s="2" t="s">
        <v>12</v>
      </c>
      <c r="G3495" t="s">
        <v>5853</v>
      </c>
      <c r="H3495" s="5" t="str">
        <f t="shared" si="108"/>
        <v>https://videplast.com.br/consulta-imobilizado?id=32000196&amp;nome=MICROCOMPUTADOR%20SUPREME%20CORE%202%20DUO%202.0%204GB%20750%20DVD</v>
      </c>
      <c r="I3495" t="e">
        <f t="shared" ca="1" si="109"/>
        <v>#NAME?</v>
      </c>
    </row>
    <row r="3496" spans="1:9" x14ac:dyDescent="0.25">
      <c r="A3496" s="2" t="s">
        <v>5824</v>
      </c>
      <c r="B3496" s="2" t="s">
        <v>26</v>
      </c>
      <c r="C3496" s="3">
        <v>42004</v>
      </c>
      <c r="D3496" t="s">
        <v>5291</v>
      </c>
      <c r="E3496" s="2" t="s">
        <v>5858</v>
      </c>
      <c r="F3496" s="2" t="s">
        <v>12</v>
      </c>
      <c r="G3496" t="s">
        <v>5853</v>
      </c>
      <c r="H3496" t="str">
        <f t="shared" si="108"/>
        <v>https://videplast.com.br/consulta-imobilizado?id=32000219&amp;nome=MONITOR%2018,5"%20LED%20LS19C301FSMZD</v>
      </c>
      <c r="I3496" t="e">
        <f t="shared" ca="1" si="109"/>
        <v>#NAME?</v>
      </c>
    </row>
    <row r="3497" spans="1:9" x14ac:dyDescent="0.25">
      <c r="A3497" s="2" t="s">
        <v>5859</v>
      </c>
      <c r="B3497" s="2" t="s">
        <v>10</v>
      </c>
      <c r="C3497" s="3">
        <v>44407</v>
      </c>
      <c r="D3497" t="s">
        <v>2316</v>
      </c>
      <c r="E3497" s="2" t="s">
        <v>12</v>
      </c>
      <c r="F3497" s="2" t="s">
        <v>5860</v>
      </c>
      <c r="G3497" t="s">
        <v>5853</v>
      </c>
      <c r="H3497" s="5" t="str">
        <f t="shared" si="108"/>
        <v>https://videplast.com.br/consulta-imobilizado?id=32002195&amp;nome=COMPUTADOR%20DELL%20OPTIPLEX/VOSTRO%20I3%204GB%20SSD256%2010P</v>
      </c>
      <c r="I3497" t="e">
        <f t="shared" ca="1" si="109"/>
        <v>#NAME?</v>
      </c>
    </row>
    <row r="3498" spans="1:9" x14ac:dyDescent="0.25">
      <c r="A3498" s="2" t="s">
        <v>5861</v>
      </c>
      <c r="B3498" s="2" t="s">
        <v>10</v>
      </c>
      <c r="C3498" s="3">
        <v>44403</v>
      </c>
      <c r="D3498" t="s">
        <v>3456</v>
      </c>
      <c r="E3498" s="2" t="s">
        <v>12</v>
      </c>
      <c r="F3498" s="2" t="s">
        <v>5862</v>
      </c>
      <c r="G3498" t="s">
        <v>5853</v>
      </c>
      <c r="H3498" t="str">
        <f t="shared" si="108"/>
        <v>https://videplast.com.br/consulta-imobilizado?id=32002198&amp;nome=MONITOR%20LED%2018,5"%20DELL%20E1920H</v>
      </c>
      <c r="I3498" t="e">
        <f t="shared" ca="1" si="109"/>
        <v>#NAME?</v>
      </c>
    </row>
    <row r="3499" spans="1:9" x14ac:dyDescent="0.25">
      <c r="A3499" s="2" t="s">
        <v>4884</v>
      </c>
      <c r="B3499" s="2" t="s">
        <v>10</v>
      </c>
      <c r="C3499" s="3">
        <v>44700</v>
      </c>
      <c r="D3499" t="s">
        <v>535</v>
      </c>
      <c r="E3499" s="2" t="s">
        <v>5863</v>
      </c>
      <c r="F3499" s="2" t="s">
        <v>5864</v>
      </c>
      <c r="G3499" t="s">
        <v>5853</v>
      </c>
      <c r="H3499" s="5" t="str">
        <f t="shared" si="108"/>
        <v>https://videplast.com.br/consulta-imobilizado?id=32002376&amp;nome=COMPUTADOR%20DELL%20OPTIPLEX/VASTRO%20I3%204GB%20SSD256%20W10P</v>
      </c>
      <c r="I3499" t="e">
        <f t="shared" ca="1" si="109"/>
        <v>#NAME?</v>
      </c>
    </row>
    <row r="3500" spans="1:9" x14ac:dyDescent="0.25">
      <c r="A3500" s="2" t="s">
        <v>5865</v>
      </c>
      <c r="B3500" s="2" t="s">
        <v>10</v>
      </c>
      <c r="C3500" s="3">
        <v>41152</v>
      </c>
      <c r="D3500" t="s">
        <v>2101</v>
      </c>
      <c r="E3500" s="2" t="s">
        <v>12</v>
      </c>
      <c r="F3500" s="2" t="s">
        <v>12</v>
      </c>
      <c r="G3500" t="s">
        <v>5866</v>
      </c>
      <c r="H3500" t="str">
        <f t="shared" si="108"/>
        <v>https://videplast.com.br/consulta-imobilizado?id=30000119&amp;nome=ARQUIVO%20DE%20ACO%204%20GAVETAS%200,70%20CMAIOF4E%20CZ%20VEGEL</v>
      </c>
      <c r="I3500" t="e">
        <f t="shared" ca="1" si="109"/>
        <v>#NAME?</v>
      </c>
    </row>
    <row r="3501" spans="1:9" x14ac:dyDescent="0.25">
      <c r="A3501" s="2" t="s">
        <v>5867</v>
      </c>
      <c r="B3501" s="2" t="s">
        <v>10</v>
      </c>
      <c r="C3501" s="3">
        <v>41333</v>
      </c>
      <c r="D3501" t="s">
        <v>5868</v>
      </c>
      <c r="E3501" s="2" t="s">
        <v>5869</v>
      </c>
      <c r="F3501" s="2" t="s">
        <v>12</v>
      </c>
      <c r="G3501" t="s">
        <v>5866</v>
      </c>
      <c r="H3501" t="str">
        <f t="shared" si="108"/>
        <v>https://videplast.com.br/consulta-imobilizado?id=30000130&amp;nome=ARQUIVO%20DE%20ACO%204%20GAVETAS%201,335X0,47X0,60,%20CZ%20VEGEL</v>
      </c>
      <c r="I3501" t="e">
        <f t="shared" ca="1" si="109"/>
        <v>#NAME?</v>
      </c>
    </row>
    <row r="3502" spans="1:9" x14ac:dyDescent="0.25">
      <c r="A3502" s="2" t="s">
        <v>5870</v>
      </c>
      <c r="B3502" s="2" t="s">
        <v>10</v>
      </c>
      <c r="C3502" s="3">
        <v>40574</v>
      </c>
      <c r="D3502" t="s">
        <v>5871</v>
      </c>
      <c r="E3502" s="2" t="s">
        <v>12</v>
      </c>
      <c r="F3502" s="2" t="s">
        <v>12</v>
      </c>
      <c r="G3502" t="s">
        <v>5866</v>
      </c>
      <c r="H3502" t="str">
        <f t="shared" si="108"/>
        <v>https://videplast.com.br/consulta-imobilizado?id=30000240&amp;nome=ARQUIVO%20DE%20ACO%20COM%202%20PORTAS%20E%204%20PRATELEIRAS</v>
      </c>
      <c r="I3502" t="e">
        <f t="shared" ca="1" si="109"/>
        <v>#NAME?</v>
      </c>
    </row>
    <row r="3503" spans="1:9" x14ac:dyDescent="0.25">
      <c r="A3503" s="2" t="s">
        <v>5872</v>
      </c>
      <c r="B3503" s="2" t="s">
        <v>10</v>
      </c>
      <c r="C3503" s="3">
        <v>42321</v>
      </c>
      <c r="D3503" t="s">
        <v>5532</v>
      </c>
      <c r="E3503" s="2" t="s">
        <v>12</v>
      </c>
      <c r="F3503" s="2" t="s">
        <v>12</v>
      </c>
      <c r="G3503" t="s">
        <v>5866</v>
      </c>
      <c r="H3503" t="str">
        <f t="shared" si="108"/>
        <v>https://videplast.com.br/consulta-imobilizado?id=30001322&amp;nome=MESA%20DE%201,50X0,70%20%2040MM%20COM%202%20GAVETAS</v>
      </c>
      <c r="I3503" t="e">
        <f t="shared" ca="1" si="109"/>
        <v>#NAME?</v>
      </c>
    </row>
    <row r="3504" spans="1:9" x14ac:dyDescent="0.25">
      <c r="A3504" s="2" t="s">
        <v>5873</v>
      </c>
      <c r="B3504" s="2" t="s">
        <v>10</v>
      </c>
      <c r="C3504" s="3">
        <v>42321</v>
      </c>
      <c r="D3504" t="s">
        <v>5532</v>
      </c>
      <c r="E3504" s="2" t="s">
        <v>12</v>
      </c>
      <c r="F3504" s="2" t="s">
        <v>12</v>
      </c>
      <c r="G3504" t="s">
        <v>5866</v>
      </c>
      <c r="H3504" t="str">
        <f t="shared" si="108"/>
        <v>https://videplast.com.br/consulta-imobilizado?id=30001323&amp;nome=MESA%20DE%201,50X0,70%20%2040MM%20COM%202%20GAVETAS</v>
      </c>
      <c r="I3504" t="e">
        <f t="shared" ca="1" si="109"/>
        <v>#NAME?</v>
      </c>
    </row>
    <row r="3505" spans="1:9" x14ac:dyDescent="0.25">
      <c r="A3505" s="2" t="s">
        <v>5874</v>
      </c>
      <c r="B3505" s="2" t="s">
        <v>10</v>
      </c>
      <c r="C3505" s="3">
        <v>42321</v>
      </c>
      <c r="D3505" t="s">
        <v>5534</v>
      </c>
      <c r="E3505" s="2" t="s">
        <v>12</v>
      </c>
      <c r="F3505" s="2" t="s">
        <v>12</v>
      </c>
      <c r="G3505" t="s">
        <v>5866</v>
      </c>
      <c r="H3505" t="str">
        <f t="shared" si="108"/>
        <v>https://videplast.com.br/consulta-imobilizado?id=30001325&amp;nome=ARMARIO%20BAIXO%200,74X0,90X0,40%20C/%202%20PORTAS</v>
      </c>
      <c r="I3505" t="e">
        <f t="shared" ca="1" si="109"/>
        <v>#NAME?</v>
      </c>
    </row>
    <row r="3506" spans="1:9" x14ac:dyDescent="0.25">
      <c r="A3506" s="2" t="s">
        <v>5875</v>
      </c>
      <c r="B3506" s="2" t="s">
        <v>10</v>
      </c>
      <c r="C3506" s="3">
        <v>42321</v>
      </c>
      <c r="D3506" t="s">
        <v>5534</v>
      </c>
      <c r="E3506" s="2" t="s">
        <v>12</v>
      </c>
      <c r="F3506" s="2" t="s">
        <v>12</v>
      </c>
      <c r="G3506" t="s">
        <v>5866</v>
      </c>
      <c r="H3506" t="str">
        <f t="shared" si="108"/>
        <v>https://videplast.com.br/consulta-imobilizado?id=30001326&amp;nome=ARMARIO%20BAIXO%200,74X0,90X0,40%20C/%202%20PORTAS</v>
      </c>
      <c r="I3506" t="e">
        <f t="shared" ca="1" si="109"/>
        <v>#NAME?</v>
      </c>
    </row>
    <row r="3507" spans="1:9" x14ac:dyDescent="0.25">
      <c r="A3507" s="2" t="s">
        <v>5876</v>
      </c>
      <c r="B3507" s="2" t="s">
        <v>10</v>
      </c>
      <c r="C3507" s="3">
        <v>42321</v>
      </c>
      <c r="D3507" t="s">
        <v>5536</v>
      </c>
      <c r="E3507" s="2" t="s">
        <v>12</v>
      </c>
      <c r="F3507" s="2" t="s">
        <v>12</v>
      </c>
      <c r="G3507" t="s">
        <v>5866</v>
      </c>
      <c r="H3507" t="str">
        <f t="shared" si="108"/>
        <v>https://videplast.com.br/consulta-imobilizado?id=30001329&amp;nome=CADEIRA%20FIXA%204%20PES%20ERGOPLAX%20PT</v>
      </c>
      <c r="I3507" t="e">
        <f t="shared" ca="1" si="109"/>
        <v>#NAME?</v>
      </c>
    </row>
    <row r="3508" spans="1:9" x14ac:dyDescent="0.25">
      <c r="A3508" s="2" t="s">
        <v>5877</v>
      </c>
      <c r="B3508" s="2" t="s">
        <v>10</v>
      </c>
      <c r="C3508" s="3">
        <v>42321</v>
      </c>
      <c r="D3508" t="s">
        <v>5536</v>
      </c>
      <c r="E3508" s="2" t="s">
        <v>12</v>
      </c>
      <c r="F3508" s="2" t="s">
        <v>12</v>
      </c>
      <c r="G3508" t="s">
        <v>5866</v>
      </c>
      <c r="H3508" t="str">
        <f t="shared" si="108"/>
        <v>https://videplast.com.br/consulta-imobilizado?id=30001330&amp;nome=CADEIRA%20FIXA%204%20PES%20ERGOPLAX%20PT</v>
      </c>
      <c r="I3508" t="e">
        <f t="shared" ca="1" si="109"/>
        <v>#NAME?</v>
      </c>
    </row>
    <row r="3509" spans="1:9" x14ac:dyDescent="0.25">
      <c r="A3509" s="2" t="s">
        <v>5878</v>
      </c>
      <c r="B3509" s="2" t="s">
        <v>10</v>
      </c>
      <c r="C3509" s="3">
        <v>42321</v>
      </c>
      <c r="D3509" t="s">
        <v>5536</v>
      </c>
      <c r="E3509" s="2" t="s">
        <v>12</v>
      </c>
      <c r="F3509" s="2" t="s">
        <v>12</v>
      </c>
      <c r="G3509" t="s">
        <v>5866</v>
      </c>
      <c r="H3509" t="str">
        <f t="shared" si="108"/>
        <v>https://videplast.com.br/consulta-imobilizado?id=30001331&amp;nome=CADEIRA%20FIXA%204%20PES%20ERGOPLAX%20PT</v>
      </c>
      <c r="I3509" t="e">
        <f t="shared" ca="1" si="109"/>
        <v>#NAME?</v>
      </c>
    </row>
    <row r="3510" spans="1:9" x14ac:dyDescent="0.25">
      <c r="A3510" s="2" t="s">
        <v>5879</v>
      </c>
      <c r="B3510" s="2" t="s">
        <v>10</v>
      </c>
      <c r="C3510" s="3">
        <v>42321</v>
      </c>
      <c r="D3510" t="s">
        <v>5536</v>
      </c>
      <c r="E3510" s="2" t="s">
        <v>12</v>
      </c>
      <c r="F3510" s="2" t="s">
        <v>12</v>
      </c>
      <c r="G3510" t="s">
        <v>5866</v>
      </c>
      <c r="H3510" t="str">
        <f t="shared" si="108"/>
        <v>https://videplast.com.br/consulta-imobilizado?id=30001332&amp;nome=CADEIRA%20FIXA%204%20PES%20ERGOPLAX%20PT</v>
      </c>
      <c r="I3510" t="e">
        <f t="shared" ca="1" si="109"/>
        <v>#NAME?</v>
      </c>
    </row>
    <row r="3511" spans="1:9" x14ac:dyDescent="0.25">
      <c r="A3511" s="2" t="s">
        <v>5880</v>
      </c>
      <c r="B3511" s="2" t="s">
        <v>10</v>
      </c>
      <c r="C3511" s="3">
        <v>42321</v>
      </c>
      <c r="D3511" t="s">
        <v>5539</v>
      </c>
      <c r="E3511" s="2" t="s">
        <v>12</v>
      </c>
      <c r="F3511" s="2" t="s">
        <v>12</v>
      </c>
      <c r="G3511" t="s">
        <v>5866</v>
      </c>
      <c r="H3511" t="str">
        <f t="shared" si="108"/>
        <v>https://videplast.com.br/consulta-imobilizado?id=30001334&amp;nome=LONGARINA%20ERGOPLAX%203%20LUGARES%20BASE%20AÇO</v>
      </c>
      <c r="I3511" t="e">
        <f t="shared" ca="1" si="109"/>
        <v>#NAME?</v>
      </c>
    </row>
    <row r="3512" spans="1:9" x14ac:dyDescent="0.25">
      <c r="A3512" s="2" t="s">
        <v>5881</v>
      </c>
      <c r="B3512" s="2" t="s">
        <v>10</v>
      </c>
      <c r="C3512" s="3">
        <v>42321</v>
      </c>
      <c r="D3512" t="s">
        <v>5539</v>
      </c>
      <c r="E3512" s="2" t="s">
        <v>12</v>
      </c>
      <c r="F3512" s="2" t="s">
        <v>12</v>
      </c>
      <c r="G3512" t="s">
        <v>5866</v>
      </c>
      <c r="H3512" t="str">
        <f t="shared" si="108"/>
        <v>https://videplast.com.br/consulta-imobilizado?id=30001335&amp;nome=LONGARINA%20ERGOPLAX%203%20LUGARES%20BASE%20AÇO</v>
      </c>
      <c r="I3512" t="e">
        <f t="shared" ca="1" si="109"/>
        <v>#NAME?</v>
      </c>
    </row>
    <row r="3513" spans="1:9" x14ac:dyDescent="0.25">
      <c r="A3513" s="2" t="s">
        <v>5882</v>
      </c>
      <c r="B3513" s="2" t="s">
        <v>10</v>
      </c>
      <c r="C3513" s="3">
        <v>42321</v>
      </c>
      <c r="D3513" t="s">
        <v>5541</v>
      </c>
      <c r="E3513" s="2" t="s">
        <v>12</v>
      </c>
      <c r="F3513" s="2" t="s">
        <v>12</v>
      </c>
      <c r="G3513" t="s">
        <v>5866</v>
      </c>
      <c r="H3513" t="str">
        <f t="shared" si="108"/>
        <v>https://videplast.com.br/consulta-imobilizado?id=30001337&amp;nome=POLTRONA%20EXECUTIVA%20GIRAT%20C/%20BRAÇO%20COURO</v>
      </c>
      <c r="I3513" t="e">
        <f t="shared" ca="1" si="109"/>
        <v>#NAME?</v>
      </c>
    </row>
    <row r="3514" spans="1:9" x14ac:dyDescent="0.25">
      <c r="A3514" s="2" t="s">
        <v>5883</v>
      </c>
      <c r="B3514" s="2" t="s">
        <v>10</v>
      </c>
      <c r="C3514" s="3">
        <v>42321</v>
      </c>
      <c r="D3514" t="s">
        <v>5541</v>
      </c>
      <c r="E3514" s="2" t="s">
        <v>12</v>
      </c>
      <c r="F3514" s="2" t="s">
        <v>12</v>
      </c>
      <c r="G3514" t="s">
        <v>5866</v>
      </c>
      <c r="H3514" t="str">
        <f t="shared" si="108"/>
        <v>https://videplast.com.br/consulta-imobilizado?id=30001338&amp;nome=POLTRONA%20EXECUTIVA%20GIRAT%20C/%20BRAÇO%20COURO</v>
      </c>
      <c r="I3514" t="e">
        <f t="shared" ca="1" si="109"/>
        <v>#NAME?</v>
      </c>
    </row>
    <row r="3515" spans="1:9" x14ac:dyDescent="0.25">
      <c r="A3515" s="2" t="s">
        <v>5884</v>
      </c>
      <c r="B3515" s="2" t="s">
        <v>10</v>
      </c>
      <c r="C3515" s="3">
        <v>45499</v>
      </c>
      <c r="D3515" t="s">
        <v>5885</v>
      </c>
      <c r="E3515" s="2" t="s">
        <v>12</v>
      </c>
      <c r="F3515" s="2" t="s">
        <v>12</v>
      </c>
      <c r="G3515" t="s">
        <v>5866</v>
      </c>
      <c r="H3515" t="str">
        <f t="shared" si="108"/>
        <v>https://videplast.com.br/consulta-imobilizado?id=30004121&amp;nome=CABINE%20ACUSTICA%20PARA%20AUDIOMETRIA%20FONOPRIME%20DELUXE</v>
      </c>
      <c r="I3515" t="e">
        <f t="shared" ca="1" si="109"/>
        <v>#NAME?</v>
      </c>
    </row>
    <row r="3516" spans="1:9" x14ac:dyDescent="0.25">
      <c r="A3516" s="2" t="s">
        <v>5886</v>
      </c>
      <c r="B3516" s="2" t="s">
        <v>10</v>
      </c>
      <c r="C3516" s="3">
        <v>45516</v>
      </c>
      <c r="D3516" t="s">
        <v>5887</v>
      </c>
      <c r="E3516" s="2" t="s">
        <v>12</v>
      </c>
      <c r="F3516" s="2" t="s">
        <v>12</v>
      </c>
      <c r="G3516" t="s">
        <v>5866</v>
      </c>
      <c r="H3516" t="str">
        <f t="shared" si="108"/>
        <v>https://videplast.com.br/consulta-imobilizado?id=30004300&amp;nome=ARQUIVO%20DE%20ACO%20COM%204%20GAVETAS%20P/%20PASTA%20SUSPENSA</v>
      </c>
      <c r="I3516" t="e">
        <f t="shared" ca="1" si="109"/>
        <v>#NAME?</v>
      </c>
    </row>
    <row r="3517" spans="1:9" x14ac:dyDescent="0.25">
      <c r="A3517" s="2" t="s">
        <v>3431</v>
      </c>
      <c r="B3517" s="2" t="s">
        <v>29</v>
      </c>
      <c r="C3517" s="3">
        <v>41759</v>
      </c>
      <c r="D3517" t="s">
        <v>3432</v>
      </c>
      <c r="E3517" s="2" t="s">
        <v>12</v>
      </c>
      <c r="F3517" s="2" t="s">
        <v>12</v>
      </c>
      <c r="G3517" t="s">
        <v>5866</v>
      </c>
      <c r="H3517" t="str">
        <f t="shared" si="108"/>
        <v>https://videplast.com.br/consulta-imobilizado?id=32000056&amp;nome=CAMERA%20INTELBRAS%20INFRA%20VM%20350IR%20-%2050MT%206MM%20CZ</v>
      </c>
      <c r="I3517" t="e">
        <f t="shared" ca="1" si="109"/>
        <v>#NAME?</v>
      </c>
    </row>
    <row r="3518" spans="1:9" x14ac:dyDescent="0.25">
      <c r="A3518" s="2" t="s">
        <v>3431</v>
      </c>
      <c r="B3518" s="2" t="s">
        <v>31</v>
      </c>
      <c r="C3518" s="3">
        <v>41759</v>
      </c>
      <c r="D3518" t="s">
        <v>3432</v>
      </c>
      <c r="E3518" s="2" t="s">
        <v>12</v>
      </c>
      <c r="F3518" s="2" t="s">
        <v>12</v>
      </c>
      <c r="G3518" t="s">
        <v>5866</v>
      </c>
      <c r="H3518" t="str">
        <f t="shared" si="108"/>
        <v>https://videplast.com.br/consulta-imobilizado?id=32000056&amp;nome=CAMERA%20INTELBRAS%20INFRA%20VM%20350IR%20-%2050MT%206MM%20CZ</v>
      </c>
      <c r="I3518" t="e">
        <f t="shared" ca="1" si="109"/>
        <v>#NAME?</v>
      </c>
    </row>
    <row r="3519" spans="1:9" x14ac:dyDescent="0.25">
      <c r="A3519" s="2" t="s">
        <v>5888</v>
      </c>
      <c r="B3519" s="2" t="s">
        <v>10</v>
      </c>
      <c r="C3519" s="3">
        <v>41790</v>
      </c>
      <c r="D3519" t="s">
        <v>2127</v>
      </c>
      <c r="E3519" s="2" t="s">
        <v>5889</v>
      </c>
      <c r="F3519" s="2" t="s">
        <v>12</v>
      </c>
      <c r="G3519" t="s">
        <v>5866</v>
      </c>
      <c r="H3519" t="str">
        <f t="shared" si="108"/>
        <v>https://videplast.com.br/consulta-imobilizado?id=32000057&amp;nome=AR%20CONDICIONADO%20INT/EXT%20SPLIT%20CONSUL%2022000%20BTU</v>
      </c>
      <c r="I3519" t="e">
        <f t="shared" ca="1" si="109"/>
        <v>#NAME?</v>
      </c>
    </row>
    <row r="3520" spans="1:9" x14ac:dyDescent="0.25">
      <c r="A3520" s="2" t="s">
        <v>5890</v>
      </c>
      <c r="B3520" s="2" t="s">
        <v>10</v>
      </c>
      <c r="C3520" s="3">
        <v>44496</v>
      </c>
      <c r="D3520" t="s">
        <v>5584</v>
      </c>
      <c r="E3520" s="2" t="s">
        <v>12</v>
      </c>
      <c r="F3520" s="2" t="s">
        <v>5891</v>
      </c>
      <c r="G3520" t="s">
        <v>5866</v>
      </c>
      <c r="H3520" s="5" t="str">
        <f t="shared" si="108"/>
        <v>https://videplast.com.br/consulta-imobilizado?id=32002224&amp;nome=COMPUTADOR%20DELL%20OPTILEX/VOSTRO%20i3%204GB%20HD%20SSD256GB</v>
      </c>
      <c r="I3520" t="e">
        <f t="shared" ca="1" si="109"/>
        <v>#NAME?</v>
      </c>
    </row>
  </sheetData>
  <phoneticPr fontId="0" type="noConversion"/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Wanderson Guimarães</cp:lastModifiedBy>
  <cp:revision>1</cp:revision>
  <dcterms:created xsi:type="dcterms:W3CDTF">2025-03-28T17:44:01Z</dcterms:created>
  <dcterms:modified xsi:type="dcterms:W3CDTF">2025-04-14T18:50:12Z</dcterms:modified>
  <cp:category/>
  <cp:contentStatus/>
</cp:coreProperties>
</file>